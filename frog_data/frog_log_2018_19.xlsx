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18" sheetId="1" r:id="rId4"/>
    <sheet state="visible" name="April 2019" sheetId="2" r:id="rId5"/>
    <sheet state="visible" name="November 2018" sheetId="3" r:id="rId6"/>
    <sheet state="visible" name="January 2019" sheetId="4" r:id="rId7"/>
    <sheet state="visible" name="February 2019" sheetId="5" r:id="rId8"/>
    <sheet state="visible" name="March 2019" sheetId="6" r:id="rId9"/>
    <sheet state="visible" name=" sunrisesunset" sheetId="7" r:id="rId10"/>
    <sheet state="visible" name="moon phases 2018" sheetId="8" r:id="rId11"/>
    <sheet state="visible" name="moon phases 2019" sheetId="9" r:id="rId12"/>
    <sheet state="visible" name="column labels" sheetId="10" r:id="rId13"/>
    <sheet state="visible" name="Legend" sheetId="11" r:id="rId14"/>
    <sheet state="visible" name="Sheet23" sheetId="12" r:id="rId15"/>
  </sheets>
  <definedNames>
    <definedName name="dec_tot_down">'December 2018'!$Z$33</definedName>
    <definedName name="apr_tot_down">#REF!</definedName>
    <definedName name="jan_tot_down">'January 2019'!$Z$33</definedName>
    <definedName name="jan_tot_hrs">'January 2019'!$J$33</definedName>
    <definedName localSheetId="1" name="mar_tot_up">'April 2019'!$AA$33</definedName>
    <definedName name="apr_tot_up">#REF!</definedName>
    <definedName name="mar_tot_down">'March 2019'!$Z$33</definedName>
    <definedName name="feb_tot_hrs">'February 2019'!$J$33</definedName>
    <definedName name="nov_tot_up">'November 2018'!$AA$34</definedName>
    <definedName name="feb_tot_down">'February 2019'!$Z$33</definedName>
    <definedName name="nov_tot_down">'November 2018'!$Z$34</definedName>
    <definedName name="mar_tot_hrs">'March 2019'!$J$33</definedName>
    <definedName name="nov_tot_hrs">'November 2018'!$J$34</definedName>
    <definedName name="MAR_F_A_DN">'March 2019'!$N$33</definedName>
    <definedName localSheetId="1" name="MAR_F_A_DN">'April 2019'!$N$33</definedName>
    <definedName localSheetId="1" name="mar_tot_hrs">'April 2019'!$J$33</definedName>
    <definedName name="jan_tot_up">'January 2019'!$AA$33</definedName>
    <definedName name="dec_tot_up">'December 2018'!$AA$33</definedName>
    <definedName name="feb_tot_up">'February 2019'!$AA$33</definedName>
    <definedName localSheetId="1" name="mar_tot_down">'April 2019'!$Z$33</definedName>
    <definedName name="mar_tot_up">'March 2019'!$AA$33</definedName>
    <definedName name="dec_tot_hrs">'December 2018'!$J$33</definedName>
  </definedNames>
  <calcPr/>
</workbook>
</file>

<file path=xl/sharedStrings.xml><?xml version="1.0" encoding="utf-8"?>
<sst xmlns="http://schemas.openxmlformats.org/spreadsheetml/2006/main" count="3335" uniqueCount="414">
  <si>
    <t>sds</t>
  </si>
  <si>
    <t>Sunset</t>
  </si>
  <si>
    <t>Civil 
Twilight</t>
  </si>
  <si>
    <t>Captain</t>
  </si>
  <si>
    <t>Monitored (Y/N)</t>
  </si>
  <si>
    <t>Start time
HH:MM</t>
  </si>
  <si>
    <t>End
Date</t>
  </si>
  <si>
    <t>End time
HH:MM</t>
  </si>
  <si>
    <t>Hours
Monitored</t>
  </si>
  <si>
    <t>Team Hrs.</t>
  </si>
  <si>
    <t>Start Temp</t>
  </si>
  <si>
    <t>End Temp</t>
  </si>
  <si>
    <t>Weather</t>
  </si>
  <si>
    <t>Females assisted down</t>
  </si>
  <si>
    <t>Males assisted down</t>
  </si>
  <si>
    <t>Females unassisted down</t>
  </si>
  <si>
    <t>Males unassisted down</t>
  </si>
  <si>
    <t>Females
assisted
up</t>
  </si>
  <si>
    <t>Males
 assisted
 up</t>
  </si>
  <si>
    <t>Females unassisted up</t>
  </si>
  <si>
    <t>Males unassisted up</t>
  </si>
  <si>
    <t>Juveniles</t>
  </si>
  <si>
    <t>Roadkills
female</t>
  </si>
  <si>
    <t>Roadkills
male</t>
  </si>
  <si>
    <t>Roadkills
unk</t>
  </si>
  <si>
    <t>Total Frogs down</t>
  </si>
  <si>
    <t>Total Frogs up</t>
  </si>
  <si>
    <t>Total Frogs Assisted Down</t>
  </si>
  <si>
    <t>Total Frogs Assisted Up</t>
  </si>
  <si>
    <t>% moon visible</t>
  </si>
  <si>
    <t>Comments</t>
  </si>
  <si>
    <t>n</t>
  </si>
  <si>
    <t>dry</t>
  </si>
  <si>
    <t>N</t>
  </si>
  <si>
    <t>dry and clear</t>
  </si>
  <si>
    <t>Dry</t>
  </si>
  <si>
    <t>Dry and cloudy</t>
  </si>
  <si>
    <t xml:space="preserve">No visible or audible flow in creek. </t>
  </si>
  <si>
    <t>Rain</t>
  </si>
  <si>
    <t>fog</t>
  </si>
  <si>
    <t>Y</t>
  </si>
  <si>
    <t>rain</t>
  </si>
  <si>
    <t>1 chorus frog roadkill; rough skinned newt down</t>
  </si>
  <si>
    <t>Damp pavement; dry</t>
  </si>
  <si>
    <t>Dry all day</t>
  </si>
  <si>
    <t>Wet pavemt; mist</t>
  </si>
  <si>
    <t>y</t>
  </si>
  <si>
    <t>drying pavemnt</t>
  </si>
  <si>
    <t xml:space="preserve">wet pavement </t>
  </si>
  <si>
    <t>light rain</t>
  </si>
  <si>
    <t>wet pav/rain/wetpav</t>
  </si>
  <si>
    <t>Damp pav/2 lt shwrs</t>
  </si>
  <si>
    <t>Mist; dry; light rain</t>
  </si>
  <si>
    <t>2 long-toed salamanders; audible creek flow,puddled water in  wetlands</t>
  </si>
  <si>
    <t>Clear, dry all day</t>
  </si>
  <si>
    <t>Thin stream flowing in creek, audible in capture basin. Wetland has large patches of open water visible from Harborton.</t>
  </si>
  <si>
    <t>drying, then rain</t>
  </si>
  <si>
    <t>4AM. 42. no sign of frogs</t>
  </si>
  <si>
    <t>Steady rain</t>
  </si>
  <si>
    <t>there are several highly degraded roadkill.   Creek flowing strong</t>
  </si>
  <si>
    <t>Stream was flowing.</t>
  </si>
  <si>
    <t>Heavy Rain</t>
  </si>
  <si>
    <t>No rain; cold</t>
  </si>
  <si>
    <t>wet, not raining</t>
  </si>
  <si>
    <t>rain, warm</t>
  </si>
  <si>
    <t>wet Pave, lt rain 5:30-6</t>
  </si>
  <si>
    <t>Monthly total</t>
  </si>
  <si>
    <t>Cumulative Total</t>
  </si>
  <si>
    <t>Season Total</t>
  </si>
  <si>
    <t>2017-18 Total</t>
  </si>
  <si>
    <t>2016-17 Total</t>
  </si>
  <si>
    <t>2015-16 Total</t>
  </si>
  <si>
    <t>2014-15 Total</t>
  </si>
  <si>
    <t>2013-14 Total</t>
  </si>
  <si>
    <t>Date</t>
  </si>
  <si>
    <t>Hours monitored</t>
  </si>
  <si>
    <t>Start temp</t>
  </si>
  <si>
    <t>End temp</t>
  </si>
  <si>
    <t>Unassisted Females down</t>
  </si>
  <si>
    <t>Unasissted Males down</t>
  </si>
  <si>
    <t>Females assisted 
up</t>
  </si>
  <si>
    <t>Males assisted 
up</t>
  </si>
  <si>
    <t>Unassisted females  
up</t>
  </si>
  <si>
    <t>Unassisted males 
up</t>
  </si>
  <si>
    <t>Juveniles assisted up</t>
  </si>
  <si>
    <t>Roadkill Females</t>
  </si>
  <si>
    <t>Roadkill 
Males</t>
  </si>
  <si>
    <t>Roadkill
Unk</t>
  </si>
  <si>
    <t>Total
frogs 
down</t>
  </si>
  <si>
    <t>Total
frogs 
up</t>
  </si>
  <si>
    <t>A few sprinkles, then dry</t>
  </si>
  <si>
    <t>Five Dunns salamanders in a seepy area on Harborton!</t>
  </si>
  <si>
    <t>Tom/Kris/Rob</t>
  </si>
  <si>
    <t>over 30 chorus up, very lively frogs</t>
  </si>
  <si>
    <t>Dry; sky clearing</t>
  </si>
  <si>
    <t>Dry early then mostly rainy</t>
  </si>
  <si>
    <t>About 60 chorus frogs uphill; 2 chorus frogs down</t>
  </si>
  <si>
    <t>Wet,cloudy turns clear by 8:30</t>
  </si>
  <si>
    <r>
      <rPr/>
      <t xml:space="preserve">1 Lt Sal, 3 chorus frogs,  2 </t>
    </r>
    <r>
      <rPr>
        <u/>
      </rPr>
      <t>extremely small</t>
    </r>
    <r>
      <rPr/>
      <t xml:space="preserve"> red legged - checked sex but hard to tell.  Assumed male.</t>
    </r>
  </si>
  <si>
    <t>raining</t>
  </si>
  <si>
    <t>season appears to be over.</t>
  </si>
  <si>
    <t>Light rain</t>
  </si>
  <si>
    <t>2 chorus frogs headed down, one injured, one gravid female</t>
  </si>
  <si>
    <t>wet pavement, cloudy</t>
  </si>
  <si>
    <t>1 chorus frog uphill, one headed down</t>
  </si>
  <si>
    <t>mostly dry, cloudy</t>
  </si>
  <si>
    <t>.l7</t>
  </si>
  <si>
    <t>Dry, wet pavement</t>
  </si>
  <si>
    <t>Very little sound in the wetlands</t>
  </si>
  <si>
    <t>Dry, clear  w/ few clouds</t>
  </si>
  <si>
    <t>xx/xx/xxxx</t>
  </si>
  <si>
    <t>X</t>
  </si>
  <si>
    <t>xxxx</t>
  </si>
  <si>
    <t xml:space="preserve">End
Date </t>
  </si>
  <si>
    <t>Females assisted up</t>
  </si>
  <si>
    <t>Males assisted up</t>
  </si>
  <si>
    <t>Roadkills female</t>
  </si>
  <si>
    <t>Roadkills male</t>
  </si>
  <si>
    <t>Roadkills unk</t>
  </si>
  <si>
    <t>Dry and clear all day</t>
  </si>
  <si>
    <t xml:space="preserve">Walked the wetland.  Standing water is collecting but is concealed by the grass in most areas.  NW corner near western dike has open, reflecting water, &lt;&lt; 1% of total wetland area. </t>
  </si>
  <si>
    <t>Dry, light overcast, no rain</t>
  </si>
  <si>
    <t>Very dry</t>
  </si>
  <si>
    <t>Dry, light overcast</t>
  </si>
  <si>
    <t xml:space="preserve">   </t>
  </si>
  <si>
    <t>Very slight mist on and off</t>
  </si>
  <si>
    <t>Y (x2)</t>
  </si>
  <si>
    <t>Raining</t>
  </si>
  <si>
    <t>Very wet, off and on heavy rain</t>
  </si>
  <si>
    <t>No visible or audible flow in creek. Thin, weak sheet flow in culvert box.</t>
  </si>
  <si>
    <t>foggy, dry road</t>
  </si>
  <si>
    <t>Foggy, dry road</t>
  </si>
  <si>
    <t>Quick shower, but otherwise no rain</t>
  </si>
  <si>
    <t>Dense low clouds, heavy rain turning to showers</t>
  </si>
  <si>
    <t>No visible or audible flow in creek. Weak flow in culvert box.</t>
  </si>
  <si>
    <t>XX/XX/XX</t>
  </si>
  <si>
    <t xml:space="preserve"> </t>
  </si>
  <si>
    <t>x</t>
  </si>
  <si>
    <t>Hours 
monitored</t>
  </si>
  <si>
    <t>Start Temp.</t>
  </si>
  <si>
    <t>Females 
assisted 
up</t>
  </si>
  <si>
    <t xml:space="preserve">Juveniles </t>
  </si>
  <si>
    <t>Roadkill Males</t>
  </si>
  <si>
    <t>Total
frogs down</t>
  </si>
  <si>
    <t>Cold and dry</t>
  </si>
  <si>
    <t>Cold (42) &amp; Dry</t>
  </si>
  <si>
    <t>No rain, wet pavement</t>
  </si>
  <si>
    <t>Pvmt damp under dry skies</t>
  </si>
  <si>
    <t>Creek is back to a trickle</t>
  </si>
  <si>
    <t>damp</t>
  </si>
  <si>
    <t>returned 8-8:30, rain, no frogs, earlier 1 salamander</t>
  </si>
  <si>
    <t>PF</t>
  </si>
  <si>
    <t xml:space="preserve">light rain </t>
  </si>
  <si>
    <t>An off-on weather evening.  Warmed later (45 at 9:50) but no rain or frogs then. Checking throughout evening.</t>
  </si>
  <si>
    <t>No rain, damp pavement</t>
  </si>
  <si>
    <t>Dry all day, light overcast</t>
  </si>
  <si>
    <t>cold,dry</t>
  </si>
  <si>
    <t>A few sprinkles; dry pavement</t>
  </si>
  <si>
    <t>Mist; light rain; dry</t>
  </si>
  <si>
    <t>1 small chorus frog</t>
  </si>
  <si>
    <t>Continuous cold rain</t>
  </si>
  <si>
    <t>Temperature rose as high 47F.  One chorus frog shuttled.</t>
  </si>
  <si>
    <t>heavy fog</t>
  </si>
  <si>
    <t>most of the frogs caught along the highway</t>
  </si>
  <si>
    <t>damp pavement</t>
  </si>
  <si>
    <t>Raining, then dry</t>
  </si>
  <si>
    <t>periods of light rain</t>
  </si>
  <si>
    <t>Dunn's and redbacked sallies observed. Count includes 12 frogs at 5:30 am</t>
  </si>
  <si>
    <t>Largely dry. Periods mist and light rain.</t>
  </si>
  <si>
    <t>Dry; mostly dry pavement</t>
  </si>
  <si>
    <t>cold, dry</t>
  </si>
  <si>
    <t>Dry; temps dropping</t>
  </si>
  <si>
    <t>``````````````````````````````````````````````````````</t>
  </si>
  <si>
    <t>End
 Date</t>
  </si>
  <si>
    <t>Unasissted 
Males 
down</t>
  </si>
  <si>
    <t>Total 
frogs 
down</t>
  </si>
  <si>
    <t>Total 
frogs 
up</t>
  </si>
  <si>
    <t>wet to drying</t>
  </si>
  <si>
    <t xml:space="preserve">      17:30        18:40            1.00</t>
  </si>
  <si>
    <t>overcast</t>
  </si>
  <si>
    <t>mist/sleet</t>
  </si>
  <si>
    <t>Cold, dry</t>
  </si>
  <si>
    <t>Dry all day, rainy now</t>
  </si>
  <si>
    <t>Light rain/snow</t>
  </si>
  <si>
    <t>steady rain</t>
  </si>
  <si>
    <t>wet road</t>
  </si>
  <si>
    <t>rapidly colder, dry, sky clearing</t>
  </si>
  <si>
    <t>Cold; no rain; no frogs</t>
  </si>
  <si>
    <t>Cold, rainy</t>
  </si>
  <si>
    <t>returned at 21:00 - 42F, rainy, single chorus frog.</t>
  </si>
  <si>
    <t>sprinkles</t>
  </si>
  <si>
    <t>Dry.  Shower later.</t>
  </si>
  <si>
    <t>Rain, heavy then mist</t>
  </si>
  <si>
    <t>11 CF's</t>
  </si>
  <si>
    <t>Temp drops fast; sky clearing</t>
  </si>
  <si>
    <t>Wet, rainy; dry later</t>
  </si>
  <si>
    <t>1 chorus frog</t>
  </si>
  <si>
    <t>a shower, wet pavement, then drying</t>
  </si>
  <si>
    <t>A few snow flurries</t>
  </si>
  <si>
    <t xml:space="preserve">N   </t>
  </si>
  <si>
    <t>wet pavement; lite mist</t>
  </si>
  <si>
    <t>18:30PM</t>
  </si>
  <si>
    <t>18:30 PM</t>
  </si>
  <si>
    <t>patchy wet/dry pavemt.</t>
  </si>
  <si>
    <t xml:space="preserve">rain/snow mix; drying </t>
  </si>
  <si>
    <t>road kill noted on return visit at 20:20</t>
  </si>
  <si>
    <t>Dry then lots of rain</t>
  </si>
  <si>
    <t>165 CFs, almost all females</t>
  </si>
  <si>
    <t xml:space="preserve">Wet pavement </t>
  </si>
  <si>
    <t>Dry; dry pavement</t>
  </si>
  <si>
    <t>Dry, broken cllouds</t>
  </si>
  <si>
    <t>bone dry</t>
  </si>
  <si>
    <t>clear, dry, moonlit</t>
  </si>
  <si>
    <t>saw a couple chorus frogs moving on Marina way.  first looked to be heading to wetlands.  second, unknown</t>
  </si>
  <si>
    <t>Dry and windy</t>
  </si>
  <si>
    <t>Dry; pavemt mostly dry</t>
  </si>
  <si>
    <t>1 long-toed salamander up;  approx. 20 chorus frogs down/up</t>
  </si>
  <si>
    <t>Damp pavement</t>
  </si>
  <si>
    <t>dry, fair</t>
  </si>
  <si>
    <t>:30</t>
  </si>
  <si>
    <t>steady rain at times</t>
  </si>
  <si>
    <t>29 CF up; 65 down</t>
  </si>
  <si>
    <t>Mist, turning dry; clear sky by 9</t>
  </si>
  <si>
    <t>1 CF down, 2 CF up</t>
  </si>
  <si>
    <t>Light rain to dry</t>
  </si>
  <si>
    <t>approx 20 chorus frogs down; 10 up; 1 long-toed salamander up</t>
  </si>
  <si>
    <t>Dry pvmt, broken clouds</t>
  </si>
  <si>
    <t>Returned at 21:50 -  52F no frogs.</t>
  </si>
  <si>
    <t>daylight savings time</t>
  </si>
  <si>
    <t>2018 SUNRISE/SUNSET</t>
  </si>
  <si>
    <t>Jan.</t>
  </si>
  <si>
    <t>Feb.</t>
  </si>
  <si>
    <t>Mar.</t>
  </si>
  <si>
    <t>Apr.</t>
  </si>
  <si>
    <t>May</t>
  </si>
  <si>
    <t>June</t>
  </si>
  <si>
    <t>July</t>
  </si>
  <si>
    <t>Aug.</t>
  </si>
  <si>
    <t>Sept.</t>
  </si>
  <si>
    <t>Oct.</t>
  </si>
  <si>
    <t>Nov.</t>
  </si>
  <si>
    <t>Dec.</t>
  </si>
  <si>
    <t>Day</t>
  </si>
  <si>
    <t>Rise</t>
  </si>
  <si>
    <t>Set</t>
  </si>
  <si>
    <t>2019 SUNRISE/SUNSET</t>
  </si>
  <si>
    <t>2018 CIVIL TWILIGHT</t>
  </si>
  <si>
    <t>Begin</t>
  </si>
  <si>
    <t>End</t>
  </si>
  <si>
    <t>2019 CIVIL TWILIGHT</t>
  </si>
  <si>
    <t>Day    Jan.     Feb.     Mar.     Apr.     May      June     July     Aug.     Sep.     Oct.     Nov.     Dec.</t>
  </si>
  <si>
    <t>01     0.99     0.99     0.99     0.99     0.98     0.93     0.91     0.82     0.69     0.62     0.43     0.36</t>
  </si>
  <si>
    <t>02     1.00     0.96     1.00     0.96     0.95     0.88     0.85     0.74     0.59     0.51     0.32     0.25</t>
  </si>
  <si>
    <t>03     0.98     0.90     0.98     0.91     0.89     0.81     0.78     0.65     0.48     0.40     0.22     0.17</t>
  </si>
  <si>
    <t>04     0.93     0.82     0.93     0.85     0.83     0.73     0.70     0.55     0.36     0.29     0.13     0.09</t>
  </si>
  <si>
    <t>05     0.85     0.73     0.87     0.77     0.75     0.64     0.60     0.44     0.26     0.19     0.07     0.04</t>
  </si>
  <si>
    <t>06     0.77     0.63     0.79     0.68     0.66     0.54     0.50     0.33     0.16     0.11     0.02     0.01</t>
  </si>
  <si>
    <t>07     0.67     0.53     0.70     0.59     0.57     0.45     0.40     0.23     0.08     0.05     0.00     0.00</t>
  </si>
  <si>
    <t>08     0.56     0.44     0.61     0.50     0.48     0.35     0.29     0.14     0.03     0.01     0.01     0.01</t>
  </si>
  <si>
    <t>09     0.46     0.34     0.51     0.40     0.38     0.25     0.20     0.06     0.00     0.00     0.03     0.04</t>
  </si>
  <si>
    <t>10     0.36     0.26     0.42     0.31     0.29     0.16     0.11     0.02     0.01     0.02     0.08     0.09</t>
  </si>
  <si>
    <t>11     0.27     0.18     0.33     0.23     0.20     0.09     0.05     0.00     0.04     0.06     0.14     0.15</t>
  </si>
  <si>
    <t>12     0.19     0.11     0.24     0.15     0.12     0.03     0.01     0.01     0.09     0.12     0.21     0.22</t>
  </si>
  <si>
    <t>13     0.12     0.06     0.17     0.09     0.06     0.00     0.00     0.05     0.16     0.19     0.29     0.30</t>
  </si>
  <si>
    <t>14     0.07     0.02     0.10     0.04     0.02     0.00     0.02     0.12     0.25     0.28     0.38     0.39</t>
  </si>
  <si>
    <t>15     0.03     0.00     0.05     0.01     0.00     0.03     0.07     0.20     0.34     0.37     0.47     0.49</t>
  </si>
  <si>
    <t>16     0.01     0.00     0.02     0.00     0.01     0.09     0.15     0.30     0.44     0.46     0.57     0.58</t>
  </si>
  <si>
    <t>17     0.00     0.02     0.00     0.02     0.05     0.17     0.24     0.40     0.54     0.56     0.66     0.68</t>
  </si>
  <si>
    <t>18     0.01     0.06     0.01     0.07     0.11     0.27     0.34     0.50     0.63     0.65     0.75     0.77</t>
  </si>
  <si>
    <t>19     0.05     0.12     0.04     0.13     0.20     0.38     0.45     0.60     0.72     0.74     0.83     0.85</t>
  </si>
  <si>
    <t>20     0.09     0.20     0.09     0.22     0.30     0.49     0.55     0.69     0.80     0.81     0.90     0.92</t>
  </si>
  <si>
    <t>21     0.16     0.29     0.16     0.32     0.41     0.60     0.65     0.78     0.87     0.88     0.95     0.97</t>
  </si>
  <si>
    <t>22     0.24     0.39     0.25     0.44     0.52     0.70     0.75     0.85     0.93     0.94     0.99     1.00</t>
  </si>
  <si>
    <t>23     0.33     0.50     0.35     0.55     0.63     0.79     0.83     0.91     0.97     0.98     1.00     0.99</t>
  </si>
  <si>
    <t>24     0.44     0.61     0.47     0.66     0.73     0.86     0.89     0.96     0.99     1.00     0.98     0.96</t>
  </si>
  <si>
    <t>25     0.55     0.72     0.58     0.76     0.82     0.92     0.94     0.99     1.00     0.99     0.94     0.91</t>
  </si>
  <si>
    <t>26     0.65     0.82     0.69     0.85     0.89     0.97     0.98     1.00     0.98     0.97     0.88     0.82</t>
  </si>
  <si>
    <t>27     0.76     0.90     0.79     0.92     0.95     0.99     1.00     0.99     0.95     0.92     0.79     0.73</t>
  </si>
  <si>
    <t>28     0.85     0.96     0.88     0.97     0.98     1.00     1.00     0.97     0.89     0.85     0.69     0.62</t>
  </si>
  <si>
    <t>29     0.93      x        0.94     0.99     1.00     0.99     0.98     0.92     0.82     0.76     0.58     0.51</t>
  </si>
  <si>
    <t>30     0.98       x       0.98     1.00     0.99     0.96     0.94     0.86     0.72     0.65     0.47     0.40</t>
  </si>
  <si>
    <t>31     1.00       x       1.00      x        0.97       x       0.89     0.78       x       0.54      x        0.30</t>
  </si>
  <si>
    <t>01     0.09     0.20     0.09     0.23     0.31     0.48     0.53     0.66     0.77     0.79     0.89     0.92</t>
  </si>
  <si>
    <t>02     0.16     0.30     0.17     0.34     0.42     0.58     0.63     0.75     0.85     0.87     0.95     0.97</t>
  </si>
  <si>
    <t>03     0.24     0.41     0.26     0.45     0.52     0.68     0.72     0.82     0.91     0.93     0.99     1.00</t>
  </si>
  <si>
    <t>04     0.34     0.52     0.37     0.56     0.63     0.77     0.80     0.89     0.96     0.97     1.00     0.99</t>
  </si>
  <si>
    <t>05     0.45     0.63     0.48     0.67     0.73     0.85     0.87     0.94     0.99     1.00     0.98     0.96</t>
  </si>
  <si>
    <t>06     0.56     0.74     0.60     0.77     0.81     0.91     0.93     0.98     1.00     0.99     0.93     0.90</t>
  </si>
  <si>
    <t>07     0.67     0.83     0.71     0.85     0.88     0.95     0.97     1.00     0.99     0.97     0.86     0.81</t>
  </si>
  <si>
    <t>08     0.77     0.91     0.80     0.92     0.94     0.98     0.99     1.00     0.95     0.91     0.77     0.71</t>
  </si>
  <si>
    <t>09     0.86     0.96     0.88     0.96     0.98     1.00     1.00     0.97     0.89     0.84     0.67     0.61</t>
  </si>
  <si>
    <t>10     0.93     0.99     0.94     0.99     1.00     0.99     0.99     0.93     0.81     0.74     0.56     0.50</t>
  </si>
  <si>
    <t>11     0.98     1.00     0.98     1.00     1.00     0.97     0.96     0.87     0.72     0.64     0.45     0.40</t>
  </si>
  <si>
    <t>12     1.00     0.98     1.00     0.99     0.98     0.93     0.91     0.79     0.61     0.52     0.34     0.30</t>
  </si>
  <si>
    <t>13     0.99     0.94     0.99     0.96     0.95     0.87     0.84     0.69     0.49     0.41     0.25     0.21</t>
  </si>
  <si>
    <t>14     0.96     0.88     0.97     0.91     0.90     0.80     0.76     0.58     0.38     0.30     0.16     0.14</t>
  </si>
  <si>
    <t>15     0.90     0.81     0.93     0.85     0.83     0.72     0.66     0.47     0.27     0.21     0.10     0.08</t>
  </si>
  <si>
    <t>16     0.83     0.73     0.87     0.78     0.76     0.62     0.55     0.36     0.18     0.13     0.05     0.04</t>
  </si>
  <si>
    <t>17     0.74     0.64     0.80     0.70     0.67     0.52     0.44     0.25     0.10     0.07     0.01     0.01</t>
  </si>
  <si>
    <t>18     0.65     0.55     0.71     0.61     0.57     0.41     0.33     0.15     0.04     0.02     0.00     0.00</t>
  </si>
  <si>
    <t>19     0.56     0.45     0.63     0.51     0.47     0.30     0.23     0.08     0.01     0.00     0.01     0.01</t>
  </si>
  <si>
    <t>20     0.46     0.36     0.53     0.41     0.37     0.20     0.13     0.03     0.00     0.00     0.03     0.04</t>
  </si>
  <si>
    <t>21     0.37     0.27     0.44     0.31     0.26     0.12     0.06     0.00     0.01     0.03     0.07     0.08</t>
  </si>
  <si>
    <t>22     0.28     0.19     0.34     0.22     0.17     0.05     0.02     0.00     0.05     0.06     0.13     0.14</t>
  </si>
  <si>
    <t>23     0.20     0.12     0.25     0.14     0.09     0.01     0.00     0.03     0.10     0.12     0.20     0.21</t>
  </si>
  <si>
    <t>24     0.13     0.06     0.17     0.07     0.04     0.00     0.01     0.08     0.17     0.19     0.28     0.30</t>
  </si>
  <si>
    <t>25     0.07     0.02     0.10     0.02     0.01     0.02     0.05     0.15     0.25     0.26     0.37     0.39</t>
  </si>
  <si>
    <t>26     0.03     0.00     0.04     0.00     0.01     0.07     0.11     0.22     0.34     0.35     0.46     0.50</t>
  </si>
  <si>
    <t>27     0.01     0.01     0.01     0.01     0.04     0.14     0.19     0.31     0.43     0.44     0.56     0.60</t>
  </si>
  <si>
    <t>28     0.00     0.04     0.00     0.05     0.09     0.23     0.28     0.41     0.52     0.54     0.66     0.70</t>
  </si>
  <si>
    <t>29     0.02       x       0.02     0.12     0.18     0.33     0.37     0.50     0.62     0.64     0.76     0.80</t>
  </si>
  <si>
    <t>30     0.06       x       0.07     0.20     0.27     0.43     0.47     0.59     0.71     0.73     0.85     0.89</t>
  </si>
  <si>
    <t>31     0.12     x        0.14       x       0.37       x      0.57     0.69      x        0.82        x      0.95</t>
  </si>
  <si>
    <t>nov</t>
  </si>
  <si>
    <t>dec</t>
  </si>
  <si>
    <t>jan</t>
  </si>
  <si>
    <t>feb</t>
  </si>
  <si>
    <t>mar</t>
  </si>
  <si>
    <t>apr</t>
  </si>
  <si>
    <t>Start time</t>
  </si>
  <si>
    <t>End time</t>
  </si>
  <si>
    <t>Hours</t>
  </si>
  <si>
    <t>NOV_F_A_DN</t>
  </si>
  <si>
    <t>DEC_F_A_DN</t>
  </si>
  <si>
    <t>JAN_F_A_DN</t>
  </si>
  <si>
    <t>FEB_F_A_DN</t>
  </si>
  <si>
    <t>MAR_F_A_DN</t>
  </si>
  <si>
    <t>NOV_M_A_DN</t>
  </si>
  <si>
    <t>DEC_M_A_DN</t>
  </si>
  <si>
    <t>JAN_M_A_DN</t>
  </si>
  <si>
    <t>FEB_M_A_DN</t>
  </si>
  <si>
    <t>MAR_M_A_DN</t>
  </si>
  <si>
    <t>NOV_F_U_DN</t>
  </si>
  <si>
    <t>DEC_F_U_DN</t>
  </si>
  <si>
    <t>JAN_F_U_DN</t>
  </si>
  <si>
    <t>FEB_F_U_DN</t>
  </si>
  <si>
    <t>MAR_F_U_DN</t>
  </si>
  <si>
    <t>NOV_M_U_DN</t>
  </si>
  <si>
    <t>DEC_M_U_DN</t>
  </si>
  <si>
    <t>JAN_M_U_DN</t>
  </si>
  <si>
    <t>FEB_M_U_DN</t>
  </si>
  <si>
    <t>MAR_M_U_DN</t>
  </si>
  <si>
    <t>NOV_F_A_UP</t>
  </si>
  <si>
    <t>DEC_F_A_UP</t>
  </si>
  <si>
    <t>JAN_F_A_UP</t>
  </si>
  <si>
    <t>FEB_F_A_UP</t>
  </si>
  <si>
    <t>MAR_F_A_UP</t>
  </si>
  <si>
    <t>NOV_M_A_UP</t>
  </si>
  <si>
    <t>DEC_M_A_UP</t>
  </si>
  <si>
    <t>JAN_M_A_UP</t>
  </si>
  <si>
    <t>FEB_M_A_UP</t>
  </si>
  <si>
    <t>MAR_M_A_UP</t>
  </si>
  <si>
    <t>NOV_F_U_UP</t>
  </si>
  <si>
    <t>DEC_F_U_UP</t>
  </si>
  <si>
    <t>JAN_F_U_UP</t>
  </si>
  <si>
    <t>FEB_F_U_UP</t>
  </si>
  <si>
    <t>MAR_F_U_UP</t>
  </si>
  <si>
    <t>NOV_M_U_UP</t>
  </si>
  <si>
    <t>DEC_M_U_UP</t>
  </si>
  <si>
    <t>JAN_M_U_UP</t>
  </si>
  <si>
    <t>FEB_M_U_UP</t>
  </si>
  <si>
    <t>MAR_M_U_UP</t>
  </si>
  <si>
    <t>NOV_JUV</t>
  </si>
  <si>
    <t>DEC_JUV</t>
  </si>
  <si>
    <t>JAN_JUV</t>
  </si>
  <si>
    <t>FEB_JUV</t>
  </si>
  <si>
    <t>MAR_JUV</t>
  </si>
  <si>
    <t>NOV_M_ROADKILL</t>
  </si>
  <si>
    <t>DEC_M_ROADKILL</t>
  </si>
  <si>
    <t>JAN_M_ROADKILL</t>
  </si>
  <si>
    <t>FEB_M_ROADKILL</t>
  </si>
  <si>
    <t>MAR_M_ROADKILL</t>
  </si>
  <si>
    <t>NOV_F_ROADKILL</t>
  </si>
  <si>
    <t>DEC_F_ROADKILL</t>
  </si>
  <si>
    <t>JAN_F_ROADKILL</t>
  </si>
  <si>
    <t>FEB_F_ROADKILL</t>
  </si>
  <si>
    <t>MAR_F_ROADKILL</t>
  </si>
  <si>
    <t>NOV_UNK_ROADKILL</t>
  </si>
  <si>
    <t>DEC_UNK_ROADKILL</t>
  </si>
  <si>
    <t>JAN_UNK_ROADKILL</t>
  </si>
  <si>
    <t>FEB_UNK_ROADKILL</t>
  </si>
  <si>
    <t>MAR_UNK_ROADKILL</t>
  </si>
  <si>
    <t>Total Frogs Assisted</t>
  </si>
  <si>
    <t>2015/</t>
  </si>
  <si>
    <t>Shift</t>
  </si>
  <si>
    <t>Unassisted females  up</t>
  </si>
  <si>
    <t>Unassisted males up</t>
  </si>
  <si>
    <t>Frogs down</t>
  </si>
  <si>
    <t>Frogs up</t>
  </si>
  <si>
    <t>Total assisted</t>
  </si>
  <si>
    <t>Baro Pressure</t>
  </si>
  <si>
    <t>Month</t>
  </si>
  <si>
    <t>Each month is stored in its own tab - DO NOT CHANGE</t>
  </si>
  <si>
    <t>Date of the observation - note that each month has its own tab.  DO NOT CHANGE</t>
  </si>
  <si>
    <t>Sunset (Hidden)</t>
  </si>
  <si>
    <t>This is the time when the sun sets below the horizon. This is incuded as an aid to setting the time for volunteers to assemble.  DO NOT CHANGE.</t>
  </si>
  <si>
    <t>Dark</t>
  </si>
  <si>
    <t>This is the time of the end of civil twilight - when it becomes too dark to see without artificial illumination.This is incuded as an aid to setting the time for volunteers to assemble.  DO NOT CHANGE.</t>
  </si>
  <si>
    <t>1 = Regular, 2 = Night Owl</t>
  </si>
  <si>
    <t>The captain in charge on this date.  Each captain is responsible for making his/her own daily entry.</t>
  </si>
  <si>
    <t>Enter Y if you went out to the site and N if not.</t>
  </si>
  <si>
    <t>The time of arrival on site.</t>
  </si>
  <si>
    <t>The final time of departure from the site.</t>
  </si>
  <si>
    <t>The temperature when you arrived on site OR the temperature you used to make the go/no-go decision for the evening.</t>
  </si>
  <si>
    <t>The temperature when everyone went home for the night</t>
  </si>
  <si>
    <t>The weather you used to make the go/no-go decision for the evening.</t>
  </si>
  <si>
    <t>Number of hours on site (difference of start and end times)</t>
  </si>
  <si>
    <t>Total hours on-site of all team members (including captain)</t>
  </si>
  <si>
    <t>AUTOFILL:  Number of red legged frogs (assisited and unassisted) down (to the wetlands)</t>
  </si>
  <si>
    <t>AUTOFILL:  Number of red legged frogs (assisited and unassisted) uphill  (from the wetlands)</t>
  </si>
  <si>
    <t>Notations of any special observations or circumstances and other species notied</t>
  </si>
  <si>
    <t>Barometric Pressure</t>
  </si>
  <si>
    <t>Available at http://w1.weather.gov/obhistory/KPDX.html.  Suffix + indicates rising, - indicates falling.</t>
  </si>
  <si>
    <t>DST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</si>
</sst>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h&quot;:&quot;mm"/>
    <numFmt numFmtId="165" formatCode="h&quot;:&quot;mm&quot; &quot;am/pm"/>
    <numFmt numFmtId="166" formatCode="M/d/yyyy"/>
    <numFmt numFmtId="167" formatCode="h:mm am/pm"/>
    <numFmt numFmtId="168" formatCode="M/d/yyyy H:mm:ss"/>
    <numFmt numFmtId="169" formatCode="m/d"/>
    <numFmt numFmtId="170" formatCode="mm/dd/yyyy"/>
    <numFmt numFmtId="171" formatCode="m/d/yyyy"/>
  </numFmts>
  <fonts count="13">
    <font>
      <sz val="10.0"/>
      <color rgb="FF000000"/>
      <name val="Arial"/>
    </font>
    <font/>
    <font>
      <color rgb="FF000000"/>
    </font>
    <font>
      <color rgb="FFFFFFFF"/>
    </font>
    <font>
      <sz val="9.0"/>
    </font>
    <font>
      <b/>
    </font>
    <font>
      <b/>
      <sz val="10.0"/>
      <color rgb="FF000000"/>
      <name val="Arial"/>
    </font>
    <font>
      <b/>
      <sz val="10.0"/>
      <name val="Arial"/>
    </font>
    <font>
      <b/>
      <name val="Arial"/>
    </font>
    <font>
      <b/>
      <sz val="6.0"/>
    </font>
    <font>
      <name val="Arial"/>
    </font>
    <font>
      <sz val="11.0"/>
      <color rgb="FF000000"/>
      <name val="Inconsolata"/>
    </font>
    <font>
      <b/>
      <i/>
    </font>
  </fonts>
  <fills count="3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AEAEAE"/>
        <bgColor rgb="FFAEAEAE"/>
      </patternFill>
    </fill>
    <fill>
      <patternFill patternType="solid">
        <fgColor rgb="FFA6A6A6"/>
        <bgColor rgb="FFA6A6A6"/>
      </patternFill>
    </fill>
    <fill>
      <patternFill patternType="solid">
        <fgColor rgb="FFA0A0A0"/>
        <bgColor rgb="FFA0A0A0"/>
      </patternFill>
    </fill>
    <fill>
      <patternFill patternType="solid">
        <fgColor rgb="FF9C9C9C"/>
        <bgColor rgb="FF9C9C9C"/>
      </patternFill>
    </fill>
    <fill>
      <patternFill patternType="solid">
        <fgColor rgb="FF9A9A9A"/>
        <bgColor rgb="FF9A9A9A"/>
      </patternFill>
    </fill>
    <fill>
      <patternFill patternType="solid">
        <fgColor rgb="FF9E9E9E"/>
        <bgColor rgb="FF9E9E9E"/>
      </patternFill>
    </fill>
    <fill>
      <patternFill patternType="solid">
        <fgColor rgb="FFA2A2A2"/>
        <bgColor rgb="FFA2A2A2"/>
      </patternFill>
    </fill>
    <fill>
      <patternFill patternType="solid">
        <fgColor rgb="FFA9A9A9"/>
        <bgColor rgb="FFA9A9A9"/>
      </patternFill>
    </fill>
    <fill>
      <patternFill patternType="solid">
        <fgColor rgb="FFB0B0B0"/>
        <bgColor rgb="FFB0B0B0"/>
      </patternFill>
    </fill>
    <fill>
      <patternFill patternType="solid">
        <fgColor rgb="FFB8B8B8"/>
        <bgColor rgb="FFB8B8B8"/>
      </patternFill>
    </fill>
    <fill>
      <patternFill patternType="solid">
        <fgColor rgb="FFC2C2C2"/>
        <bgColor rgb="FFC2C2C2"/>
      </patternFill>
    </fill>
    <fill>
      <patternFill patternType="solid">
        <fgColor rgb="FFCDCDCD"/>
        <bgColor rgb="FFCDCDCD"/>
      </patternFill>
    </fill>
    <fill>
      <patternFill patternType="solid">
        <fgColor rgb="FFD7D7D7"/>
        <bgColor rgb="FFD7D7D7"/>
      </patternFill>
    </fill>
    <fill>
      <patternFill patternType="solid">
        <fgColor rgb="FFE1E1E1"/>
        <bgColor rgb="FFE1E1E1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FDFDFD"/>
        <bgColor rgb="FFFDFDFD"/>
      </patternFill>
    </fill>
    <fill>
      <patternFill patternType="solid">
        <fgColor rgb="FFFCFCFC"/>
        <bgColor rgb="FFFCFCFC"/>
      </patternFill>
    </fill>
    <fill>
      <patternFill patternType="solid">
        <fgColor rgb="FFF7F7F7"/>
        <bgColor rgb="FFF7F7F7"/>
      </patternFill>
    </fill>
    <fill>
      <patternFill patternType="solid">
        <fgColor rgb="FFF0F0F0"/>
        <bgColor rgb="FFF0F0F0"/>
      </patternFill>
    </fill>
    <fill>
      <patternFill patternType="solid">
        <fgColor rgb="FFE7E7E7"/>
        <bgColor rgb="FFE7E7E7"/>
      </patternFill>
    </fill>
    <fill>
      <patternFill patternType="solid">
        <fgColor rgb="FFDDDDDD"/>
        <bgColor rgb="FFDDDDDD"/>
      </patternFill>
    </fill>
    <fill>
      <patternFill patternType="solid">
        <fgColor rgb="FFD2D2D2"/>
        <bgColor rgb="FFD2D2D2"/>
      </patternFill>
    </fill>
    <fill>
      <patternFill patternType="solid">
        <fgColor rgb="FFC6C6C6"/>
        <bgColor rgb="FFC6C6C6"/>
      </patternFill>
    </fill>
    <fill>
      <patternFill patternType="solid">
        <fgColor rgb="FFBCBCBC"/>
        <bgColor rgb="FFBCBCBC"/>
      </patternFill>
    </fill>
    <fill>
      <patternFill patternType="solid">
        <fgColor rgb="FFB3B3B3"/>
        <bgColor rgb="FFB3B3B3"/>
      </patternFill>
    </fill>
    <fill>
      <patternFill patternType="solid">
        <fgColor rgb="FFABABAB"/>
        <bgColor rgb="FFABABAB"/>
      </patternFill>
    </fill>
  </fills>
  <borders count="1">
    <border/>
  </borders>
  <cellStyleXfs count="1">
    <xf borderId="0" fillId="0" fontId="0" numFmtId="0" applyAlignment="1" applyFont="1"/>
  </cellStyleXfs>
  <cellXfs count="3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14" xfId="0" applyFont="1" applyNumberFormat="1"/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3" fontId="1" numFmtId="164" xfId="0" applyAlignment="1" applyFont="1" applyNumberFormat="1">
      <alignment readingOrder="0"/>
    </xf>
    <xf borderId="0" fillId="0" fontId="1" numFmtId="14" xfId="0" applyFont="1" applyNumberFormat="1"/>
    <xf borderId="0" fillId="2" fontId="0" numFmtId="4" xfId="0" applyFont="1" applyNumberFormat="1"/>
    <xf borderId="0" fillId="3" fontId="1" numFmtId="2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1" numFmtId="0" xfId="0" applyAlignment="1" applyFont="1">
      <alignment horizontal="right"/>
    </xf>
    <xf borderId="0" fillId="3" fontId="1" numFmtId="0" xfId="0" applyFont="1"/>
    <xf borderId="0" fillId="4" fontId="1" numFmtId="14" xfId="0" applyFill="1" applyFont="1" applyNumberFormat="1"/>
    <xf borderId="0" fillId="5" fontId="1" numFmtId="0" xfId="0" applyAlignment="1" applyFill="1" applyFont="1">
      <alignment horizontal="center" readingOrder="0"/>
    </xf>
    <xf borderId="0" fillId="5" fontId="1" numFmtId="164" xfId="0" applyAlignment="1" applyFont="1" applyNumberFormat="1">
      <alignment readingOrder="0"/>
    </xf>
    <xf borderId="0" fillId="5" fontId="1" numFmtId="2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5" fontId="1" numFmtId="0" xfId="0" applyFont="1"/>
    <xf borderId="0" fillId="4" fontId="2" numFmtId="14" xfId="0" applyFont="1" applyNumberFormat="1"/>
    <xf borderId="0" fillId="3" fontId="1" numFmtId="20" xfId="0" applyAlignment="1" applyFont="1" applyNumberFormat="1">
      <alignment readingOrder="0"/>
    </xf>
    <xf borderId="0" fillId="6" fontId="3" numFmtId="14" xfId="0" applyFill="1" applyFont="1" applyNumberFormat="1"/>
    <xf borderId="0" fillId="2" fontId="2" numFmtId="14" xfId="0" applyFont="1" applyNumberFormat="1"/>
    <xf borderId="0" fillId="7" fontId="2" numFmtId="14" xfId="0" applyFill="1" applyFont="1" applyNumberFormat="1"/>
    <xf borderId="0" fillId="5" fontId="4" numFmtId="0" xfId="0" applyAlignment="1" applyFont="1">
      <alignment readingOrder="0"/>
    </xf>
    <xf borderId="0" fillId="5" fontId="4" numFmtId="0" xfId="0" applyFont="1"/>
    <xf borderId="0" fillId="3" fontId="2" numFmtId="14" xfId="0" applyFont="1" applyNumberFormat="1"/>
    <xf borderId="0" fillId="5" fontId="1" numFmtId="20" xfId="0" applyAlignment="1" applyFont="1" applyNumberFormat="1">
      <alignment readingOrder="0"/>
    </xf>
    <xf borderId="0" fillId="0" fontId="5" numFmtId="0" xfId="0" applyFont="1"/>
    <xf borderId="0" fillId="3" fontId="5" numFmtId="0" xfId="0" applyAlignment="1" applyFont="1">
      <alignment readingOrder="0"/>
    </xf>
    <xf borderId="0" fillId="0" fontId="5" numFmtId="165" xfId="0" applyFont="1" applyNumberFormat="1"/>
    <xf borderId="0" fillId="2" fontId="5" numFmtId="4" xfId="0" applyFont="1" applyNumberFormat="1"/>
    <xf borderId="0" fillId="2" fontId="5" numFmtId="3" xfId="0" applyFont="1" applyNumberFormat="1"/>
    <xf borderId="0" fillId="3" fontId="5" numFmtId="0" xfId="0" applyAlignment="1" applyFont="1">
      <alignment horizontal="left" readingOrder="0"/>
    </xf>
    <xf borderId="0" fillId="3" fontId="5" numFmtId="165" xfId="0" applyFont="1" applyNumberFormat="1"/>
    <xf borderId="0" fillId="2" fontId="5" numFmtId="4" xfId="0" applyAlignment="1" applyFont="1" applyNumberFormat="1">
      <alignment readingOrder="0"/>
    </xf>
    <xf borderId="0" fillId="3" fontId="5" numFmtId="0" xfId="0" applyFont="1"/>
    <xf borderId="0" fillId="2" fontId="5" numFmtId="3" xfId="0" applyAlignment="1" applyFont="1" applyNumberFormat="1">
      <alignment readingOrder="0"/>
    </xf>
    <xf borderId="0" fillId="2" fontId="6" numFmtId="3" xfId="0" applyFont="1" applyNumberFormat="1"/>
    <xf borderId="0" fillId="2" fontId="7" numFmtId="3" xfId="0" applyAlignment="1" applyFont="1" applyNumberFormat="1">
      <alignment readingOrder="0"/>
    </xf>
    <xf borderId="0" fillId="3" fontId="5" numFmtId="14" xfId="0" applyAlignment="1" applyFont="1" applyNumberFormat="1">
      <alignment readingOrder="0" vertical="top"/>
    </xf>
    <xf borderId="0" fillId="3" fontId="5" numFmtId="0" xfId="0" applyAlignment="1" applyFont="1">
      <alignment vertical="top"/>
    </xf>
    <xf borderId="0" fillId="3" fontId="5" numFmtId="0" xfId="0" applyAlignment="1" applyFont="1">
      <alignment readingOrder="0" vertical="top"/>
    </xf>
    <xf borderId="0" fillId="3" fontId="5" numFmtId="0" xfId="0" applyAlignment="1" applyFont="1">
      <alignment horizontal="right" readingOrder="0" vertical="top"/>
    </xf>
    <xf borderId="0" fillId="3" fontId="5" numFmtId="4" xfId="0" applyAlignment="1" applyFont="1" applyNumberFormat="1">
      <alignment horizontal="right" readingOrder="0" vertical="top"/>
    </xf>
    <xf borderId="0" fillId="3" fontId="5" numFmtId="0" xfId="0" applyAlignment="1" applyFont="1">
      <alignment readingOrder="0" shrinkToFit="0" vertical="top" wrapText="1"/>
    </xf>
    <xf borderId="0" fillId="3" fontId="1" numFmtId="0" xfId="0" applyFont="1"/>
    <xf borderId="0" fillId="3" fontId="8" numFmtId="0" xfId="0" applyAlignment="1" applyFont="1">
      <alignment readingOrder="0" vertical="bottom"/>
    </xf>
    <xf borderId="0" fillId="0" fontId="5" numFmtId="14" xfId="0" applyAlignment="1" applyFont="1" applyNumberFormat="1">
      <alignment readingOrder="0"/>
    </xf>
    <xf borderId="0" fillId="3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20" xfId="0" applyAlignment="1" applyFont="1" applyNumberFormat="1">
      <alignment readingOrder="0"/>
    </xf>
    <xf borderId="0" fillId="0" fontId="5" numFmtId="46" xfId="0" applyFont="1" applyNumberFormat="1"/>
    <xf borderId="0" fillId="0" fontId="5" numFmtId="4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5" fontId="5" numFmtId="0" xfId="0" applyAlignment="1" applyFont="1">
      <alignment readingOrder="0"/>
    </xf>
    <xf borderId="0" fillId="0" fontId="1" numFmtId="165" xfId="0" applyFont="1" applyNumberFormat="1"/>
    <xf borderId="0" fillId="0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3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3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3" fontId="1" numFmtId="166" xfId="0" applyFont="1" applyNumberFormat="1"/>
    <xf borderId="0" fillId="3" fontId="1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5" fontId="1" numFmtId="0" xfId="0" applyAlignment="1" applyFont="1">
      <alignment readingOrder="0" shrinkToFit="0" wrapText="1"/>
    </xf>
    <xf borderId="0" fillId="5" fontId="1" numFmtId="0" xfId="0" applyAlignment="1" applyFont="1">
      <alignment readingOrder="0" shrinkToFit="0" wrapText="1"/>
    </xf>
    <xf borderId="0" fillId="6" fontId="3" numFmtId="14" xfId="0" applyAlignment="1" applyFont="1" applyNumberFormat="1">
      <alignment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3" fontId="1" numFmtId="0" xfId="0" applyAlignment="1" applyFont="1">
      <alignment readingOrder="0" vertical="top"/>
    </xf>
    <xf borderId="0" fillId="3" fontId="1" numFmtId="20" xfId="0" applyAlignment="1" applyFont="1" applyNumberFormat="1">
      <alignment readingOrder="0" vertical="top"/>
    </xf>
    <xf borderId="0" fillId="3" fontId="1" numFmtId="166" xfId="0" applyAlignment="1" applyFont="1" applyNumberFormat="1">
      <alignment readingOrder="0" vertical="top"/>
    </xf>
    <xf borderId="0" fillId="3" fontId="1" numFmtId="46" xfId="0" applyAlignment="1" applyFont="1" applyNumberFormat="1">
      <alignment readingOrder="0" vertical="top"/>
    </xf>
    <xf borderId="0" fillId="2" fontId="0" numFmtId="4" xfId="0" applyAlignment="1" applyFont="1" applyNumberFormat="1">
      <alignment vertical="top"/>
    </xf>
    <xf borderId="0" fillId="3" fontId="1" numFmtId="0" xfId="0" applyAlignment="1" applyFont="1">
      <alignment readingOrder="0" shrinkToFit="0" vertical="top" wrapText="1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vertical="top"/>
    </xf>
    <xf borderId="0" fillId="0" fontId="1" numFmtId="0" xfId="0" applyAlignment="1" applyFont="1">
      <alignment horizontal="right" vertical="top"/>
    </xf>
    <xf borderId="0" fillId="3" fontId="1" numFmtId="0" xfId="0" applyAlignment="1" applyFont="1">
      <alignment readingOrder="0" shrinkToFit="0" vertical="top" wrapText="1"/>
    </xf>
    <xf borderId="0" fillId="3" fontId="1" numFmtId="0" xfId="0" applyAlignment="1" applyFont="1">
      <alignment vertical="top"/>
    </xf>
    <xf borderId="0" fillId="5" fontId="1" numFmtId="164" xfId="0" applyAlignment="1" applyFont="1" applyNumberFormat="1">
      <alignment readingOrder="0" vertical="top"/>
    </xf>
    <xf borderId="0" fillId="5" fontId="1" numFmtId="0" xfId="0" applyAlignment="1" applyFont="1">
      <alignment horizontal="right" readingOrder="0" vertical="top"/>
    </xf>
    <xf borderId="0" fillId="5" fontId="1" numFmtId="0" xfId="0" applyAlignment="1" applyFont="1">
      <alignment readingOrder="0" shrinkToFit="0" vertical="top" wrapText="1"/>
    </xf>
    <xf borderId="0" fillId="5" fontId="1" numFmtId="0" xfId="0" applyAlignment="1" applyFont="1">
      <alignment readingOrder="0" shrinkToFit="0" vertical="top" wrapText="1"/>
    </xf>
    <xf borderId="0" fillId="5" fontId="1" numFmtId="0" xfId="0" applyAlignment="1" applyFont="1">
      <alignment vertical="top"/>
    </xf>
    <xf borderId="0" fillId="3" fontId="1" numFmtId="0" xfId="0" applyAlignment="1" applyFont="1">
      <alignment shrinkToFit="0" wrapText="1"/>
    </xf>
    <xf borderId="0" fillId="3" fontId="1" numFmtId="164" xfId="0" applyFont="1" applyNumberFormat="1"/>
    <xf borderId="0" fillId="3" fontId="4" numFmtId="0" xfId="0" applyAlignment="1" applyFont="1">
      <alignment horizontal="center" readingOrder="0" shrinkToFit="0" wrapText="1"/>
    </xf>
    <xf borderId="0" fillId="3" fontId="1" numFmtId="0" xfId="0" applyAlignment="1" applyFont="1">
      <alignment horizontal="center" readingOrder="0" shrinkToFit="0" wrapText="1"/>
    </xf>
    <xf borderId="0" fillId="5" fontId="1" numFmtId="164" xfId="0" applyFont="1" applyNumberFormat="1"/>
    <xf borderId="0" fillId="5" fontId="1" numFmtId="4" xfId="0" applyAlignment="1" applyFont="1" applyNumberFormat="1">
      <alignment readingOrder="0"/>
    </xf>
    <xf borderId="0" fillId="3" fontId="1" numFmtId="4" xfId="0" applyAlignment="1" applyFont="1" applyNumberFormat="1">
      <alignment readingOrder="0"/>
    </xf>
    <xf borderId="0" fillId="3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2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3" fontId="9" numFmtId="0" xfId="0" applyAlignment="1" applyFont="1">
      <alignment readingOrder="0"/>
    </xf>
    <xf borderId="0" fillId="3" fontId="5" numFmtId="0" xfId="0" applyFont="1"/>
    <xf borderId="0" fillId="3" fontId="5" numFmtId="0" xfId="0" applyAlignment="1" applyFont="1">
      <alignment readingOrder="0"/>
    </xf>
    <xf borderId="0" fillId="2" fontId="5" numFmtId="4" xfId="0" applyFont="1" applyNumberFormat="1"/>
    <xf borderId="0" fillId="2" fontId="5" numFmtId="0" xfId="0" applyFont="1"/>
    <xf borderId="0" fillId="2" fontId="2" numFmtId="3" xfId="0" applyAlignment="1" applyFont="1" applyNumberFormat="1">
      <alignment readingOrder="0"/>
    </xf>
    <xf borderId="0" fillId="2" fontId="1" numFmtId="0" xfId="0" applyAlignment="1" applyFont="1">
      <alignment readingOrder="0" shrinkToFit="0" wrapText="1"/>
    </xf>
    <xf borderId="0" fillId="2" fontId="5" numFmtId="3" xfId="0" applyFont="1" applyNumberFormat="1"/>
    <xf borderId="0" fillId="3" fontId="5" numFmtId="0" xfId="0" applyAlignment="1" applyFont="1">
      <alignment horizontal="left" readingOrder="0"/>
    </xf>
    <xf borderId="0" fillId="3" fontId="5" numFmtId="165" xfId="0" applyFont="1" applyNumberFormat="1"/>
    <xf borderId="0" fillId="2" fontId="5" numFmtId="4" xfId="0" applyAlignment="1" applyFont="1" applyNumberFormat="1">
      <alignment readingOrder="0"/>
    </xf>
    <xf borderId="0" fillId="2" fontId="5" numFmtId="3" xfId="0" applyAlignment="1" applyFont="1" applyNumberFormat="1">
      <alignment readingOrder="0"/>
    </xf>
    <xf borderId="0" fillId="2" fontId="6" numFmtId="3" xfId="0" applyFont="1" applyNumberFormat="1"/>
    <xf borderId="0" fillId="3" fontId="1" numFmtId="3" xfId="0" applyAlignment="1" applyFont="1" applyNumberFormat="1">
      <alignment readingOrder="0" shrinkToFit="0" vertical="top" wrapText="1"/>
    </xf>
    <xf borderId="0" fillId="3" fontId="1" numFmtId="10" xfId="0" applyAlignment="1" applyFont="1" applyNumberFormat="1">
      <alignment readingOrder="0" vertical="top"/>
    </xf>
    <xf borderId="0" fillId="0" fontId="8" numFmtId="3" xfId="0" applyAlignment="1" applyFont="1" applyNumberFormat="1">
      <alignment horizontal="right" vertical="bottom"/>
    </xf>
    <xf borderId="0" fillId="3" fontId="8" numFmtId="3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0" fillId="3" fontId="5" numFmtId="3" xfId="0" applyAlignment="1" applyFont="1" applyNumberFormat="1">
      <alignment readingOrder="0" vertical="top"/>
    </xf>
    <xf borderId="0" fillId="0" fontId="10" numFmtId="3" xfId="0" applyAlignment="1" applyFont="1" applyNumberFormat="1">
      <alignment horizontal="right" vertical="bottom"/>
    </xf>
    <xf borderId="0" fillId="3" fontId="5" numFmtId="4" xfId="0" applyAlignment="1" applyFont="1" applyNumberFormat="1">
      <alignment horizontal="right" readingOrder="0" vertical="top"/>
    </xf>
    <xf borderId="0" fillId="3" fontId="5" numFmtId="0" xfId="0" applyAlignment="1" applyFont="1">
      <alignment horizontal="right" readingOrder="0" vertical="top"/>
    </xf>
    <xf borderId="0" fillId="3" fontId="5" numFmtId="0" xfId="0" applyAlignment="1" applyFont="1">
      <alignment readingOrder="0" shrinkToFit="0" vertical="top" wrapText="1"/>
    </xf>
    <xf borderId="0" fillId="0" fontId="10" numFmtId="0" xfId="0" applyAlignment="1" applyFont="1">
      <alignment horizontal="right" vertical="bottom"/>
    </xf>
    <xf borderId="0" fillId="3" fontId="5" numFmtId="0" xfId="0" applyAlignment="1" applyFont="1">
      <alignment readingOrder="0" vertical="top"/>
    </xf>
    <xf borderId="0" fillId="3" fontId="5" numFmtId="14" xfId="0" applyAlignment="1" applyFont="1" applyNumberFormat="1">
      <alignment readingOrder="0" vertical="top"/>
    </xf>
    <xf borderId="0" fillId="3" fontId="5" numFmtId="0" xfId="0" applyAlignment="1" applyFont="1">
      <alignment vertical="top"/>
    </xf>
    <xf borderId="0" fillId="3" fontId="8" numFmtId="0" xfId="0" applyAlignment="1" applyFont="1">
      <alignment readingOrder="0" vertical="bottom"/>
    </xf>
    <xf borderId="0" fillId="0" fontId="5" numFmtId="14" xfId="0" applyAlignment="1" applyFont="1" applyNumberFormat="1">
      <alignment readingOrder="0"/>
    </xf>
    <xf borderId="0" fillId="3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20" xfId="0" applyAlignment="1" applyFont="1" applyNumberFormat="1">
      <alignment readingOrder="0"/>
    </xf>
    <xf borderId="0" fillId="0" fontId="5" numFmtId="46" xfId="0" applyFont="1" applyNumberFormat="1"/>
    <xf borderId="0" fillId="0" fontId="5" numFmtId="4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5" fontId="5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46" xfId="0" applyFont="1" applyNumberFormat="1"/>
    <xf borderId="0" fillId="2" fontId="5" numFmtId="0" xfId="0" applyAlignment="1" applyFont="1">
      <alignment readingOrder="0"/>
    </xf>
    <xf borderId="0" fillId="0" fontId="1" numFmtId="46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3" fontId="5" numFmtId="3" xfId="0" applyAlignment="1" applyFont="1" applyNumberFormat="1">
      <alignment shrinkToFit="0" wrapText="1"/>
    </xf>
    <xf borderId="0" fillId="3" fontId="5" numFmtId="46" xfId="0" applyFont="1" applyNumberFormat="1"/>
    <xf borderId="0" fillId="3" fontId="5" numFmtId="4" xfId="0" applyFont="1" applyNumberFormat="1"/>
    <xf borderId="0" fillId="0" fontId="5" numFmtId="3" xfId="0" applyFont="1" applyNumberFormat="1"/>
    <xf borderId="0" fillId="0" fontId="5" numFmtId="3" xfId="0" applyAlignment="1" applyFont="1" applyNumberFormat="1">
      <alignment shrinkToFit="0" wrapText="1"/>
    </xf>
    <xf borderId="0" fillId="3" fontId="5" numFmtId="3" xfId="0" applyFont="1" applyNumberFormat="1"/>
    <xf borderId="0" fillId="3" fontId="5" numFmtId="0" xfId="0" applyAlignment="1" applyFont="1">
      <alignment shrinkToFit="0" wrapText="1"/>
    </xf>
    <xf borderId="0" fillId="3" fontId="5" numFmtId="3" xfId="0" applyAlignment="1" applyFont="1" applyNumberFormat="1">
      <alignment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readingOrder="0"/>
    </xf>
    <xf borderId="0" fillId="3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0" fillId="3" fontId="1" numFmtId="20" xfId="0" applyAlignment="1" applyFont="1" applyNumberFormat="1">
      <alignment readingOrder="0"/>
    </xf>
    <xf borderId="0" fillId="3" fontId="1" numFmtId="166" xfId="0" applyFont="1" applyNumberFormat="1"/>
    <xf borderId="0" fillId="3" fontId="1" numFmtId="2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3" fontId="1" numFmtId="0" xfId="0" applyAlignment="1" applyFont="1">
      <alignment shrinkToFit="0" wrapText="1"/>
    </xf>
    <xf borderId="0" fillId="5" fontId="1" numFmtId="0" xfId="0" applyAlignment="1" applyFont="1">
      <alignment horizontal="center" readingOrder="0"/>
    </xf>
    <xf borderId="0" fillId="5" fontId="1" numFmtId="165" xfId="0" applyAlignment="1" applyFont="1" applyNumberFormat="1">
      <alignment readingOrder="0"/>
    </xf>
    <xf borderId="0" fillId="5" fontId="1" numFmtId="166" xfId="0" applyFont="1" applyNumberFormat="1"/>
    <xf borderId="0" fillId="5" fontId="1" numFmtId="2" xfId="0" applyAlignment="1" applyFont="1" applyNumberFormat="1">
      <alignment readingOrder="0"/>
    </xf>
    <xf borderId="0" fillId="5" fontId="1" numFmtId="0" xfId="0" applyAlignment="1" applyFont="1">
      <alignment readingOrder="0" shrinkToFit="0" wrapText="1"/>
    </xf>
    <xf borderId="0" fillId="5" fontId="1" numFmtId="0" xfId="0" applyFont="1"/>
    <xf borderId="0" fillId="3" fontId="1" numFmtId="165" xfId="0" applyFont="1" applyNumberFormat="1"/>
    <xf borderId="0" fillId="5" fontId="1" numFmtId="165" xfId="0" applyFont="1" applyNumberFormat="1"/>
    <xf borderId="0" fillId="5" fontId="1" numFmtId="0" xfId="0" applyAlignment="1" applyFont="1">
      <alignment shrinkToFit="0" wrapText="1"/>
    </xf>
    <xf borderId="0" fillId="3" fontId="1" numFmtId="165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3" fontId="1" numFmtId="0" xfId="0" applyAlignment="1" applyFont="1">
      <alignment readingOrder="0" shrinkToFit="0" wrapText="1"/>
    </xf>
    <xf borderId="0" fillId="5" fontId="1" numFmtId="20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5" fontId="1" numFmtId="164" xfId="0" applyAlignment="1" applyFont="1" applyNumberFormat="1">
      <alignment readingOrder="0"/>
    </xf>
    <xf borderId="0" fillId="3" fontId="1" numFmtId="164" xfId="0" applyAlignment="1" applyFont="1" applyNumberFormat="1">
      <alignment readingOrder="0"/>
    </xf>
    <xf borderId="0" fillId="3" fontId="1" numFmtId="0" xfId="0" applyAlignment="1" applyFont="1">
      <alignment horizontal="left" readingOrder="0"/>
    </xf>
    <xf borderId="0" fillId="5" fontId="1" numFmtId="0" xfId="0" applyAlignment="1" applyFont="1">
      <alignment readingOrder="0"/>
    </xf>
    <xf borderId="0" fillId="3" fontId="2" numFmtId="14" xfId="0" applyAlignment="1" applyFont="1" applyNumberFormat="1">
      <alignment readingOrder="0"/>
    </xf>
    <xf borderId="0" fillId="2" fontId="0" numFmtId="4" xfId="0" applyAlignment="1" applyFont="1" applyNumberFormat="1">
      <alignment readingOrder="0"/>
    </xf>
    <xf borderId="0" fillId="3" fontId="2" numFmtId="0" xfId="0" applyAlignment="1" applyFont="1">
      <alignment horizontal="right" readingOrder="0"/>
    </xf>
    <xf borderId="0" fillId="3" fontId="1" numFmtId="165" xfId="0" applyAlignment="1" applyFont="1" applyNumberFormat="1">
      <alignment readingOrder="0"/>
    </xf>
    <xf borderId="0" fillId="0" fontId="10" numFmtId="0" xfId="0" applyAlignment="1" applyFont="1">
      <alignment vertical="bottom"/>
    </xf>
    <xf borderId="0" fillId="2" fontId="11" numFmtId="3" xfId="0" applyFont="1" applyNumberFormat="1"/>
    <xf borderId="0" fillId="2" fontId="2" numFmtId="0" xfId="0" applyAlignment="1" applyFont="1">
      <alignment horizontal="center" readingOrder="0" shrinkToFit="0" wrapText="1"/>
    </xf>
    <xf borderId="0" fillId="2" fontId="4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/>
    </xf>
    <xf borderId="0" fillId="8" fontId="1" numFmtId="2" xfId="0" applyAlignment="1" applyFill="1" applyFont="1" applyNumberFormat="1">
      <alignment readingOrder="0"/>
    </xf>
    <xf borderId="0" fillId="8" fontId="1" numFmtId="0" xfId="0" applyAlignment="1" applyFont="1">
      <alignment readingOrder="0"/>
    </xf>
    <xf borderId="0" fillId="8" fontId="1" numFmtId="20" xfId="0" applyAlignment="1" applyFont="1" applyNumberFormat="1">
      <alignment readingOrder="0"/>
    </xf>
    <xf borderId="0" fillId="5" fontId="1" numFmtId="167" xfId="0" applyAlignment="1" applyFont="1" applyNumberFormat="1">
      <alignment readingOrder="0"/>
    </xf>
    <xf borderId="0" fillId="5" fontId="1" numFmtId="0" xfId="0" applyAlignment="1" applyFont="1">
      <alignment readingOrder="0" shrinkToFit="0" wrapText="0"/>
    </xf>
    <xf borderId="0" fillId="3" fontId="2" numFmtId="0" xfId="0" applyAlignment="1" applyFont="1">
      <alignment horizontal="center" readingOrder="0"/>
    </xf>
    <xf borderId="0" fillId="3" fontId="2" numFmtId="20" xfId="0" applyAlignment="1" applyFont="1" applyNumberFormat="1">
      <alignment readingOrder="0"/>
    </xf>
    <xf borderId="0" fillId="3" fontId="2" numFmtId="166" xfId="0" applyFont="1" applyNumberFormat="1"/>
    <xf borderId="0" fillId="3" fontId="2" numFmtId="164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right"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2" numFmtId="0" xfId="0" applyAlignment="1" applyFont="1">
      <alignment readingOrder="0" shrinkToFit="0" wrapText="1"/>
    </xf>
    <xf borderId="0" fillId="3" fontId="2" numFmtId="0" xfId="0" applyFont="1"/>
    <xf borderId="0" fillId="8" fontId="1" numFmtId="0" xfId="0" applyAlignment="1" applyFont="1">
      <alignment horizontal="right" readingOrder="0"/>
    </xf>
    <xf borderId="0" fillId="5" fontId="1" numFmtId="166" xfId="0" applyAlignment="1" applyFont="1" applyNumberFormat="1">
      <alignment readingOrder="0"/>
    </xf>
    <xf borderId="0" fillId="2" fontId="0" numFmtId="20" xfId="0" applyAlignment="1" applyFont="1" applyNumberFormat="1">
      <alignment readingOrder="0"/>
    </xf>
    <xf borderId="0" fillId="5" fontId="4" numFmtId="0" xfId="0" applyAlignment="1" applyFont="1">
      <alignment readingOrder="0" shrinkToFit="0" wrapText="1"/>
    </xf>
    <xf borderId="0" fillId="8" fontId="1" numFmtId="0" xfId="0" applyAlignment="1" applyFont="1">
      <alignment horizontal="right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right"/>
    </xf>
    <xf borderId="0" fillId="2" fontId="5" numFmtId="2" xfId="0" applyFont="1" applyNumberFormat="1"/>
    <xf borderId="0" fillId="2" fontId="5" numFmtId="0" xfId="0" applyFont="1"/>
    <xf borderId="0" fillId="0" fontId="5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2" fontId="4" numFmtId="0" xfId="0" applyAlignment="1" applyFont="1">
      <alignment horizontal="center" readingOrder="0"/>
    </xf>
    <xf borderId="0" fillId="3" fontId="4" numFmtId="0" xfId="0" applyAlignment="1" applyFont="1">
      <alignment horizontal="center"/>
    </xf>
    <xf borderId="0" fillId="3" fontId="1" numFmtId="4" xfId="0" applyAlignment="1" applyFont="1" applyNumberFormat="1">
      <alignment readingOrder="0" shrinkToFit="0" wrapText="1"/>
    </xf>
    <xf borderId="0" fillId="5" fontId="1" numFmtId="4" xfId="0" applyAlignment="1" applyFont="1" applyNumberFormat="1">
      <alignment readingOrder="0" shrinkToFit="0" wrapText="1"/>
    </xf>
    <xf borderId="0" fillId="4" fontId="3" numFmtId="14" xfId="0" applyFont="1" applyNumberFormat="1"/>
    <xf borderId="0" fillId="5" fontId="1" numFmtId="0" xfId="0" applyAlignment="1" applyFont="1">
      <alignment horizontal="center" readingOrder="0" vertical="top"/>
    </xf>
    <xf borderId="0" fillId="5" fontId="1" numFmtId="164" xfId="0" applyAlignment="1" applyFont="1" applyNumberFormat="1">
      <alignment readingOrder="0" vertical="top"/>
    </xf>
    <xf borderId="0" fillId="5" fontId="1" numFmtId="166" xfId="0" applyAlignment="1" applyFont="1" applyNumberFormat="1">
      <alignment vertical="top"/>
    </xf>
    <xf borderId="0" fillId="5" fontId="1" numFmtId="0" xfId="0" applyAlignment="1" applyFont="1">
      <alignment readingOrder="0" vertical="top"/>
    </xf>
    <xf borderId="0" fillId="5" fontId="1" numFmtId="0" xfId="0" applyAlignment="1" applyFont="1">
      <alignment readingOrder="0" shrinkToFit="0" vertical="top" wrapText="1"/>
    </xf>
    <xf borderId="0" fillId="5" fontId="1" numFmtId="0" xfId="0" applyAlignment="1" applyFont="1">
      <alignment vertical="top"/>
    </xf>
    <xf borderId="0" fillId="3" fontId="2" numFmtId="4" xfId="0" applyAlignment="1" applyFont="1" applyNumberForma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5" fontId="2" numFmtId="0" xfId="0" applyAlignment="1" applyFont="1">
      <alignment horizontal="center" readingOrder="0"/>
    </xf>
    <xf borderId="0" fillId="5" fontId="2" numFmtId="164" xfId="0" applyAlignment="1" applyFont="1" applyNumberFormat="1">
      <alignment readingOrder="0"/>
    </xf>
    <xf borderId="0" fillId="5" fontId="2" numFmtId="166" xfId="0" applyFont="1" applyNumberFormat="1"/>
    <xf borderId="0" fillId="5" fontId="2" numFmtId="4" xfId="0" applyAlignment="1" applyFont="1" applyNumberFormat="1">
      <alignment readingOrder="0" shrinkToFit="0" wrapText="1"/>
    </xf>
    <xf borderId="0" fillId="5" fontId="2" numFmtId="0" xfId="0" applyAlignment="1" applyFont="1">
      <alignment readingOrder="0"/>
    </xf>
    <xf borderId="0" fillId="5" fontId="2" numFmtId="0" xfId="0" applyAlignment="1" applyFont="1">
      <alignment readingOrder="0" shrinkToFit="0" wrapText="1"/>
    </xf>
    <xf borderId="0" fillId="5" fontId="2" numFmtId="0" xfId="0" applyFont="1"/>
    <xf borderId="0" fillId="5" fontId="1" numFmtId="20" xfId="0" applyAlignment="1" applyFont="1" applyNumberFormat="1">
      <alignment readingOrder="0" vertical="top"/>
    </xf>
    <xf borderId="0" fillId="5" fontId="1" numFmtId="20" xfId="0" applyAlignment="1" applyFont="1" applyNumberFormat="1">
      <alignment readingOrder="0" shrinkToFit="0" wrapText="1"/>
    </xf>
    <xf borderId="0" fillId="3" fontId="1" numFmtId="0" xfId="0" applyAlignment="1" applyFont="1">
      <alignment horizontal="right"/>
    </xf>
    <xf borderId="0" fillId="2" fontId="1" numFmtId="4" xfId="0" applyFont="1" applyNumberFormat="1"/>
    <xf borderId="0" fillId="0" fontId="1" numFmtId="0" xfId="0" applyAlignment="1" applyFont="1">
      <alignment horizontal="right" readingOrder="0"/>
    </xf>
    <xf borderId="0" fillId="2" fontId="1" numFmtId="0" xfId="0" applyAlignment="1" applyFont="1">
      <alignment shrinkToFit="0" wrapText="1"/>
    </xf>
    <xf borderId="0" fillId="3" fontId="12" numFmtId="0" xfId="0" applyAlignment="1" applyFont="1">
      <alignment readingOrder="0"/>
    </xf>
    <xf borderId="0" fillId="3" fontId="1" numFmtId="168" xfId="0" applyAlignment="1" applyFont="1" applyNumberFormat="1">
      <alignment readingOrder="0"/>
    </xf>
    <xf borderId="0" fillId="2" fontId="4" numFmtId="0" xfId="0" applyAlignment="1" applyFont="1">
      <alignment horizontal="center" readingOrder="0" shrinkToFit="0" wrapText="1"/>
    </xf>
    <xf borderId="0" fillId="3" fontId="1" numFmtId="166" xfId="0" applyAlignment="1" applyFont="1" applyNumberFormat="1">
      <alignment readingOrder="0"/>
    </xf>
    <xf borderId="0" fillId="9" fontId="10" numFmtId="0" xfId="0" applyAlignment="1" applyFill="1" applyFont="1">
      <alignment horizontal="right" vertical="bottom"/>
    </xf>
    <xf borderId="0" fillId="5" fontId="1" numFmtId="166" xfId="0" applyFont="1" applyNumberFormat="1"/>
    <xf borderId="0" fillId="10" fontId="10" numFmtId="0" xfId="0" applyAlignment="1" applyFill="1" applyFont="1">
      <alignment horizontal="right" vertical="bottom"/>
    </xf>
    <xf borderId="0" fillId="11" fontId="10" numFmtId="0" xfId="0" applyAlignment="1" applyFill="1" applyFont="1">
      <alignment horizontal="right" vertical="bottom"/>
    </xf>
    <xf borderId="0" fillId="12" fontId="10" numFmtId="0" xfId="0" applyAlignment="1" applyFill="1" applyFont="1">
      <alignment horizontal="right" vertical="bottom"/>
    </xf>
    <xf borderId="0" fillId="13" fontId="10" numFmtId="0" xfId="0" applyAlignment="1" applyFill="1" applyFont="1">
      <alignment horizontal="right" vertical="bottom"/>
    </xf>
    <xf borderId="0" fillId="0" fontId="1" numFmtId="166" xfId="0" applyFont="1" applyNumberFormat="1"/>
    <xf borderId="0" fillId="4" fontId="10" numFmtId="0" xfId="0" applyAlignment="1" applyFont="1">
      <alignment horizontal="right" vertical="bottom"/>
    </xf>
    <xf borderId="0" fillId="14" fontId="10" numFmtId="0" xfId="0" applyAlignment="1" applyFill="1" applyFont="1">
      <alignment horizontal="right" vertical="bottom"/>
    </xf>
    <xf borderId="0" fillId="15" fontId="10" numFmtId="0" xfId="0" applyAlignment="1" applyFill="1" applyFont="1">
      <alignment horizontal="right" vertical="bottom"/>
    </xf>
    <xf borderId="0" fillId="5" fontId="1" numFmtId="0" xfId="0" applyAlignment="1" applyFont="1">
      <alignment readingOrder="0" vertical="top"/>
    </xf>
    <xf borderId="0" fillId="5" fontId="1" numFmtId="166" xfId="0" applyAlignment="1" applyFont="1" applyNumberFormat="1">
      <alignment vertical="top"/>
    </xf>
    <xf borderId="0" fillId="16" fontId="10" numFmtId="0" xfId="0" applyAlignment="1" applyFill="1" applyFont="1">
      <alignment horizontal="right" vertical="bottom"/>
    </xf>
    <xf borderId="0" fillId="5" fontId="1" numFmtId="20" xfId="0" applyAlignment="1" applyFont="1" applyNumberFormat="1">
      <alignment readingOrder="0" vertical="top"/>
    </xf>
    <xf borderId="0" fillId="17" fontId="10" numFmtId="0" xfId="0" applyAlignment="1" applyFill="1" applyFont="1">
      <alignment horizontal="right" vertical="bottom"/>
    </xf>
    <xf borderId="0" fillId="18" fontId="10" numFmtId="0" xfId="0" applyAlignment="1" applyFill="1" applyFont="1">
      <alignment horizontal="right" vertical="bottom"/>
    </xf>
    <xf borderId="0" fillId="19" fontId="10" numFmtId="0" xfId="0" applyAlignment="1" applyFill="1" applyFont="1">
      <alignment horizontal="right" vertical="bottom"/>
    </xf>
    <xf borderId="0" fillId="20" fontId="10" numFmtId="0" xfId="0" applyAlignment="1" applyFill="1" applyFont="1">
      <alignment horizontal="right" vertical="bottom"/>
    </xf>
    <xf borderId="0" fillId="21" fontId="10" numFmtId="0" xfId="0" applyAlignment="1" applyFill="1" applyFont="1">
      <alignment horizontal="right" vertical="bottom"/>
    </xf>
    <xf borderId="0" fillId="22" fontId="10" numFmtId="0" xfId="0" applyAlignment="1" applyFill="1" applyFont="1">
      <alignment horizontal="right" vertical="bottom"/>
    </xf>
    <xf borderId="0" fillId="7" fontId="2" numFmtId="14" xfId="0" applyAlignment="1" applyFont="1" applyNumberFormat="1">
      <alignment vertical="top"/>
    </xf>
    <xf borderId="0" fillId="3" fontId="1" numFmtId="166" xfId="0" applyAlignment="1" applyFont="1" applyNumberFormat="1">
      <alignment vertical="top"/>
    </xf>
    <xf borderId="0" fillId="3" fontId="1" numFmtId="164" xfId="0" applyAlignment="1" applyFont="1" applyNumberFormat="1">
      <alignment readingOrder="0" vertical="top"/>
    </xf>
    <xf borderId="0" fillId="23" fontId="10" numFmtId="0" xfId="0" applyAlignment="1" applyFill="1" applyFont="1">
      <alignment horizontal="right" vertical="top"/>
    </xf>
    <xf borderId="0" fillId="3" fontId="1" numFmtId="0" xfId="0" applyAlignment="1" applyFont="1">
      <alignment vertical="top"/>
    </xf>
    <xf borderId="0" fillId="24" fontId="10" numFmtId="0" xfId="0" applyAlignment="1" applyFill="1" applyFont="1">
      <alignment horizontal="right" vertical="bottom"/>
    </xf>
    <xf borderId="0" fillId="25" fontId="10" numFmtId="0" xfId="0" applyAlignment="1" applyFill="1" applyFont="1">
      <alignment horizontal="right" vertical="bottom"/>
    </xf>
    <xf borderId="0" fillId="4" fontId="2" numFmtId="14" xfId="0" applyFont="1" applyNumberFormat="1"/>
    <xf borderId="0" fillId="26" fontId="10" numFmtId="0" xfId="0" applyAlignment="1" applyFill="1" applyFont="1">
      <alignment horizontal="right" vertical="bottom"/>
    </xf>
    <xf borderId="0" fillId="3" fontId="10" numFmtId="0" xfId="0" applyAlignment="1" applyFont="1">
      <alignment horizontal="right" vertical="bottom"/>
    </xf>
    <xf borderId="0" fillId="5" fontId="1" numFmtId="166" xfId="0" applyAlignment="1" applyFont="1" applyNumberFormat="1">
      <alignment readingOrder="0"/>
    </xf>
    <xf borderId="0" fillId="27" fontId="10" numFmtId="0" xfId="0" applyAlignment="1" applyFill="1" applyFont="1">
      <alignment horizontal="right" vertical="bottom"/>
    </xf>
    <xf borderId="0" fillId="28" fontId="10" numFmtId="0" xfId="0" applyAlignment="1" applyFill="1" applyFont="1">
      <alignment horizontal="right" vertical="bottom"/>
    </xf>
    <xf borderId="0" fillId="29" fontId="10" numFmtId="0" xfId="0" applyAlignment="1" applyFill="1" applyFont="1">
      <alignment horizontal="right" vertical="bottom"/>
    </xf>
    <xf borderId="0" fillId="30" fontId="10" numFmtId="0" xfId="0" applyAlignment="1" applyFill="1" applyFont="1">
      <alignment horizontal="right" vertical="bottom"/>
    </xf>
    <xf borderId="0" fillId="3" fontId="4" numFmtId="0" xfId="0" applyAlignment="1" applyFont="1">
      <alignment horizontal="left" readingOrder="0" shrinkToFit="0" wrapText="1"/>
    </xf>
    <xf borderId="0" fillId="31" fontId="10" numFmtId="0" xfId="0" applyAlignment="1" applyFill="1" applyFont="1">
      <alignment horizontal="right" vertical="bottom"/>
    </xf>
    <xf borderId="0" fillId="3" fontId="1" numFmtId="0" xfId="0" applyAlignment="1" applyFont="1">
      <alignment readingOrder="0" shrinkToFit="0" wrapText="1"/>
    </xf>
    <xf borderId="0" fillId="32" fontId="10" numFmtId="0" xfId="0" applyAlignment="1" applyFill="1" applyFont="1">
      <alignment horizontal="right" vertical="bottom"/>
    </xf>
    <xf borderId="0" fillId="33" fontId="10" numFmtId="0" xfId="0" applyAlignment="1" applyFill="1" applyFont="1">
      <alignment horizontal="right" vertical="bottom"/>
    </xf>
    <xf borderId="0" fillId="34" fontId="10" numFmtId="0" xfId="0" applyAlignment="1" applyFill="1" applyFont="1">
      <alignment horizontal="right" vertical="bottom"/>
    </xf>
    <xf borderId="0" fillId="35" fontId="10" numFmtId="0" xfId="0" applyAlignment="1" applyFill="1" applyFont="1">
      <alignment horizontal="right" vertical="bottom"/>
    </xf>
    <xf borderId="0" fillId="36" fontId="10" numFmtId="0" xfId="0" applyAlignment="1" applyFill="1" applyFont="1">
      <alignment horizontal="right" vertical="bottom"/>
    </xf>
    <xf borderId="0" fillId="3" fontId="9" numFmtId="0" xfId="0" applyAlignment="1" applyFont="1">
      <alignment readingOrder="0"/>
    </xf>
    <xf borderId="0" fillId="2" fontId="2" numFmtId="3" xfId="0" applyAlignment="1" applyFont="1" applyNumberFormat="1">
      <alignment readingOrder="0"/>
    </xf>
    <xf borderId="0" fillId="2" fontId="1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vertical="top" wrapText="1"/>
    </xf>
    <xf borderId="0" fillId="3" fontId="1" numFmtId="0" xfId="0" applyAlignment="1" applyFont="1">
      <alignment readingOrder="0" vertical="top"/>
    </xf>
    <xf borderId="0" fillId="0" fontId="1" numFmtId="1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46" xfId="0" applyFont="1" applyNumberFormat="1"/>
    <xf borderId="0" fillId="0" fontId="1" numFmtId="4" xfId="0" applyAlignment="1" applyFont="1" applyNumberFormat="1">
      <alignment readingOrder="0"/>
    </xf>
    <xf borderId="0" fillId="0" fontId="1" numFmtId="46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3" fontId="5" numFmtId="3" xfId="0" applyAlignment="1" applyFont="1" applyNumberFormat="1">
      <alignment shrinkToFit="0" wrapText="1"/>
    </xf>
    <xf borderId="0" fillId="3" fontId="5" numFmtId="46" xfId="0" applyFont="1" applyNumberFormat="1"/>
    <xf borderId="0" fillId="3" fontId="5" numFmtId="4" xfId="0" applyFont="1" applyNumberFormat="1"/>
    <xf borderId="0" fillId="0" fontId="5" numFmtId="3" xfId="0" applyFont="1" applyNumberFormat="1"/>
    <xf borderId="0" fillId="0" fontId="5" numFmtId="3" xfId="0" applyAlignment="1" applyFont="1" applyNumberFormat="1">
      <alignment shrinkToFit="0" wrapText="1"/>
    </xf>
    <xf borderId="0" fillId="3" fontId="5" numFmtId="3" xfId="0" applyFont="1" applyNumberFormat="1"/>
    <xf borderId="0" fillId="3" fontId="5" numFmtId="0" xfId="0" applyAlignment="1" applyFont="1">
      <alignment shrinkToFit="0" wrapText="1"/>
    </xf>
    <xf borderId="0" fillId="3" fontId="5" numFmtId="3" xfId="0" applyAlignment="1" applyFont="1" applyNumberFormat="1">
      <alignment readingOrder="0"/>
    </xf>
    <xf borderId="0" fillId="0" fontId="2" numFmtId="0" xfId="0" applyFont="1"/>
    <xf borderId="0" fillId="3" fontId="1" numFmtId="0" xfId="0" applyAlignment="1" applyFont="1">
      <alignment horizontal="right"/>
    </xf>
    <xf borderId="0" fillId="4" fontId="2" numFmtId="0" xfId="0" applyFont="1"/>
    <xf borderId="0" fillId="23" fontId="10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/>
    </xf>
    <xf borderId="0" fillId="0" fontId="1" numFmtId="169" xfId="0" applyAlignment="1" applyFont="1" applyNumberFormat="1">
      <alignment horizontal="right" readingOrder="0"/>
    </xf>
    <xf borderId="0" fillId="3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165" xfId="0" applyAlignment="1" applyFont="1" applyNumberFormat="1">
      <alignment horizontal="center" readingOrder="0" shrinkToFit="0" wrapText="1"/>
    </xf>
    <xf borderId="0" fillId="0" fontId="1" numFmtId="165" xfId="0" applyAlignment="1" applyFont="1" applyNumberFormat="1">
      <alignment horizontal="left" readingOrder="0"/>
    </xf>
    <xf borderId="0" fillId="3" fontId="4" numFmtId="0" xfId="0" applyAlignment="1" applyFont="1">
      <alignment horizontal="center" shrinkToFit="0" wrapText="1"/>
    </xf>
    <xf borderId="0" fillId="3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165" xfId="0" applyAlignment="1" applyFont="1" applyNumberFormat="1">
      <alignment horizontal="center" readingOrder="0"/>
    </xf>
    <xf quotePrefix="1" borderId="0" fillId="0" fontId="1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9">
    <tableStyle count="3" pivot="0" name="December 2018-style">
      <tableStyleElement dxfId="1" type="headerRow"/>
      <tableStyleElement dxfId="2" type="firstRowStripe"/>
      <tableStyleElement dxfId="3" type="secondRowStripe"/>
    </tableStyle>
    <tableStyle count="3" pivot="0" name="April 2019-style">
      <tableStyleElement dxfId="1" type="headerRow"/>
      <tableStyleElement dxfId="2" type="firstRowStripe"/>
      <tableStyleElement dxfId="3" type="secondRowStripe"/>
    </tableStyle>
    <tableStyle count="3" pivot="0" name="November 2018-style">
      <tableStyleElement dxfId="1" type="headerRow"/>
      <tableStyleElement dxfId="2" type="firstRowStripe"/>
      <tableStyleElement dxfId="3" type="secondRowStripe"/>
    </tableStyle>
    <tableStyle count="3" pivot="0" name="January 2019-style">
      <tableStyleElement dxfId="1" type="headerRow"/>
      <tableStyleElement dxfId="2" type="firstRowStripe"/>
      <tableStyleElement dxfId="3" type="secondRowStripe"/>
    </tableStyle>
    <tableStyle count="3" pivot="0" name="January 2019-style 2">
      <tableStyleElement dxfId="1" type="headerRow"/>
      <tableStyleElement dxfId="2" type="firstRowStripe"/>
      <tableStyleElement dxfId="3" type="secondRowStripe"/>
    </tableStyle>
    <tableStyle count="2" pivot="0" name="January 2019-style 3">
      <tableStyleElement dxfId="2" type="firstRowStripe"/>
      <tableStyleElement dxfId="3" type="secondRowStripe"/>
    </tableStyle>
    <tableStyle count="3" pivot="0" name="January 2019-style 4">
      <tableStyleElement dxfId="1" type="headerRow"/>
      <tableStyleElement dxfId="2" type="firstRowStripe"/>
      <tableStyleElement dxfId="3" type="secondRowStripe"/>
    </tableStyle>
    <tableStyle count="3" pivot="0" name="February 2019-style">
      <tableStyleElement dxfId="1" type="headerRow"/>
      <tableStyleElement dxfId="2" type="firstRowStripe"/>
      <tableStyleElement dxfId="3" type="secondRowStripe"/>
    </tableStyle>
    <tableStyle count="3" pivot="0" name="March 2019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O32" displayName="Table_1" name="Table_1" id="1">
  <tableColumns count="6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</tableColumns>
  <tableStyleInfo name="December 201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BN1007" displayName="Table_2" name="Table_2" id="2">
  <tableColumns count="6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</tableColumns>
  <tableStyleInfo name="April 201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AF33" displayName="Table_3" name="Table_3" id="3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November 201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B1:C32" displayName="Table_4" name="Table_4" id="4">
  <tableColumns count="2">
    <tableColumn name="Sunset" id="1"/>
    <tableColumn name="Civil _x000a_Twilight" id="2"/>
  </tableColumns>
  <tableStyleInfo name="January 2019-style" showColumnStripes="0" showFirstColumn="1" showLastColumn="1" showRowStripes="1"/>
</table>
</file>

<file path=xl/tables/table5.xml><?xml version="1.0" encoding="utf-8"?>
<table xmlns="http://schemas.openxmlformats.org/spreadsheetml/2006/main" headerRowCount="0" ref="G1:I1" displayName="Table_5" name="Table_5" id="5">
  <tableColumns count="3">
    <tableColumn name="Column1" id="1"/>
    <tableColumn name="Column2" id="2"/>
    <tableColumn name="Column3" id="3"/>
  </tableColumns>
  <tableStyleInfo name="January 2019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I2:L32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January 2019-style 3" showColumnStripes="0" showFirstColumn="1" showLastColumn="1" showRowStripes="1"/>
</table>
</file>

<file path=xl/tables/table7.xml><?xml version="1.0" encoding="utf-8"?>
<table xmlns="http://schemas.openxmlformats.org/spreadsheetml/2006/main" headerRowCount="0" ref="AE3:AE32" displayName="Table_7" name="Table_7" id="7">
  <tableColumns count="1">
    <tableColumn name="Column1" id="1"/>
  </tableColumns>
  <tableStyleInfo name="January 2019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A1:AE30" displayName="Table_8" name="Table_8" id="8">
  <tableColumns count="31">
    <tableColumn name="``````````````````````````````````````````````````````" id="1"/>
    <tableColumn name="Sunset" id="2"/>
    <tableColumn name="Civil _x000a_Twilight" id="3"/>
    <tableColumn name="Captain" id="4"/>
    <tableColumn name="Monitored (Y/N)" id="5"/>
    <tableColumn name="Start time_x000a_HH:MM" id="6"/>
    <tableColumn name="End_x000a_ Date" id="7"/>
    <tableColumn name="End time_x000a_HH:MM" id="8"/>
    <tableColumn name="Hours monitored" id="9"/>
    <tableColumn name="Team Hrs." id="10"/>
    <tableColumn name="Start Temp" id="11"/>
    <tableColumn name="End Temp" id="12"/>
    <tableColumn name="Weather" id="13"/>
    <tableColumn name="Females assisted down" id="14"/>
    <tableColumn name="Males assisted down" id="15"/>
    <tableColumn name="Unassisted Females down" id="16"/>
    <tableColumn name="Unasissted _x000a_Males _x000a_down" id="17"/>
    <tableColumn name="Females _x000a_assisted _x000a_up" id="18"/>
    <tableColumn name="Males assisted _x000a_up" id="19"/>
    <tableColumn name="Unassisted females  _x000a_up" id="20"/>
    <tableColumn name="Unassisted males _x000a_up" id="21"/>
    <tableColumn name="Juveniles assisted up" id="22"/>
    <tableColumn name="Roadkill Females" id="23"/>
    <tableColumn name="Roadkill Males" id="24"/>
    <tableColumn name="Roadkill_x000a_Unk" id="25"/>
    <tableColumn name="Total _x000a_frogs _x000a_down" id="26"/>
    <tableColumn name="Total _x000a_frogs _x000a_up" id="27"/>
    <tableColumn name="Total Frogs Assisted Down" id="28"/>
    <tableColumn name="Total Frogs Assisted Up" id="29"/>
    <tableColumn name="% moon visible" id="30"/>
    <tableColumn name="Comments" id="31"/>
  </tableColumns>
  <tableStyleInfo name="February 2019-style" showColumnStripes="0" showFirstColumn="1" showLastColumn="1" showRowStripes="1"/>
</table>
</file>

<file path=xl/tables/table9.xml><?xml version="1.0" encoding="utf-8"?>
<table xmlns="http://schemas.openxmlformats.org/spreadsheetml/2006/main" headerRowCount="0" ref="A1:AQ32" displayName="Table_9" name="Table_9" id="9">
  <tableColumns count="4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</tableColumns>
  <tableStyleInfo name="March 201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88"/>
    <col customWidth="1" min="2" max="2" width="5.75"/>
    <col customWidth="1" min="3" max="3" width="6.63"/>
    <col customWidth="1" min="4" max="4" width="11.38"/>
    <col customWidth="1" min="5" max="5" width="8.25"/>
    <col customWidth="1" min="6" max="6" width="8.13"/>
    <col customWidth="1" hidden="1" min="7" max="7" width="8.0"/>
    <col customWidth="1" min="8" max="8" width="8.0"/>
    <col customWidth="1" min="9" max="9" width="7.25"/>
    <col customWidth="1" min="10" max="10" width="8.13"/>
    <col customWidth="1" min="11" max="11" width="7.5"/>
    <col customWidth="1" min="12" max="12" width="7.75"/>
    <col customWidth="1" min="13" max="13" width="17.38"/>
    <col customWidth="1" min="14" max="15" width="8.0"/>
    <col customWidth="1" min="16" max="16" width="9.5"/>
    <col customWidth="1" min="17" max="21" width="9.13"/>
    <col customWidth="1" min="22" max="22" width="8.63"/>
    <col customWidth="1" min="23" max="23" width="8.5"/>
    <col customWidth="1" min="24" max="26" width="9.75"/>
    <col customWidth="1" min="27" max="27" width="8.88"/>
    <col customWidth="1" min="28" max="28" width="14.13"/>
    <col customWidth="1" min="29" max="29" width="13.88"/>
    <col customWidth="1" hidden="1" min="30" max="30" width="7.25"/>
    <col customWidth="1" min="31" max="31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3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</row>
    <row r="2">
      <c r="A2" s="5">
        <v>43435.0</v>
      </c>
      <c r="B2" s="6">
        <v>1629.0</v>
      </c>
      <c r="C2" s="6">
        <v>1702.0</v>
      </c>
      <c r="D2" s="7" t="str">
        <f t="shared" ref="D2:D32" si="1">choose(weekday(A2),"Fred/Phil", "Jane/Murr", "Tom","Sue/Anne","Shawn/Orems","Jeff", "Rob")</f>
        <v>Rob</v>
      </c>
      <c r="E2" s="8" t="s">
        <v>31</v>
      </c>
      <c r="F2" s="9"/>
      <c r="G2" s="10">
        <v>43435.0</v>
      </c>
      <c r="H2" s="9"/>
      <c r="I2" s="11">
        <f t="shared" ref="I2:I32" si="2">iferror(24*( DATEDIF(A2,G2,"D")+TIMEVALUE(H2)-TIMEVALUE(F2)),0)</f>
        <v>0</v>
      </c>
      <c r="J2" s="12"/>
      <c r="K2" s="7">
        <v>42.0</v>
      </c>
      <c r="L2" s="7"/>
      <c r="M2" s="7" t="s">
        <v>32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13">
        <f t="shared" ref="Z2:Z32" si="3">sum(N2:Q2)</f>
        <v>0</v>
      </c>
      <c r="AA2" s="13">
        <f t="shared" ref="AA2:AA32" si="4">sum(R2:V2)</f>
        <v>0</v>
      </c>
      <c r="AB2" s="14">
        <f t="shared" ref="AB2:AB32" si="5">sum(N2:O2)</f>
        <v>0</v>
      </c>
      <c r="AC2" s="14">
        <f t="shared" ref="AC2:AC32" si="6">sum(R2:S2,V2)</f>
        <v>0</v>
      </c>
      <c r="AD2" s="15">
        <v>0.36</v>
      </c>
      <c r="AE2" s="7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</row>
    <row r="3">
      <c r="A3" s="17">
        <v>43436.0</v>
      </c>
      <c r="B3" s="6">
        <v>1628.0</v>
      </c>
      <c r="C3" s="6">
        <v>1702.0</v>
      </c>
      <c r="D3" s="7" t="str">
        <f t="shared" si="1"/>
        <v>Fred/Phil</v>
      </c>
      <c r="E3" s="18"/>
      <c r="F3" s="19"/>
      <c r="G3" s="10">
        <v>43436.0</v>
      </c>
      <c r="H3" s="19"/>
      <c r="I3" s="11">
        <f t="shared" si="2"/>
        <v>0</v>
      </c>
      <c r="J3" s="20"/>
      <c r="K3" s="21"/>
      <c r="L3" s="21"/>
      <c r="M3" s="21"/>
      <c r="N3" s="21">
        <v>0.0</v>
      </c>
      <c r="O3" s="21">
        <v>0.0</v>
      </c>
      <c r="P3" s="21">
        <v>0.0</v>
      </c>
      <c r="Q3" s="21">
        <v>0.0</v>
      </c>
      <c r="R3" s="21">
        <v>0.0</v>
      </c>
      <c r="S3" s="21">
        <v>0.0</v>
      </c>
      <c r="T3" s="21">
        <v>0.0</v>
      </c>
      <c r="U3" s="21">
        <v>0.0</v>
      </c>
      <c r="V3" s="21">
        <v>0.0</v>
      </c>
      <c r="W3" s="21">
        <v>0.0</v>
      </c>
      <c r="X3" s="21">
        <v>0.0</v>
      </c>
      <c r="Y3" s="21">
        <v>0.0</v>
      </c>
      <c r="Z3" s="13">
        <f t="shared" si="3"/>
        <v>0</v>
      </c>
      <c r="AA3" s="13">
        <f t="shared" si="4"/>
        <v>0</v>
      </c>
      <c r="AB3" s="14">
        <f t="shared" si="5"/>
        <v>0</v>
      </c>
      <c r="AC3" s="14">
        <f t="shared" si="6"/>
        <v>0</v>
      </c>
      <c r="AD3" s="15">
        <v>0.25</v>
      </c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</row>
    <row r="4">
      <c r="A4" s="23">
        <v>43437.0</v>
      </c>
      <c r="B4" s="6">
        <v>1628.0</v>
      </c>
      <c r="C4" s="6">
        <v>1702.0</v>
      </c>
      <c r="D4" s="7" t="str">
        <f t="shared" si="1"/>
        <v>Jane/Murr</v>
      </c>
      <c r="E4" s="8" t="s">
        <v>33</v>
      </c>
      <c r="F4" s="24">
        <v>0.71875</v>
      </c>
      <c r="G4" s="10">
        <v>43437.0</v>
      </c>
      <c r="H4" s="9"/>
      <c r="I4" s="11">
        <f t="shared" si="2"/>
        <v>0</v>
      </c>
      <c r="J4" s="12"/>
      <c r="K4" s="7">
        <v>43.0</v>
      </c>
      <c r="L4" s="7"/>
      <c r="M4" s="7" t="s">
        <v>34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13">
        <f t="shared" si="3"/>
        <v>0</v>
      </c>
      <c r="AA4" s="13">
        <f t="shared" si="4"/>
        <v>0</v>
      </c>
      <c r="AB4" s="14">
        <f t="shared" si="5"/>
        <v>0</v>
      </c>
      <c r="AC4" s="14">
        <f t="shared" si="6"/>
        <v>0</v>
      </c>
      <c r="AD4" s="15">
        <v>0.17</v>
      </c>
      <c r="AE4" s="7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</row>
    <row r="5">
      <c r="A5" s="23">
        <v>43438.0</v>
      </c>
      <c r="B5" s="6">
        <v>1628.0</v>
      </c>
      <c r="C5" s="6">
        <v>1701.0</v>
      </c>
      <c r="D5" s="7" t="str">
        <f t="shared" si="1"/>
        <v>Tom</v>
      </c>
      <c r="E5" s="18"/>
      <c r="F5" s="19"/>
      <c r="G5" s="10">
        <v>43438.0</v>
      </c>
      <c r="H5" s="19"/>
      <c r="I5" s="11">
        <f t="shared" si="2"/>
        <v>0</v>
      </c>
      <c r="J5" s="20"/>
      <c r="K5" s="21"/>
      <c r="L5" s="21"/>
      <c r="M5" s="21"/>
      <c r="N5" s="21">
        <v>0.0</v>
      </c>
      <c r="O5" s="21">
        <v>0.0</v>
      </c>
      <c r="P5" s="21">
        <v>0.0</v>
      </c>
      <c r="Q5" s="21">
        <v>0.0</v>
      </c>
      <c r="R5" s="21">
        <v>0.0</v>
      </c>
      <c r="S5" s="21">
        <v>0.0</v>
      </c>
      <c r="T5" s="21">
        <v>0.0</v>
      </c>
      <c r="U5" s="21">
        <v>0.0</v>
      </c>
      <c r="V5" s="21">
        <v>0.0</v>
      </c>
      <c r="W5" s="21">
        <v>0.0</v>
      </c>
      <c r="X5" s="21">
        <v>0.0</v>
      </c>
      <c r="Y5" s="21">
        <v>0.0</v>
      </c>
      <c r="Z5" s="13">
        <f t="shared" si="3"/>
        <v>0</v>
      </c>
      <c r="AA5" s="13">
        <f t="shared" si="4"/>
        <v>0</v>
      </c>
      <c r="AB5" s="14">
        <f t="shared" si="5"/>
        <v>0</v>
      </c>
      <c r="AC5" s="14">
        <f t="shared" si="6"/>
        <v>0</v>
      </c>
      <c r="AD5" s="15">
        <v>0.09</v>
      </c>
      <c r="AE5" s="21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</row>
    <row r="6">
      <c r="A6" s="23">
        <v>43439.0</v>
      </c>
      <c r="B6" s="6">
        <v>1627.0</v>
      </c>
      <c r="C6" s="6">
        <v>1701.0</v>
      </c>
      <c r="D6" s="7" t="str">
        <f t="shared" si="1"/>
        <v>Sue/Anne</v>
      </c>
      <c r="E6" s="8" t="s">
        <v>33</v>
      </c>
      <c r="F6" s="9"/>
      <c r="G6" s="10">
        <v>43439.0</v>
      </c>
      <c r="H6" s="9"/>
      <c r="I6" s="11">
        <f t="shared" si="2"/>
        <v>0</v>
      </c>
      <c r="J6" s="12"/>
      <c r="K6" s="7"/>
      <c r="L6" s="7"/>
      <c r="M6" s="21"/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7">
        <v>0.0</v>
      </c>
      <c r="Y6" s="7">
        <v>0.0</v>
      </c>
      <c r="Z6" s="13">
        <f t="shared" si="3"/>
        <v>0</v>
      </c>
      <c r="AA6" s="13">
        <f t="shared" si="4"/>
        <v>0</v>
      </c>
      <c r="AB6" s="14">
        <f t="shared" si="5"/>
        <v>0</v>
      </c>
      <c r="AC6" s="14">
        <f t="shared" si="6"/>
        <v>0</v>
      </c>
      <c r="AD6" s="15">
        <v>0.04</v>
      </c>
      <c r="AE6" s="7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</row>
    <row r="7">
      <c r="A7" s="25">
        <v>43440.0</v>
      </c>
      <c r="B7" s="6">
        <v>1627.0</v>
      </c>
      <c r="C7" s="6">
        <v>1701.0</v>
      </c>
      <c r="D7" s="7" t="str">
        <f t="shared" si="1"/>
        <v>Shawn/Orems</v>
      </c>
      <c r="E7" s="18" t="s">
        <v>33</v>
      </c>
      <c r="F7" s="9">
        <v>0.7083333333333334</v>
      </c>
      <c r="G7" s="10">
        <v>43440.0</v>
      </c>
      <c r="H7" s="9">
        <v>0.7083333333333334</v>
      </c>
      <c r="I7" s="11">
        <f t="shared" si="2"/>
        <v>0</v>
      </c>
      <c r="J7" s="20">
        <v>0.0</v>
      </c>
      <c r="K7" s="21">
        <v>40.0</v>
      </c>
      <c r="L7" s="21"/>
      <c r="M7" s="21" t="s">
        <v>35</v>
      </c>
      <c r="N7" s="21">
        <v>0.0</v>
      </c>
      <c r="O7" s="21">
        <v>0.0</v>
      </c>
      <c r="P7" s="21">
        <v>0.0</v>
      </c>
      <c r="Q7" s="21">
        <v>0.0</v>
      </c>
      <c r="R7" s="21">
        <v>0.0</v>
      </c>
      <c r="S7" s="21">
        <v>0.0</v>
      </c>
      <c r="T7" s="21">
        <v>0.0</v>
      </c>
      <c r="U7" s="21">
        <v>0.0</v>
      </c>
      <c r="V7" s="21">
        <v>0.0</v>
      </c>
      <c r="W7" s="21">
        <v>0.0</v>
      </c>
      <c r="X7" s="21">
        <v>0.0</v>
      </c>
      <c r="Y7" s="21">
        <v>0.0</v>
      </c>
      <c r="Z7" s="13">
        <f t="shared" si="3"/>
        <v>0</v>
      </c>
      <c r="AA7" s="13">
        <f t="shared" si="4"/>
        <v>0</v>
      </c>
      <c r="AB7" s="14">
        <f t="shared" si="5"/>
        <v>0</v>
      </c>
      <c r="AC7" s="14">
        <f t="shared" si="6"/>
        <v>0</v>
      </c>
      <c r="AD7" s="15">
        <v>0.01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</row>
    <row r="8">
      <c r="A8" s="25">
        <v>43441.0</v>
      </c>
      <c r="B8" s="6">
        <v>1627.0</v>
      </c>
      <c r="C8" s="6">
        <v>1701.0</v>
      </c>
      <c r="D8" s="7" t="str">
        <f t="shared" si="1"/>
        <v>Jeff</v>
      </c>
      <c r="E8" s="8" t="s">
        <v>33</v>
      </c>
      <c r="F8" s="9">
        <v>0.7326388888888888</v>
      </c>
      <c r="G8" s="10">
        <v>43441.0</v>
      </c>
      <c r="H8" s="9">
        <v>0.7326388888888888</v>
      </c>
      <c r="I8" s="11">
        <f t="shared" si="2"/>
        <v>0</v>
      </c>
      <c r="J8" s="12"/>
      <c r="K8" s="7">
        <v>38.0</v>
      </c>
      <c r="L8" s="7">
        <v>38.0</v>
      </c>
      <c r="M8" s="7" t="s">
        <v>36</v>
      </c>
      <c r="N8" s="7">
        <v>0.0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13">
        <f t="shared" si="3"/>
        <v>0</v>
      </c>
      <c r="AA8" s="13">
        <f t="shared" si="4"/>
        <v>0</v>
      </c>
      <c r="AB8" s="14">
        <f t="shared" si="5"/>
        <v>0</v>
      </c>
      <c r="AC8" s="14">
        <f t="shared" si="6"/>
        <v>0</v>
      </c>
      <c r="AD8" s="15">
        <v>0.0</v>
      </c>
      <c r="AE8" s="7" t="s">
        <v>37</v>
      </c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>
      <c r="A9" s="25">
        <v>43442.0</v>
      </c>
      <c r="B9" s="6">
        <v>1627.0</v>
      </c>
      <c r="C9" s="6">
        <v>1701.0</v>
      </c>
      <c r="D9" s="7" t="str">
        <f t="shared" si="1"/>
        <v>Rob</v>
      </c>
      <c r="E9" s="18" t="s">
        <v>31</v>
      </c>
      <c r="F9" s="19">
        <v>0.6875</v>
      </c>
      <c r="G9" s="10">
        <v>43442.0</v>
      </c>
      <c r="H9" s="19">
        <v>0.6875</v>
      </c>
      <c r="I9" s="11">
        <f t="shared" si="2"/>
        <v>0</v>
      </c>
      <c r="J9" s="20"/>
      <c r="K9" s="21">
        <v>37.0</v>
      </c>
      <c r="L9" s="21"/>
      <c r="M9" s="21" t="s">
        <v>36</v>
      </c>
      <c r="N9" s="21">
        <v>0.0</v>
      </c>
      <c r="O9" s="21">
        <v>0.0</v>
      </c>
      <c r="P9" s="21">
        <v>0.0</v>
      </c>
      <c r="Q9" s="21">
        <v>0.0</v>
      </c>
      <c r="R9" s="21">
        <v>0.0</v>
      </c>
      <c r="S9" s="21">
        <v>0.0</v>
      </c>
      <c r="T9" s="21">
        <v>0.0</v>
      </c>
      <c r="U9" s="21">
        <v>0.0</v>
      </c>
      <c r="V9" s="21">
        <v>0.0</v>
      </c>
      <c r="W9" s="21">
        <v>0.0</v>
      </c>
      <c r="X9" s="21">
        <v>0.0</v>
      </c>
      <c r="Y9" s="21">
        <v>0.0</v>
      </c>
      <c r="Z9" s="13">
        <f t="shared" si="3"/>
        <v>0</v>
      </c>
      <c r="AA9" s="13">
        <f t="shared" si="4"/>
        <v>0</v>
      </c>
      <c r="AB9" s="14">
        <f t="shared" si="5"/>
        <v>0</v>
      </c>
      <c r="AC9" s="14">
        <f t="shared" si="6"/>
        <v>0</v>
      </c>
      <c r="AD9" s="15">
        <v>0.01</v>
      </c>
      <c r="AE9" s="21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</row>
    <row r="10">
      <c r="A10" s="23">
        <v>43443.0</v>
      </c>
      <c r="B10" s="6">
        <v>1627.0</v>
      </c>
      <c r="C10" s="6">
        <v>1701.0</v>
      </c>
      <c r="D10" s="7" t="str">
        <f t="shared" si="1"/>
        <v>Fred/Phil</v>
      </c>
      <c r="E10" s="8" t="s">
        <v>33</v>
      </c>
      <c r="F10" s="9">
        <v>0.7291666666666666</v>
      </c>
      <c r="G10" s="10">
        <v>43443.0</v>
      </c>
      <c r="H10" s="24">
        <v>0.7291666666666666</v>
      </c>
      <c r="I10" s="11">
        <f t="shared" si="2"/>
        <v>0</v>
      </c>
      <c r="J10" s="12"/>
      <c r="K10" s="7">
        <v>37.0</v>
      </c>
      <c r="L10" s="7"/>
      <c r="M10" s="7" t="s">
        <v>38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13">
        <f t="shared" si="3"/>
        <v>0</v>
      </c>
      <c r="AA10" s="13">
        <f t="shared" si="4"/>
        <v>0</v>
      </c>
      <c r="AB10" s="14">
        <f t="shared" si="5"/>
        <v>0</v>
      </c>
      <c r="AC10" s="14">
        <f t="shared" si="6"/>
        <v>0</v>
      </c>
      <c r="AD10" s="15">
        <v>0.04</v>
      </c>
      <c r="AE10" s="7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</row>
    <row r="11">
      <c r="A11" s="23">
        <v>43444.0</v>
      </c>
      <c r="B11" s="6">
        <v>1627.0</v>
      </c>
      <c r="C11" s="6">
        <v>1701.0</v>
      </c>
      <c r="D11" s="7" t="str">
        <f t="shared" si="1"/>
        <v>Jane/Murr</v>
      </c>
      <c r="E11" s="18" t="s">
        <v>33</v>
      </c>
      <c r="F11" s="19">
        <v>0.7083333333333334</v>
      </c>
      <c r="G11" s="10">
        <v>43444.0</v>
      </c>
      <c r="H11" s="19"/>
      <c r="I11" s="11">
        <f t="shared" si="2"/>
        <v>0</v>
      </c>
      <c r="J11" s="20"/>
      <c r="K11" s="21">
        <v>42.0</v>
      </c>
      <c r="L11" s="21"/>
      <c r="M11" s="21" t="s">
        <v>39</v>
      </c>
      <c r="N11" s="21">
        <v>0.0</v>
      </c>
      <c r="O11" s="21">
        <v>0.0</v>
      </c>
      <c r="P11" s="21">
        <v>0.0</v>
      </c>
      <c r="Q11" s="21">
        <v>0.0</v>
      </c>
      <c r="R11" s="21">
        <v>0.0</v>
      </c>
      <c r="S11" s="21">
        <v>0.0</v>
      </c>
      <c r="T11" s="21">
        <v>0.0</v>
      </c>
      <c r="U11" s="21">
        <v>0.0</v>
      </c>
      <c r="V11" s="21">
        <v>0.0</v>
      </c>
      <c r="W11" s="21">
        <v>0.0</v>
      </c>
      <c r="X11" s="21">
        <v>0.0</v>
      </c>
      <c r="Y11" s="21">
        <v>0.0</v>
      </c>
      <c r="Z11" s="13">
        <f t="shared" si="3"/>
        <v>0</v>
      </c>
      <c r="AA11" s="13">
        <f t="shared" si="4"/>
        <v>0</v>
      </c>
      <c r="AB11" s="14">
        <f t="shared" si="5"/>
        <v>0</v>
      </c>
      <c r="AC11" s="14">
        <f t="shared" si="6"/>
        <v>0</v>
      </c>
      <c r="AD11" s="15">
        <v>0.09</v>
      </c>
      <c r="AE11" s="21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</row>
    <row r="12">
      <c r="A12" s="23">
        <v>43445.0</v>
      </c>
      <c r="B12" s="6">
        <v>1627.0</v>
      </c>
      <c r="C12" s="6">
        <v>1701.0</v>
      </c>
      <c r="D12" s="7" t="str">
        <f t="shared" si="1"/>
        <v>Tom</v>
      </c>
      <c r="E12" s="8" t="s">
        <v>40</v>
      </c>
      <c r="F12" s="9">
        <v>0.6875</v>
      </c>
      <c r="G12" s="10">
        <v>43445.0</v>
      </c>
      <c r="H12" s="24">
        <v>0.8055555555555556</v>
      </c>
      <c r="I12" s="11">
        <f t="shared" si="2"/>
        <v>2.833333333</v>
      </c>
      <c r="J12" s="12">
        <v>7.75</v>
      </c>
      <c r="K12" s="7">
        <v>51.0</v>
      </c>
      <c r="L12" s="7">
        <v>47.0</v>
      </c>
      <c r="M12" s="7" t="s">
        <v>41</v>
      </c>
      <c r="N12" s="7">
        <v>0.0</v>
      </c>
      <c r="O12" s="7">
        <v>2.0</v>
      </c>
      <c r="P12" s="7">
        <v>0.0</v>
      </c>
      <c r="Q12" s="7">
        <v>0.0</v>
      </c>
      <c r="R12" s="7">
        <v>0.0</v>
      </c>
      <c r="S12" s="7">
        <v>0.0</v>
      </c>
      <c r="T12" s="7">
        <v>0.0</v>
      </c>
      <c r="U12" s="7">
        <v>0.0</v>
      </c>
      <c r="V12" s="7">
        <v>0.0</v>
      </c>
      <c r="W12" s="7">
        <v>0.0</v>
      </c>
      <c r="X12" s="7">
        <v>0.0</v>
      </c>
      <c r="Y12" s="7">
        <v>0.0</v>
      </c>
      <c r="Z12" s="13">
        <f t="shared" si="3"/>
        <v>2</v>
      </c>
      <c r="AA12" s="13">
        <f t="shared" si="4"/>
        <v>0</v>
      </c>
      <c r="AB12" s="14">
        <f t="shared" si="5"/>
        <v>2</v>
      </c>
      <c r="AC12" s="14">
        <f t="shared" si="6"/>
        <v>0</v>
      </c>
      <c r="AD12" s="15">
        <v>0.15</v>
      </c>
      <c r="AE12" s="7" t="s">
        <v>42</v>
      </c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</row>
    <row r="13">
      <c r="A13" s="23">
        <v>43446.0</v>
      </c>
      <c r="B13" s="6">
        <v>1627.0</v>
      </c>
      <c r="C13" s="6">
        <v>1701.0</v>
      </c>
      <c r="D13" s="7" t="str">
        <f t="shared" si="1"/>
        <v>Sue/Anne</v>
      </c>
      <c r="E13" s="18" t="s">
        <v>40</v>
      </c>
      <c r="F13" s="19">
        <v>0.7083333333333334</v>
      </c>
      <c r="G13" s="10">
        <v>43446.0</v>
      </c>
      <c r="H13" s="19">
        <v>0.71875</v>
      </c>
      <c r="I13" s="11">
        <f t="shared" si="2"/>
        <v>0.25</v>
      </c>
      <c r="J13" s="20">
        <v>0.25</v>
      </c>
      <c r="K13" s="21">
        <v>44.0</v>
      </c>
      <c r="L13" s="21"/>
      <c r="M13" s="21" t="s">
        <v>43</v>
      </c>
      <c r="N13" s="21">
        <v>0.0</v>
      </c>
      <c r="O13" s="21">
        <v>0.0</v>
      </c>
      <c r="P13" s="21">
        <v>0.0</v>
      </c>
      <c r="Q13" s="21">
        <v>0.0</v>
      </c>
      <c r="R13" s="21">
        <v>0.0</v>
      </c>
      <c r="S13" s="21">
        <v>0.0</v>
      </c>
      <c r="T13" s="21">
        <v>0.0</v>
      </c>
      <c r="U13" s="21">
        <v>0.0</v>
      </c>
      <c r="V13" s="21">
        <v>0.0</v>
      </c>
      <c r="W13" s="21">
        <v>0.0</v>
      </c>
      <c r="X13" s="21">
        <v>0.0</v>
      </c>
      <c r="Y13" s="21">
        <v>0.0</v>
      </c>
      <c r="Z13" s="13">
        <f t="shared" si="3"/>
        <v>0</v>
      </c>
      <c r="AA13" s="13">
        <f t="shared" si="4"/>
        <v>0</v>
      </c>
      <c r="AB13" s="14">
        <f t="shared" si="5"/>
        <v>0</v>
      </c>
      <c r="AC13" s="14">
        <f t="shared" si="6"/>
        <v>0</v>
      </c>
      <c r="AD13" s="15">
        <v>0.22</v>
      </c>
      <c r="AE13" s="21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</row>
    <row r="14">
      <c r="A14" s="26">
        <v>43447.0</v>
      </c>
      <c r="B14" s="6">
        <v>1627.0</v>
      </c>
      <c r="C14" s="6">
        <v>1701.0</v>
      </c>
      <c r="D14" s="7" t="str">
        <f t="shared" si="1"/>
        <v>Shawn/Orems</v>
      </c>
      <c r="E14" s="8" t="s">
        <v>33</v>
      </c>
      <c r="F14" s="19">
        <v>0.7083333333333334</v>
      </c>
      <c r="G14" s="10">
        <v>43447.0</v>
      </c>
      <c r="H14" s="19">
        <v>0.7083333333333334</v>
      </c>
      <c r="I14" s="11">
        <f t="shared" si="2"/>
        <v>0</v>
      </c>
      <c r="J14" s="12"/>
      <c r="K14" s="7">
        <v>48.0</v>
      </c>
      <c r="L14" s="7"/>
      <c r="M14" s="7" t="s">
        <v>44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13">
        <f t="shared" si="3"/>
        <v>0</v>
      </c>
      <c r="AA14" s="13">
        <f t="shared" si="4"/>
        <v>0</v>
      </c>
      <c r="AB14" s="14">
        <f t="shared" si="5"/>
        <v>0</v>
      </c>
      <c r="AC14" s="14">
        <f t="shared" si="6"/>
        <v>0</v>
      </c>
      <c r="AD14" s="15">
        <v>0.3</v>
      </c>
      <c r="AE14" s="7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  <row r="15">
      <c r="A15" s="26">
        <v>43448.0</v>
      </c>
      <c r="B15" s="6">
        <v>1627.0</v>
      </c>
      <c r="C15" s="6">
        <v>1702.0</v>
      </c>
      <c r="D15" s="7" t="str">
        <f t="shared" si="1"/>
        <v>Jeff</v>
      </c>
      <c r="E15" s="18" t="s">
        <v>40</v>
      </c>
      <c r="F15" s="19">
        <v>0.6875</v>
      </c>
      <c r="G15" s="10">
        <v>43448.0</v>
      </c>
      <c r="H15" s="19">
        <v>0.7604166666666666</v>
      </c>
      <c r="I15" s="11">
        <f t="shared" si="2"/>
        <v>1.75</v>
      </c>
      <c r="J15" s="20">
        <v>4.5</v>
      </c>
      <c r="K15" s="21">
        <v>48.0</v>
      </c>
      <c r="L15" s="21">
        <v>46.0</v>
      </c>
      <c r="M15" s="21" t="s">
        <v>45</v>
      </c>
      <c r="N15" s="21">
        <v>0.0</v>
      </c>
      <c r="O15" s="21">
        <v>0.0</v>
      </c>
      <c r="P15" s="21">
        <v>0.0</v>
      </c>
      <c r="Q15" s="21">
        <v>0.0</v>
      </c>
      <c r="R15" s="21">
        <v>0.0</v>
      </c>
      <c r="S15" s="21">
        <v>0.0</v>
      </c>
      <c r="T15" s="21">
        <v>0.0</v>
      </c>
      <c r="U15" s="21">
        <v>0.0</v>
      </c>
      <c r="V15" s="21">
        <v>0.0</v>
      </c>
      <c r="W15" s="21">
        <v>0.0</v>
      </c>
      <c r="X15" s="21">
        <v>0.0</v>
      </c>
      <c r="Y15" s="21">
        <v>0.0</v>
      </c>
      <c r="Z15" s="13">
        <f t="shared" si="3"/>
        <v>0</v>
      </c>
      <c r="AA15" s="13">
        <f t="shared" si="4"/>
        <v>0</v>
      </c>
      <c r="AB15" s="14">
        <f t="shared" si="5"/>
        <v>0</v>
      </c>
      <c r="AC15" s="14">
        <f t="shared" si="6"/>
        <v>0</v>
      </c>
      <c r="AD15" s="15">
        <v>0.39</v>
      </c>
      <c r="AE15" s="21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</row>
    <row r="16">
      <c r="A16" s="26">
        <v>43449.0</v>
      </c>
      <c r="B16" s="6">
        <v>1628.0</v>
      </c>
      <c r="C16" s="6">
        <v>1702.0</v>
      </c>
      <c r="D16" s="7" t="str">
        <f t="shared" si="1"/>
        <v>Rob</v>
      </c>
      <c r="E16" s="8" t="s">
        <v>46</v>
      </c>
      <c r="F16" s="9">
        <v>0.6875</v>
      </c>
      <c r="G16" s="10">
        <v>43449.0</v>
      </c>
      <c r="H16" s="9">
        <v>0.7291666666666666</v>
      </c>
      <c r="I16" s="11">
        <f t="shared" si="2"/>
        <v>1</v>
      </c>
      <c r="J16" s="12">
        <v>2.0</v>
      </c>
      <c r="K16" s="7">
        <v>43.0</v>
      </c>
      <c r="L16" s="7">
        <v>43.0</v>
      </c>
      <c r="M16" s="7" t="s">
        <v>47</v>
      </c>
      <c r="N16" s="7">
        <v>0.0</v>
      </c>
      <c r="O16" s="7">
        <v>0.0</v>
      </c>
      <c r="P16" s="7">
        <v>0.0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13">
        <f t="shared" si="3"/>
        <v>0</v>
      </c>
      <c r="AA16" s="13">
        <f t="shared" si="4"/>
        <v>0</v>
      </c>
      <c r="AB16" s="14">
        <f t="shared" si="5"/>
        <v>0</v>
      </c>
      <c r="AC16" s="14">
        <f t="shared" si="6"/>
        <v>0</v>
      </c>
      <c r="AD16" s="15">
        <v>0.49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</row>
    <row r="17">
      <c r="A17" s="26">
        <v>43450.0</v>
      </c>
      <c r="B17" s="6">
        <v>1628.0</v>
      </c>
      <c r="C17" s="6">
        <v>1702.0</v>
      </c>
      <c r="D17" s="7" t="str">
        <f t="shared" si="1"/>
        <v>Fred/Phil</v>
      </c>
      <c r="E17" s="18" t="s">
        <v>40</v>
      </c>
      <c r="F17" s="19">
        <v>0.6875</v>
      </c>
      <c r="G17" s="10">
        <v>43450.0</v>
      </c>
      <c r="H17" s="19">
        <v>0.7604166666666666</v>
      </c>
      <c r="I17" s="11">
        <f t="shared" si="2"/>
        <v>1.75</v>
      </c>
      <c r="J17" s="20">
        <v>5.25</v>
      </c>
      <c r="K17" s="21">
        <v>47.0</v>
      </c>
      <c r="L17" s="21">
        <v>48.0</v>
      </c>
      <c r="M17" s="21" t="s">
        <v>48</v>
      </c>
      <c r="N17" s="21">
        <v>0.0</v>
      </c>
      <c r="O17" s="21">
        <v>0.0</v>
      </c>
      <c r="P17" s="21">
        <v>0.0</v>
      </c>
      <c r="Q17" s="21">
        <v>0.0</v>
      </c>
      <c r="R17" s="21">
        <v>0.0</v>
      </c>
      <c r="S17" s="21">
        <v>0.0</v>
      </c>
      <c r="T17" s="21">
        <v>0.0</v>
      </c>
      <c r="U17" s="21">
        <v>0.0</v>
      </c>
      <c r="V17" s="21">
        <v>0.0</v>
      </c>
      <c r="W17" s="21">
        <v>0.0</v>
      </c>
      <c r="X17" s="21">
        <v>0.0</v>
      </c>
      <c r="Y17" s="21">
        <v>0.0</v>
      </c>
      <c r="Z17" s="13">
        <f t="shared" si="3"/>
        <v>0</v>
      </c>
      <c r="AA17" s="13">
        <f t="shared" si="4"/>
        <v>0</v>
      </c>
      <c r="AB17" s="14">
        <f t="shared" si="5"/>
        <v>0</v>
      </c>
      <c r="AC17" s="14">
        <f t="shared" si="6"/>
        <v>0</v>
      </c>
      <c r="AD17" s="15">
        <v>0.58</v>
      </c>
      <c r="AE17" s="21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</row>
    <row r="18">
      <c r="A18" s="26">
        <v>43451.0</v>
      </c>
      <c r="B18" s="6">
        <v>1628.0</v>
      </c>
      <c r="C18" s="6">
        <v>1702.0</v>
      </c>
      <c r="D18" s="7" t="str">
        <f t="shared" si="1"/>
        <v>Jane/Murr</v>
      </c>
      <c r="E18" s="8" t="s">
        <v>40</v>
      </c>
      <c r="F18" s="24">
        <v>0.6875</v>
      </c>
      <c r="G18" s="10">
        <v>43451.0</v>
      </c>
      <c r="H18" s="9">
        <v>0.8125</v>
      </c>
      <c r="I18" s="11">
        <f t="shared" si="2"/>
        <v>3</v>
      </c>
      <c r="J18" s="12">
        <v>13.25</v>
      </c>
      <c r="K18" s="7">
        <v>49.0</v>
      </c>
      <c r="L18" s="7">
        <v>51.0</v>
      </c>
      <c r="M18" s="7" t="s">
        <v>49</v>
      </c>
      <c r="N18" s="7">
        <v>0.0</v>
      </c>
      <c r="O18" s="7">
        <v>1.0</v>
      </c>
      <c r="P18" s="7">
        <v>0.0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0.0</v>
      </c>
      <c r="W18" s="7">
        <v>0.0</v>
      </c>
      <c r="X18" s="7">
        <v>0.0</v>
      </c>
      <c r="Y18" s="7">
        <v>0.0</v>
      </c>
      <c r="Z18" s="13">
        <f t="shared" si="3"/>
        <v>1</v>
      </c>
      <c r="AA18" s="13">
        <f t="shared" si="4"/>
        <v>0</v>
      </c>
      <c r="AB18" s="14">
        <f t="shared" si="5"/>
        <v>1</v>
      </c>
      <c r="AC18" s="14">
        <f t="shared" si="6"/>
        <v>0</v>
      </c>
      <c r="AD18" s="15">
        <v>0.68</v>
      </c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</row>
    <row r="19">
      <c r="A19" s="27">
        <v>43452.0</v>
      </c>
      <c r="B19" s="6">
        <v>1629.0</v>
      </c>
      <c r="C19" s="6">
        <v>1703.0</v>
      </c>
      <c r="D19" s="7" t="str">
        <f t="shared" si="1"/>
        <v>Tom</v>
      </c>
      <c r="E19" s="18" t="s">
        <v>40</v>
      </c>
      <c r="F19" s="19">
        <v>0.6875</v>
      </c>
      <c r="G19" s="10">
        <v>43452.0</v>
      </c>
      <c r="H19" s="19">
        <v>0.7916666666666666</v>
      </c>
      <c r="I19" s="11">
        <f t="shared" si="2"/>
        <v>2.5</v>
      </c>
      <c r="J19" s="21">
        <v>4.25</v>
      </c>
      <c r="K19" s="21">
        <v>51.0</v>
      </c>
      <c r="L19" s="21">
        <v>48.0</v>
      </c>
      <c r="M19" s="21" t="s">
        <v>50</v>
      </c>
      <c r="N19" s="21">
        <v>1.0</v>
      </c>
      <c r="O19" s="21">
        <v>1.0</v>
      </c>
      <c r="P19" s="21">
        <v>0.0</v>
      </c>
      <c r="Q19" s="21">
        <v>0.0</v>
      </c>
      <c r="R19" s="21">
        <v>0.0</v>
      </c>
      <c r="S19" s="21">
        <v>0.0</v>
      </c>
      <c r="T19" s="21">
        <v>0.0</v>
      </c>
      <c r="U19" s="21">
        <v>0.0</v>
      </c>
      <c r="V19" s="21">
        <v>0.0</v>
      </c>
      <c r="W19" s="21">
        <v>0.0</v>
      </c>
      <c r="X19" s="21">
        <v>2.0</v>
      </c>
      <c r="Y19" s="21">
        <v>0.0</v>
      </c>
      <c r="Z19" s="13">
        <f t="shared" si="3"/>
        <v>2</v>
      </c>
      <c r="AA19" s="13">
        <f t="shared" si="4"/>
        <v>0</v>
      </c>
      <c r="AB19" s="14">
        <f t="shared" si="5"/>
        <v>2</v>
      </c>
      <c r="AC19" s="14">
        <f t="shared" si="6"/>
        <v>0</v>
      </c>
      <c r="AD19" s="15">
        <v>0.77</v>
      </c>
      <c r="AE19" s="21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</row>
    <row r="20">
      <c r="A20" s="27">
        <v>43453.0</v>
      </c>
      <c r="B20" s="6">
        <v>1629.0</v>
      </c>
      <c r="C20" s="6">
        <v>1703.0</v>
      </c>
      <c r="D20" s="7" t="str">
        <f t="shared" si="1"/>
        <v>Sue/Anne</v>
      </c>
      <c r="E20" s="8" t="s">
        <v>40</v>
      </c>
      <c r="F20" s="24">
        <v>0.6979166666666666</v>
      </c>
      <c r="G20" s="10">
        <v>43453.0</v>
      </c>
      <c r="H20" s="9">
        <v>0.7881944444444444</v>
      </c>
      <c r="I20" s="11">
        <f t="shared" si="2"/>
        <v>2.166666667</v>
      </c>
      <c r="J20" s="12">
        <v>3.83</v>
      </c>
      <c r="K20" s="7">
        <v>49.2</v>
      </c>
      <c r="L20" s="7">
        <v>48.4</v>
      </c>
      <c r="M20" s="7" t="s">
        <v>51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13">
        <f t="shared" si="3"/>
        <v>0</v>
      </c>
      <c r="AA20" s="13">
        <f t="shared" si="4"/>
        <v>0</v>
      </c>
      <c r="AB20" s="14">
        <f t="shared" si="5"/>
        <v>0</v>
      </c>
      <c r="AC20" s="14">
        <f t="shared" si="6"/>
        <v>0</v>
      </c>
      <c r="AD20" s="15">
        <v>0.85</v>
      </c>
      <c r="AE20" s="7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</row>
    <row r="21">
      <c r="A21" s="27">
        <v>43454.0</v>
      </c>
      <c r="B21" s="6">
        <v>1629.0</v>
      </c>
      <c r="C21" s="6">
        <v>1704.0</v>
      </c>
      <c r="D21" s="7" t="str">
        <f t="shared" si="1"/>
        <v>Shawn/Orems</v>
      </c>
      <c r="E21" s="18" t="s">
        <v>40</v>
      </c>
      <c r="F21" s="9">
        <v>0.6979166666666666</v>
      </c>
      <c r="G21" s="10">
        <v>43454.0</v>
      </c>
      <c r="H21" s="9">
        <v>0.8020833333333334</v>
      </c>
      <c r="I21" s="11">
        <f t="shared" si="2"/>
        <v>2.5</v>
      </c>
      <c r="J21" s="20">
        <v>7.0</v>
      </c>
      <c r="K21" s="21">
        <v>48.0</v>
      </c>
      <c r="L21" s="21">
        <v>45.0</v>
      </c>
      <c r="M21" s="21" t="s">
        <v>52</v>
      </c>
      <c r="N21" s="21">
        <v>0.0</v>
      </c>
      <c r="O21" s="21">
        <v>0.0</v>
      </c>
      <c r="P21" s="21">
        <v>0.0</v>
      </c>
      <c r="Q21" s="21">
        <v>0.0</v>
      </c>
      <c r="R21" s="21">
        <v>0.0</v>
      </c>
      <c r="S21" s="21">
        <v>0.0</v>
      </c>
      <c r="T21" s="21">
        <v>0.0</v>
      </c>
      <c r="U21" s="21">
        <v>0.0</v>
      </c>
      <c r="V21" s="21">
        <v>0.0</v>
      </c>
      <c r="W21" s="21">
        <v>0.0</v>
      </c>
      <c r="X21" s="21">
        <v>0.0</v>
      </c>
      <c r="Y21" s="21">
        <v>0.0</v>
      </c>
      <c r="Z21" s="13">
        <f t="shared" si="3"/>
        <v>0</v>
      </c>
      <c r="AA21" s="13">
        <f t="shared" si="4"/>
        <v>0</v>
      </c>
      <c r="AB21" s="14">
        <f t="shared" si="5"/>
        <v>0</v>
      </c>
      <c r="AC21" s="14">
        <f t="shared" si="6"/>
        <v>0</v>
      </c>
      <c r="AD21" s="15">
        <v>0.92</v>
      </c>
      <c r="AE21" s="28" t="s">
        <v>53</v>
      </c>
      <c r="AF21" s="29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</row>
    <row r="22">
      <c r="A22" s="27">
        <v>43455.0</v>
      </c>
      <c r="B22" s="6">
        <v>1630.0</v>
      </c>
      <c r="C22" s="6">
        <v>1704.0</v>
      </c>
      <c r="D22" s="7" t="str">
        <f t="shared" si="1"/>
        <v>Jeff</v>
      </c>
      <c r="E22" s="8" t="s">
        <v>33</v>
      </c>
      <c r="F22" s="9">
        <v>0.7138888888888889</v>
      </c>
      <c r="G22" s="10">
        <v>43455.0</v>
      </c>
      <c r="H22" s="9">
        <v>0.7138888888888889</v>
      </c>
      <c r="I22" s="11">
        <f t="shared" si="2"/>
        <v>0</v>
      </c>
      <c r="J22" s="7">
        <v>0.0</v>
      </c>
      <c r="K22" s="7">
        <v>43.0</v>
      </c>
      <c r="L22" s="7">
        <v>43.0</v>
      </c>
      <c r="M22" s="7" t="s">
        <v>54</v>
      </c>
      <c r="N22" s="7">
        <v>0.0</v>
      </c>
      <c r="O22" s="7">
        <v>0.0</v>
      </c>
      <c r="P22" s="7">
        <v>0.0</v>
      </c>
      <c r="Q22" s="7">
        <v>0.0</v>
      </c>
      <c r="R22" s="7">
        <v>0.0</v>
      </c>
      <c r="S22" s="7">
        <v>0.0</v>
      </c>
      <c r="T22" s="7">
        <v>0.0</v>
      </c>
      <c r="U22" s="7">
        <v>0.0</v>
      </c>
      <c r="V22" s="7">
        <v>0.0</v>
      </c>
      <c r="W22" s="7">
        <v>0.0</v>
      </c>
      <c r="X22" s="7">
        <v>0.0</v>
      </c>
      <c r="Y22" s="7">
        <v>0.0</v>
      </c>
      <c r="Z22" s="13">
        <f t="shared" si="3"/>
        <v>0</v>
      </c>
      <c r="AA22" s="13">
        <f t="shared" si="4"/>
        <v>0</v>
      </c>
      <c r="AB22" s="14">
        <f t="shared" si="5"/>
        <v>0</v>
      </c>
      <c r="AC22" s="14">
        <f t="shared" si="6"/>
        <v>0</v>
      </c>
      <c r="AD22" s="15">
        <v>0.97</v>
      </c>
      <c r="AE22" s="7" t="s">
        <v>55</v>
      </c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</row>
    <row r="23">
      <c r="A23" s="30">
        <v>43456.0</v>
      </c>
      <c r="B23" s="6">
        <v>1630.0</v>
      </c>
      <c r="C23" s="6">
        <v>1705.0</v>
      </c>
      <c r="D23" s="7" t="str">
        <f t="shared" si="1"/>
        <v>Rob</v>
      </c>
      <c r="E23" s="18" t="s">
        <v>46</v>
      </c>
      <c r="F23" s="31">
        <v>0.6875</v>
      </c>
      <c r="G23" s="10">
        <v>43456.0</v>
      </c>
      <c r="H23" s="19">
        <v>0.75</v>
      </c>
      <c r="I23" s="11">
        <f t="shared" si="2"/>
        <v>1.5</v>
      </c>
      <c r="J23" s="20">
        <v>1.5</v>
      </c>
      <c r="K23" s="21">
        <v>41.0</v>
      </c>
      <c r="L23" s="21">
        <v>40.0</v>
      </c>
      <c r="M23" s="21" t="s">
        <v>56</v>
      </c>
      <c r="N23" s="21">
        <v>0.0</v>
      </c>
      <c r="O23" s="21">
        <v>0.0</v>
      </c>
      <c r="P23" s="21">
        <v>0.0</v>
      </c>
      <c r="Q23" s="21">
        <v>0.0</v>
      </c>
      <c r="R23" s="21">
        <v>0.0</v>
      </c>
      <c r="S23" s="21">
        <v>0.0</v>
      </c>
      <c r="T23" s="21">
        <v>0.0</v>
      </c>
      <c r="U23" s="21">
        <v>0.0</v>
      </c>
      <c r="V23" s="21">
        <v>0.0</v>
      </c>
      <c r="W23" s="21">
        <v>0.0</v>
      </c>
      <c r="X23" s="21">
        <v>0.0</v>
      </c>
      <c r="Y23" s="21">
        <v>0.0</v>
      </c>
      <c r="Z23" s="13">
        <f t="shared" si="3"/>
        <v>0</v>
      </c>
      <c r="AA23" s="13">
        <f t="shared" si="4"/>
        <v>0</v>
      </c>
      <c r="AB23" s="14">
        <f t="shared" si="5"/>
        <v>0</v>
      </c>
      <c r="AC23" s="14">
        <f t="shared" si="6"/>
        <v>0</v>
      </c>
      <c r="AD23" s="15">
        <v>1.0</v>
      </c>
      <c r="AE23" s="21" t="s">
        <v>57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</row>
    <row r="24">
      <c r="A24" s="30">
        <v>43457.0</v>
      </c>
      <c r="B24" s="6">
        <v>1631.0</v>
      </c>
      <c r="C24" s="6">
        <v>1705.0</v>
      </c>
      <c r="D24" s="7" t="str">
        <f t="shared" si="1"/>
        <v>Fred/Phil</v>
      </c>
      <c r="E24" s="8" t="s">
        <v>40</v>
      </c>
      <c r="F24" s="9">
        <v>0.7083333333333334</v>
      </c>
      <c r="G24" s="10">
        <v>43457.0</v>
      </c>
      <c r="H24" s="9">
        <v>0.7916666666666666</v>
      </c>
      <c r="I24" s="11">
        <f t="shared" si="2"/>
        <v>2</v>
      </c>
      <c r="J24" s="12">
        <v>4.75</v>
      </c>
      <c r="K24" s="7">
        <v>47.8</v>
      </c>
      <c r="L24" s="7">
        <v>46.9</v>
      </c>
      <c r="M24" s="7" t="s">
        <v>58</v>
      </c>
      <c r="N24" s="7">
        <v>0.0</v>
      </c>
      <c r="O24" s="7">
        <v>1.0</v>
      </c>
      <c r="P24" s="7">
        <v>0.0</v>
      </c>
      <c r="Q24" s="7">
        <v>0.0</v>
      </c>
      <c r="R24" s="7">
        <v>0.0</v>
      </c>
      <c r="S24" s="7">
        <v>0.0</v>
      </c>
      <c r="T24" s="7">
        <v>0.0</v>
      </c>
      <c r="U24" s="7">
        <v>0.0</v>
      </c>
      <c r="V24" s="7">
        <v>0.0</v>
      </c>
      <c r="W24" s="7">
        <v>0.0</v>
      </c>
      <c r="X24" s="7">
        <v>0.0</v>
      </c>
      <c r="Y24" s="7">
        <v>0.0</v>
      </c>
      <c r="Z24" s="13">
        <f t="shared" si="3"/>
        <v>1</v>
      </c>
      <c r="AA24" s="13">
        <f t="shared" si="4"/>
        <v>0</v>
      </c>
      <c r="AB24" s="14">
        <f t="shared" si="5"/>
        <v>1</v>
      </c>
      <c r="AC24" s="14">
        <f t="shared" si="6"/>
        <v>0</v>
      </c>
      <c r="AD24" s="15">
        <v>0.99</v>
      </c>
      <c r="AE24" s="7" t="s">
        <v>59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</row>
    <row r="25">
      <c r="A25" s="27">
        <v>43458.0</v>
      </c>
      <c r="B25" s="6">
        <v>1632.0</v>
      </c>
      <c r="C25" s="6">
        <v>1706.0</v>
      </c>
      <c r="D25" s="7" t="str">
        <f t="shared" si="1"/>
        <v>Jane/Murr</v>
      </c>
      <c r="E25" s="18" t="s">
        <v>40</v>
      </c>
      <c r="F25" s="31">
        <v>0.6979166666666666</v>
      </c>
      <c r="G25" s="10">
        <v>43458.0</v>
      </c>
      <c r="H25" s="31">
        <v>0.7083333333333334</v>
      </c>
      <c r="I25" s="11">
        <f t="shared" si="2"/>
        <v>0.25</v>
      </c>
      <c r="J25" s="20">
        <v>0.25</v>
      </c>
      <c r="K25" s="21">
        <v>46.0</v>
      </c>
      <c r="L25" s="21">
        <v>46.0</v>
      </c>
      <c r="M25" s="21" t="s">
        <v>35</v>
      </c>
      <c r="N25" s="21">
        <v>0.0</v>
      </c>
      <c r="O25" s="21">
        <v>0.0</v>
      </c>
      <c r="P25" s="21">
        <v>0.0</v>
      </c>
      <c r="Q25" s="21">
        <v>0.0</v>
      </c>
      <c r="R25" s="21">
        <v>0.0</v>
      </c>
      <c r="S25" s="21">
        <v>0.0</v>
      </c>
      <c r="T25" s="21">
        <v>0.0</v>
      </c>
      <c r="U25" s="21">
        <v>0.0</v>
      </c>
      <c r="V25" s="21">
        <v>0.0</v>
      </c>
      <c r="W25" s="21">
        <v>0.0</v>
      </c>
      <c r="X25" s="21">
        <v>0.0</v>
      </c>
      <c r="Y25" s="21">
        <v>0.0</v>
      </c>
      <c r="Z25" s="13">
        <f t="shared" si="3"/>
        <v>0</v>
      </c>
      <c r="AA25" s="13">
        <f t="shared" si="4"/>
        <v>0</v>
      </c>
      <c r="AB25" s="14">
        <f t="shared" si="5"/>
        <v>0</v>
      </c>
      <c r="AC25" s="14">
        <f t="shared" si="6"/>
        <v>0</v>
      </c>
      <c r="AD25" s="15">
        <v>0.96</v>
      </c>
      <c r="AE25" s="21" t="s">
        <v>60</v>
      </c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</row>
    <row r="26">
      <c r="A26" s="27">
        <v>43459.0</v>
      </c>
      <c r="B26" s="6">
        <v>1632.0</v>
      </c>
      <c r="C26" s="6">
        <v>1706.0</v>
      </c>
      <c r="D26" s="7" t="str">
        <f t="shared" si="1"/>
        <v>Tom</v>
      </c>
      <c r="E26" s="8" t="s">
        <v>33</v>
      </c>
      <c r="F26" s="9">
        <v>0.6979166666666666</v>
      </c>
      <c r="G26" s="10">
        <v>43459.0</v>
      </c>
      <c r="H26" s="9">
        <v>0.6979166666666666</v>
      </c>
      <c r="I26" s="11">
        <f t="shared" si="2"/>
        <v>0</v>
      </c>
      <c r="J26" s="12">
        <v>0.0</v>
      </c>
      <c r="K26" s="7">
        <v>45.0</v>
      </c>
      <c r="L26" s="7">
        <v>45.0</v>
      </c>
      <c r="M26" s="7" t="s">
        <v>32</v>
      </c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0.0</v>
      </c>
      <c r="U26" s="7">
        <v>0.0</v>
      </c>
      <c r="V26" s="7">
        <v>0.0</v>
      </c>
      <c r="W26" s="7">
        <v>0.0</v>
      </c>
      <c r="X26" s="7">
        <v>0.0</v>
      </c>
      <c r="Y26" s="7">
        <v>0.0</v>
      </c>
      <c r="Z26" s="13">
        <f t="shared" si="3"/>
        <v>0</v>
      </c>
      <c r="AA26" s="13">
        <f t="shared" si="4"/>
        <v>0</v>
      </c>
      <c r="AB26" s="14">
        <f t="shared" si="5"/>
        <v>0</v>
      </c>
      <c r="AC26" s="14">
        <f t="shared" si="6"/>
        <v>0</v>
      </c>
      <c r="AD26" s="15">
        <v>0.91</v>
      </c>
      <c r="AE26" s="7"/>
      <c r="AF26" s="7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</row>
    <row r="27">
      <c r="A27" s="27">
        <v>43460.0</v>
      </c>
      <c r="B27" s="6">
        <v>1633.0</v>
      </c>
      <c r="C27" s="6">
        <v>1707.0</v>
      </c>
      <c r="D27" s="7" t="str">
        <f t="shared" si="1"/>
        <v>Sue/Anne</v>
      </c>
      <c r="E27" s="18" t="s">
        <v>40</v>
      </c>
      <c r="F27" s="19">
        <v>0.7013888888888888</v>
      </c>
      <c r="G27" s="10">
        <v>43460.0</v>
      </c>
      <c r="H27" s="19">
        <v>0.71875</v>
      </c>
      <c r="I27" s="11">
        <f t="shared" si="2"/>
        <v>0.4166666667</v>
      </c>
      <c r="J27" s="20">
        <v>0.42</v>
      </c>
      <c r="K27" s="21">
        <v>43.1</v>
      </c>
      <c r="L27" s="21">
        <v>43.0</v>
      </c>
      <c r="M27" s="21" t="s">
        <v>61</v>
      </c>
      <c r="N27" s="21">
        <v>0.0</v>
      </c>
      <c r="O27" s="21">
        <v>0.0</v>
      </c>
      <c r="P27" s="21">
        <v>0.0</v>
      </c>
      <c r="Q27" s="21">
        <v>0.0</v>
      </c>
      <c r="R27" s="21">
        <v>0.0</v>
      </c>
      <c r="S27" s="21">
        <v>0.0</v>
      </c>
      <c r="T27" s="21">
        <v>0.0</v>
      </c>
      <c r="U27" s="21">
        <v>0.0</v>
      </c>
      <c r="V27" s="21">
        <v>0.0</v>
      </c>
      <c r="W27" s="21">
        <v>0.0</v>
      </c>
      <c r="X27" s="21">
        <v>0.0</v>
      </c>
      <c r="Y27" s="21">
        <v>0.0</v>
      </c>
      <c r="Z27" s="13">
        <f t="shared" si="3"/>
        <v>0</v>
      </c>
      <c r="AA27" s="13">
        <f t="shared" si="4"/>
        <v>0</v>
      </c>
      <c r="AB27" s="14">
        <f t="shared" si="5"/>
        <v>0</v>
      </c>
      <c r="AC27" s="14">
        <f t="shared" si="6"/>
        <v>0</v>
      </c>
      <c r="AD27" s="15">
        <v>0.82</v>
      </c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</row>
    <row r="28">
      <c r="A28" s="26">
        <v>43461.0</v>
      </c>
      <c r="B28" s="6">
        <v>1634.0</v>
      </c>
      <c r="C28" s="6">
        <v>1708.0</v>
      </c>
      <c r="D28" s="7" t="str">
        <f t="shared" si="1"/>
        <v>Shawn/Orems</v>
      </c>
      <c r="E28" s="8" t="s">
        <v>33</v>
      </c>
      <c r="F28" s="9">
        <v>0.7083333333333334</v>
      </c>
      <c r="G28" s="10">
        <v>43461.0</v>
      </c>
      <c r="H28" s="9">
        <v>0.7083333333333334</v>
      </c>
      <c r="I28" s="11">
        <f t="shared" si="2"/>
        <v>0</v>
      </c>
      <c r="J28" s="12">
        <v>0.0</v>
      </c>
      <c r="K28" s="7">
        <v>43.0</v>
      </c>
      <c r="L28" s="7"/>
      <c r="M28" s="7" t="s">
        <v>62</v>
      </c>
      <c r="N28" s="7">
        <v>0.0</v>
      </c>
      <c r="O28" s="7">
        <v>0.0</v>
      </c>
      <c r="P28" s="7">
        <v>0.0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7">
        <v>0.0</v>
      </c>
      <c r="Y28" s="7">
        <v>0.0</v>
      </c>
      <c r="Z28" s="13">
        <f t="shared" si="3"/>
        <v>0</v>
      </c>
      <c r="AA28" s="13">
        <f t="shared" si="4"/>
        <v>0</v>
      </c>
      <c r="AB28" s="14">
        <f t="shared" si="5"/>
        <v>0</v>
      </c>
      <c r="AC28" s="14">
        <f t="shared" si="6"/>
        <v>0</v>
      </c>
      <c r="AD28" s="15">
        <v>0.73</v>
      </c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</row>
    <row r="29">
      <c r="A29" s="26">
        <v>43462.0</v>
      </c>
      <c r="B29" s="6">
        <v>1634.0</v>
      </c>
      <c r="C29" s="6">
        <v>1709.0</v>
      </c>
      <c r="D29" s="7" t="str">
        <f t="shared" si="1"/>
        <v>Jeff</v>
      </c>
      <c r="E29" s="18" t="s">
        <v>40</v>
      </c>
      <c r="F29" s="19">
        <v>0.7013888888888888</v>
      </c>
      <c r="G29" s="10">
        <v>43462.0</v>
      </c>
      <c r="H29" s="19">
        <v>0.7291666666666666</v>
      </c>
      <c r="I29" s="11">
        <f t="shared" si="2"/>
        <v>0.6666666667</v>
      </c>
      <c r="J29" s="20">
        <v>0.67</v>
      </c>
      <c r="K29" s="21">
        <v>44.0</v>
      </c>
      <c r="L29" s="21">
        <v>43.0</v>
      </c>
      <c r="M29" s="21" t="s">
        <v>63</v>
      </c>
      <c r="N29" s="21">
        <v>0.0</v>
      </c>
      <c r="O29" s="21">
        <v>0.0</v>
      </c>
      <c r="P29" s="21">
        <v>0.0</v>
      </c>
      <c r="Q29" s="21">
        <v>0.0</v>
      </c>
      <c r="R29" s="21">
        <v>0.0</v>
      </c>
      <c r="S29" s="21">
        <v>0.0</v>
      </c>
      <c r="T29" s="21">
        <v>0.0</v>
      </c>
      <c r="U29" s="21">
        <v>0.0</v>
      </c>
      <c r="V29" s="21">
        <v>0.0</v>
      </c>
      <c r="W29" s="21">
        <v>0.0</v>
      </c>
      <c r="X29" s="21">
        <v>0.0</v>
      </c>
      <c r="Y29" s="21">
        <v>0.0</v>
      </c>
      <c r="Z29" s="13">
        <f t="shared" si="3"/>
        <v>0</v>
      </c>
      <c r="AA29" s="13">
        <f t="shared" si="4"/>
        <v>0</v>
      </c>
      <c r="AB29" s="14">
        <f t="shared" si="5"/>
        <v>0</v>
      </c>
      <c r="AC29" s="14">
        <f t="shared" si="6"/>
        <v>0</v>
      </c>
      <c r="AD29" s="15">
        <v>0.62</v>
      </c>
      <c r="AE29" s="21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</row>
    <row r="30">
      <c r="A30" s="26">
        <v>43463.0</v>
      </c>
      <c r="B30" s="6">
        <v>1635.0</v>
      </c>
      <c r="C30" s="6">
        <v>1709.0</v>
      </c>
      <c r="D30" s="7" t="str">
        <f t="shared" si="1"/>
        <v>Rob</v>
      </c>
      <c r="E30" s="8" t="s">
        <v>46</v>
      </c>
      <c r="F30" s="9">
        <v>0.6875</v>
      </c>
      <c r="G30" s="10">
        <v>43463.0</v>
      </c>
      <c r="H30" s="9">
        <v>0.9791666666666666</v>
      </c>
      <c r="I30" s="11">
        <f t="shared" si="2"/>
        <v>7</v>
      </c>
      <c r="J30" s="12">
        <v>30.5</v>
      </c>
      <c r="K30" s="7">
        <v>49.0</v>
      </c>
      <c r="L30" s="7">
        <v>49.0</v>
      </c>
      <c r="M30" s="7" t="s">
        <v>64</v>
      </c>
      <c r="N30" s="7">
        <v>19.0</v>
      </c>
      <c r="O30" s="7">
        <v>320.0</v>
      </c>
      <c r="P30" s="7">
        <v>0.0</v>
      </c>
      <c r="Q30" s="7">
        <v>1.0</v>
      </c>
      <c r="R30" s="7">
        <v>0.0</v>
      </c>
      <c r="S30" s="7">
        <v>0.0</v>
      </c>
      <c r="T30" s="7">
        <v>0.0</v>
      </c>
      <c r="U30" s="7">
        <v>0.0</v>
      </c>
      <c r="V30" s="7">
        <v>0.0</v>
      </c>
      <c r="W30" s="7">
        <v>0.0</v>
      </c>
      <c r="X30" s="7">
        <v>0.0</v>
      </c>
      <c r="Y30" s="7">
        <v>0.0</v>
      </c>
      <c r="Z30" s="13">
        <f t="shared" si="3"/>
        <v>340</v>
      </c>
      <c r="AA30" s="13">
        <f t="shared" si="4"/>
        <v>0</v>
      </c>
      <c r="AB30" s="14">
        <f t="shared" si="5"/>
        <v>339</v>
      </c>
      <c r="AC30" s="14">
        <f t="shared" si="6"/>
        <v>0</v>
      </c>
      <c r="AD30" s="15">
        <v>0.51</v>
      </c>
      <c r="AE30" s="16"/>
      <c r="AF30" s="7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</row>
    <row r="31">
      <c r="A31" s="26">
        <v>43464.0</v>
      </c>
      <c r="B31" s="6">
        <v>1636.0</v>
      </c>
      <c r="C31" s="6">
        <v>1710.0</v>
      </c>
      <c r="D31" s="7" t="str">
        <f t="shared" si="1"/>
        <v>Fred/Phil</v>
      </c>
      <c r="E31" s="18" t="s">
        <v>40</v>
      </c>
      <c r="F31" s="19">
        <v>0.6909722222222222</v>
      </c>
      <c r="G31" s="10">
        <v>43464.0</v>
      </c>
      <c r="H31" s="19">
        <v>0.7534722222222222</v>
      </c>
      <c r="I31" s="11">
        <f t="shared" si="2"/>
        <v>1.5</v>
      </c>
      <c r="J31" s="20">
        <v>3.0</v>
      </c>
      <c r="K31" s="21">
        <v>42.8</v>
      </c>
      <c r="L31" s="21">
        <v>41.4</v>
      </c>
      <c r="M31" s="21" t="s">
        <v>65</v>
      </c>
      <c r="N31" s="21">
        <v>0.0</v>
      </c>
      <c r="O31" s="21">
        <v>0.0</v>
      </c>
      <c r="P31" s="21">
        <v>0.0</v>
      </c>
      <c r="Q31" s="21">
        <v>0.0</v>
      </c>
      <c r="R31" s="21">
        <v>0.0</v>
      </c>
      <c r="S31" s="21">
        <v>0.0</v>
      </c>
      <c r="T31" s="21">
        <v>0.0</v>
      </c>
      <c r="U31" s="21">
        <v>0.0</v>
      </c>
      <c r="V31" s="21">
        <v>0.0</v>
      </c>
      <c r="W31" s="21">
        <v>0.0</v>
      </c>
      <c r="X31" s="21">
        <v>0.0</v>
      </c>
      <c r="Y31" s="21">
        <v>0.0</v>
      </c>
      <c r="Z31" s="13">
        <f t="shared" si="3"/>
        <v>0</v>
      </c>
      <c r="AA31" s="13">
        <f t="shared" si="4"/>
        <v>0</v>
      </c>
      <c r="AB31" s="14">
        <f t="shared" si="5"/>
        <v>0</v>
      </c>
      <c r="AC31" s="14">
        <f t="shared" si="6"/>
        <v>0</v>
      </c>
      <c r="AD31" s="15">
        <v>0.4</v>
      </c>
      <c r="AE31" s="21"/>
      <c r="AF31" s="21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</row>
    <row r="32">
      <c r="A32" s="26">
        <v>43465.0</v>
      </c>
      <c r="B32" s="6">
        <v>1637.0</v>
      </c>
      <c r="C32" s="6">
        <v>1711.0</v>
      </c>
      <c r="D32" s="7" t="str">
        <f t="shared" si="1"/>
        <v>Jane/Murr</v>
      </c>
      <c r="E32" s="8" t="s">
        <v>33</v>
      </c>
      <c r="F32" s="9">
        <v>0.7083333333333334</v>
      </c>
      <c r="G32" s="10">
        <v>43465.0</v>
      </c>
      <c r="H32" s="9"/>
      <c r="I32" s="11">
        <f t="shared" si="2"/>
        <v>0</v>
      </c>
      <c r="J32" s="12"/>
      <c r="K32" s="7">
        <v>39.0</v>
      </c>
      <c r="L32" s="7"/>
      <c r="M32" s="7" t="s">
        <v>35</v>
      </c>
      <c r="N32" s="7">
        <v>0.0</v>
      </c>
      <c r="O32" s="7">
        <v>0.0</v>
      </c>
      <c r="P32" s="7">
        <v>0.0</v>
      </c>
      <c r="Q32" s="7">
        <v>0.0</v>
      </c>
      <c r="R32" s="7">
        <v>0.0</v>
      </c>
      <c r="S32" s="7">
        <v>0.0</v>
      </c>
      <c r="T32" s="7">
        <v>0.0</v>
      </c>
      <c r="U32" s="7">
        <v>0.0</v>
      </c>
      <c r="V32" s="7">
        <v>0.0</v>
      </c>
      <c r="W32" s="7">
        <v>0.0</v>
      </c>
      <c r="X32" s="7">
        <v>0.0</v>
      </c>
      <c r="Y32" s="7">
        <v>0.0</v>
      </c>
      <c r="Z32" s="13">
        <f t="shared" si="3"/>
        <v>0</v>
      </c>
      <c r="AA32" s="13">
        <f t="shared" si="4"/>
        <v>0</v>
      </c>
      <c r="AB32" s="14">
        <f t="shared" si="5"/>
        <v>0</v>
      </c>
      <c r="AC32" s="14">
        <f t="shared" si="6"/>
        <v>0</v>
      </c>
      <c r="AD32" s="15">
        <v>0.3</v>
      </c>
      <c r="AE32" s="7"/>
      <c r="AF32" s="7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</row>
    <row r="33">
      <c r="B33" s="32"/>
      <c r="C33" s="32"/>
      <c r="D33" s="32"/>
      <c r="E33" s="33" t="s">
        <v>66</v>
      </c>
      <c r="F33" s="34"/>
      <c r="I33" s="35">
        <f>SUM(I3:I32)</f>
        <v>31.08333333</v>
      </c>
      <c r="J33" s="35">
        <f>SUM(J2:J32)</f>
        <v>89.17</v>
      </c>
      <c r="K33" s="32"/>
      <c r="L33" s="32"/>
      <c r="M33" s="32"/>
      <c r="N33" s="36">
        <f t="shared" ref="N33:Y33" si="7">sum(N2:N32)</f>
        <v>20</v>
      </c>
      <c r="O33" s="36">
        <f t="shared" si="7"/>
        <v>325</v>
      </c>
      <c r="P33" s="36">
        <f t="shared" si="7"/>
        <v>0</v>
      </c>
      <c r="Q33" s="36">
        <f t="shared" si="7"/>
        <v>1</v>
      </c>
      <c r="R33" s="36">
        <f t="shared" si="7"/>
        <v>0</v>
      </c>
      <c r="S33" s="36">
        <f t="shared" si="7"/>
        <v>0</v>
      </c>
      <c r="T33" s="36">
        <f t="shared" si="7"/>
        <v>0</v>
      </c>
      <c r="U33" s="36">
        <f t="shared" si="7"/>
        <v>0</v>
      </c>
      <c r="V33" s="36">
        <f t="shared" si="7"/>
        <v>0</v>
      </c>
      <c r="W33" s="36">
        <f t="shared" si="7"/>
        <v>0</v>
      </c>
      <c r="X33" s="36">
        <f t="shared" si="7"/>
        <v>2</v>
      </c>
      <c r="Y33" s="36">
        <f t="shared" si="7"/>
        <v>0</v>
      </c>
      <c r="Z33" s="36">
        <f t="shared" ref="Z33:AA33" si="8">SUM(Z2:Z32)</f>
        <v>346</v>
      </c>
      <c r="AA33" s="36">
        <f t="shared" si="8"/>
        <v>0</v>
      </c>
      <c r="AB33" s="36">
        <f t="shared" ref="AB33:AC33" si="9">sum(AB2:AB32)</f>
        <v>345</v>
      </c>
      <c r="AC33" s="36">
        <f t="shared" si="9"/>
        <v>0</v>
      </c>
    </row>
    <row r="34">
      <c r="B34" s="32"/>
      <c r="C34" s="32"/>
      <c r="D34" s="32"/>
      <c r="E34" s="37" t="s">
        <v>67</v>
      </c>
      <c r="F34" s="38"/>
      <c r="I34" s="39">
        <f>'November 2018'!I$34+'December 2018'!I$33</f>
        <v>36.1</v>
      </c>
      <c r="J34" s="39">
        <f>'November 2018'!J$34+'December 2018'!J$33</f>
        <v>89.17</v>
      </c>
      <c r="K34" s="40"/>
      <c r="L34" s="40"/>
      <c r="M34" s="40"/>
      <c r="N34" s="41">
        <f>'November 2018'!N$34+'December 2018'!N$33</f>
        <v>20</v>
      </c>
      <c r="O34" s="41">
        <f>'November 2018'!O$34+'December 2018'!O$33</f>
        <v>325</v>
      </c>
      <c r="P34" s="41">
        <f>'November 2018'!P$34+'December 2018'!P$33</f>
        <v>0</v>
      </c>
      <c r="Q34" s="41">
        <f>'November 2018'!Q$34+'December 2018'!Q$33</f>
        <v>1</v>
      </c>
      <c r="R34" s="41">
        <f>'November 2018'!R$34+'December 2018'!R$33</f>
        <v>0</v>
      </c>
      <c r="S34" s="41">
        <f>'November 2018'!S$34+'December 2018'!S$33</f>
        <v>0</v>
      </c>
      <c r="T34" s="41">
        <f>'November 2018'!T$34+'December 2018'!T$33</f>
        <v>0</v>
      </c>
      <c r="U34" s="41">
        <f>'November 2018'!U$34+'December 2018'!U$33</f>
        <v>0</v>
      </c>
      <c r="V34" s="41">
        <f>'November 2018'!V$34+'December 2018'!V$33</f>
        <v>0</v>
      </c>
      <c r="W34" s="41">
        <f>'November 2018'!W$34+'December 2018'!W$33</f>
        <v>0</v>
      </c>
      <c r="X34" s="41">
        <f>'November 2018'!X$34+'December 2018'!X$33</f>
        <v>2</v>
      </c>
      <c r="Y34" s="41">
        <f>'November 2018'!Y$34+'December 2018'!Y$33</f>
        <v>0</v>
      </c>
      <c r="Z34" s="41">
        <f>'November 2018'!Z$34+'December 2018'!Z$33</f>
        <v>346</v>
      </c>
      <c r="AA34" s="41">
        <f>'November 2018'!AA$34+'December 2018'!AA$33</f>
        <v>0</v>
      </c>
      <c r="AB34" s="42">
        <f>'November 2018'!AB34+'December 2018'!AB33</f>
        <v>345</v>
      </c>
      <c r="AC34" s="43">
        <f>'November 2018'!AC34+'December 2018'!AC33</f>
        <v>0</v>
      </c>
    </row>
    <row r="35">
      <c r="B35" s="32"/>
      <c r="C35" s="32"/>
      <c r="D35" s="32"/>
      <c r="E35" s="37" t="s">
        <v>68</v>
      </c>
      <c r="F35" s="38"/>
      <c r="I35" s="39">
        <f>'November 2018'!I$34+'December 2018'!I$33+'January 2019'!I$33+'February 2019'!I$33+'March 2019'!I$33+'April 2019'!I$33</f>
        <v>145.8102778</v>
      </c>
      <c r="J35" s="39">
        <f>'November 2018'!J34+'December 2018'!J33+'January 2019'!J33+'February 2019'!J33+'March 2019'!J33+'April 2019'!J33</f>
        <v>558.9616667</v>
      </c>
      <c r="K35" s="40"/>
      <c r="L35" s="40"/>
      <c r="M35" s="40"/>
      <c r="N35" s="41">
        <f>'November 2018'!N34+'December 2018'!N33+'January 2019'!N33+'February 2019'!N33+'March 2019'!N33+'April 2019'!N33</f>
        <v>90</v>
      </c>
      <c r="O35" s="41">
        <f>'November 2018'!O34+'December 2018'!O33+'January 2019'!O33+'February 2019'!O33+'March 2019'!O33+'April 2019'!O33</f>
        <v>1134</v>
      </c>
      <c r="P35" s="41">
        <f>'November 2018'!P34+'December 2018'!P33+'January 2019'!P33+'February 2019'!P33+'March 2019'!P33+'April 2019'!P33</f>
        <v>3</v>
      </c>
      <c r="Q35" s="41">
        <f>'November 2018'!Q34+'December 2018'!Q33+'January 2019'!Q33+'February 2019'!Q33+'March 2019'!Q33+'April 2019'!Q33</f>
        <v>4</v>
      </c>
      <c r="R35" s="41">
        <f>'November 2018'!R34+'December 2018'!R33+'January 2019'!R33+'February 2019'!R33+'March 2019'!R33+'April 2019'!R33</f>
        <v>124</v>
      </c>
      <c r="S35" s="41">
        <f>'November 2018'!S34+'December 2018'!S33+'January 2019'!S33+'February 2019'!S33+'March 2019'!S33+'April 2019'!S33</f>
        <v>791</v>
      </c>
      <c r="T35" s="41">
        <f>'November 2018'!T34+'December 2018'!T33+'January 2019'!T33+'February 2019'!T33+'March 2019'!T33+'April 2019'!T33</f>
        <v>6</v>
      </c>
      <c r="U35" s="41">
        <f>'November 2018'!U34+'December 2018'!U33+'January 2019'!U33+'February 2019'!U33+'March 2019'!U33+'April 2019'!U33</f>
        <v>17</v>
      </c>
      <c r="V35" s="41">
        <f>'November 2018'!V34+'December 2018'!V33+'January 2019'!V33+'February 2019'!V33+'March 2019'!V33+'April 2019'!V33</f>
        <v>6</v>
      </c>
      <c r="W35" s="41">
        <f>'November 2018'!W34+'December 2018'!W33+'January 2019'!W33+'February 2019'!W33+'March 2019'!W33+'April 2019'!W33</f>
        <v>4</v>
      </c>
      <c r="X35" s="41">
        <f>'November 2018'!X34+'December 2018'!X33+'January 2019'!X33+'February 2019'!X33+'March 2019'!X33+'April 2019'!X33</f>
        <v>24</v>
      </c>
      <c r="Y35" s="41">
        <f>'November 2018'!Y34+'December 2018'!Y33+'January 2019'!Y33+'February 2019'!Y33+'March 2019'!Y33+'April 2019'!Y33</f>
        <v>7</v>
      </c>
      <c r="Z35" s="41">
        <f>'November 2018'!Z34+'December 2018'!Z33+'January 2019'!Z33+'February 2019'!Z33+'March 2019'!Z33+'April 2019'!Z33</f>
        <v>1231</v>
      </c>
      <c r="AA35" s="41">
        <f>'November 2018'!AA34+'December 2018'!AA33+'January 2019'!AA33+'February 2019'!AA33+'March 2019'!AA33+'April 2019'!AA33</f>
        <v>944</v>
      </c>
      <c r="AB35" s="41">
        <f>'November 2018'!AB34+'December 2018'!AB33+'January 2019'!AB33+'February 2019'!AB33+'March 2019'!AB33+'April 2019'!AB33</f>
        <v>1224</v>
      </c>
      <c r="AC35" s="41">
        <f>'November 2018'!AC34+'December 2018'!AC33+'January 2019'!AC33+'February 2019'!AC33+'March 2019'!AC33+'April 2019'!AC33</f>
        <v>921</v>
      </c>
    </row>
    <row r="36">
      <c r="A36" s="40"/>
      <c r="B36" s="40"/>
      <c r="C36" s="40"/>
      <c r="D36" s="40"/>
      <c r="E36" s="33" t="s">
        <v>69</v>
      </c>
      <c r="F36" s="40"/>
      <c r="G36" s="40"/>
      <c r="H36" s="40"/>
      <c r="I36" s="40"/>
      <c r="J36" s="40"/>
      <c r="K36" s="40"/>
      <c r="L36" s="40"/>
      <c r="M36" s="40"/>
      <c r="N36" s="44"/>
      <c r="O36" s="45"/>
      <c r="P36" s="45"/>
      <c r="Q36" s="46"/>
      <c r="R36" s="46"/>
      <c r="S36" s="46"/>
      <c r="T36" s="46"/>
      <c r="U36" s="47"/>
      <c r="V36" s="48"/>
      <c r="W36" s="47"/>
      <c r="X36" s="47"/>
      <c r="Y36" s="49"/>
      <c r="Z36" s="46">
        <v>433.0</v>
      </c>
      <c r="AA36" s="46">
        <v>297.0</v>
      </c>
      <c r="AB36" s="46"/>
      <c r="AC36" s="49"/>
      <c r="AD36" s="49"/>
      <c r="AE36" s="49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9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50"/>
      <c r="BM36" s="50"/>
      <c r="BN36" s="50"/>
    </row>
    <row r="37">
      <c r="A37" s="40"/>
      <c r="B37" s="40"/>
      <c r="C37" s="40"/>
      <c r="D37" s="40"/>
      <c r="E37" s="33" t="s">
        <v>70</v>
      </c>
      <c r="F37" s="40"/>
      <c r="G37" s="40"/>
      <c r="H37" s="40"/>
      <c r="I37" s="40"/>
      <c r="J37" s="40"/>
      <c r="K37" s="40"/>
      <c r="L37" s="40"/>
      <c r="M37" s="40"/>
      <c r="N37" s="44"/>
      <c r="O37" s="45"/>
      <c r="P37" s="45"/>
      <c r="Q37" s="46"/>
      <c r="R37" s="46"/>
      <c r="S37" s="46"/>
      <c r="T37" s="46"/>
      <c r="U37" s="47"/>
      <c r="V37" s="48"/>
      <c r="W37" s="47"/>
      <c r="X37" s="47"/>
      <c r="Y37" s="49"/>
      <c r="Z37" s="46">
        <v>834.0</v>
      </c>
      <c r="AA37" s="46">
        <v>751.0</v>
      </c>
      <c r="AB37" s="46"/>
      <c r="AC37" s="49"/>
      <c r="AD37" s="49"/>
      <c r="AE37" s="49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9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50"/>
      <c r="BM37" s="50"/>
      <c r="BN37" s="50"/>
    </row>
    <row r="38">
      <c r="A38" s="40"/>
      <c r="B38" s="40"/>
      <c r="C38" s="40"/>
      <c r="D38" s="40"/>
      <c r="E38" s="33" t="s">
        <v>71</v>
      </c>
      <c r="F38" s="40"/>
      <c r="G38" s="40"/>
      <c r="H38" s="40"/>
      <c r="I38" s="40"/>
      <c r="J38" s="40"/>
      <c r="K38" s="40"/>
      <c r="L38" s="40"/>
      <c r="M38" s="40"/>
      <c r="N38" s="44"/>
      <c r="O38" s="45"/>
      <c r="P38" s="45"/>
      <c r="Q38" s="46"/>
      <c r="R38" s="46"/>
      <c r="S38" s="46"/>
      <c r="T38" s="46"/>
      <c r="U38" s="47"/>
      <c r="V38" s="48"/>
      <c r="W38" s="47"/>
      <c r="X38" s="47"/>
      <c r="Y38" s="49"/>
      <c r="Z38" s="46">
        <v>688.0</v>
      </c>
      <c r="AA38" s="46">
        <v>1040.0</v>
      </c>
      <c r="AB38" s="46"/>
      <c r="AC38" s="49"/>
      <c r="AD38" s="49"/>
      <c r="AE38" s="49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9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50"/>
      <c r="BM38" s="50"/>
      <c r="BN38" s="50"/>
    </row>
    <row r="39">
      <c r="A39" s="40"/>
      <c r="B39" s="40"/>
      <c r="C39" s="40"/>
      <c r="D39" s="51"/>
      <c r="E39" s="33" t="s">
        <v>72</v>
      </c>
      <c r="F39" s="40"/>
      <c r="G39" s="40"/>
      <c r="H39" s="40"/>
      <c r="I39" s="40"/>
      <c r="J39" s="40"/>
      <c r="K39" s="40"/>
      <c r="L39" s="40"/>
      <c r="M39" s="51"/>
      <c r="N39" s="52"/>
      <c r="O39" s="53"/>
      <c r="P39" s="53"/>
      <c r="Q39" s="54"/>
      <c r="R39" s="54"/>
      <c r="S39" s="55"/>
      <c r="T39" s="55"/>
      <c r="U39" s="56"/>
      <c r="V39" s="57"/>
      <c r="W39" s="54"/>
      <c r="X39" s="54"/>
      <c r="Y39" s="58"/>
      <c r="Z39" s="54">
        <v>695.0</v>
      </c>
      <c r="AA39" s="54">
        <v>750.0</v>
      </c>
      <c r="AB39" s="54"/>
      <c r="AC39" s="58"/>
      <c r="AD39" s="58"/>
      <c r="AE39" s="58"/>
      <c r="AF39" s="33"/>
      <c r="AG39" s="33"/>
      <c r="AH39" s="33"/>
      <c r="AI39" s="33"/>
      <c r="AJ39" s="33"/>
      <c r="AK39" s="33"/>
      <c r="AL39" s="54"/>
      <c r="AM39" s="54"/>
      <c r="AN39" s="59"/>
      <c r="AO39" s="59"/>
      <c r="AP39" s="59"/>
      <c r="AQ39" s="58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50"/>
      <c r="BM39" s="50"/>
      <c r="BN39" s="50"/>
    </row>
    <row r="40">
      <c r="A40" s="40"/>
      <c r="B40" s="40"/>
      <c r="C40" s="40"/>
      <c r="D40" s="51"/>
      <c r="E40" s="33" t="s">
        <v>73</v>
      </c>
      <c r="F40" s="40"/>
      <c r="G40" s="40"/>
      <c r="H40" s="40"/>
      <c r="I40" s="40"/>
      <c r="J40" s="40"/>
      <c r="K40" s="40"/>
      <c r="L40" s="40"/>
      <c r="M40" s="51"/>
      <c r="N40" s="52"/>
      <c r="O40" s="53"/>
      <c r="P40" s="53"/>
      <c r="Q40" s="54"/>
      <c r="R40" s="54"/>
      <c r="S40" s="55"/>
      <c r="T40" s="55"/>
      <c r="U40" s="56"/>
      <c r="V40" s="57"/>
      <c r="W40" s="54"/>
      <c r="X40" s="54"/>
      <c r="Y40" s="58"/>
      <c r="Z40" s="54">
        <v>580.0</v>
      </c>
      <c r="AA40" s="54">
        <v>572.0</v>
      </c>
      <c r="AB40" s="54"/>
      <c r="AC40" s="58"/>
      <c r="AD40" s="58"/>
      <c r="AE40" s="58"/>
      <c r="AF40" s="33"/>
      <c r="AG40" s="33"/>
      <c r="AH40" s="33"/>
      <c r="AI40" s="33"/>
      <c r="AJ40" s="33"/>
      <c r="AK40" s="33"/>
      <c r="AL40" s="54"/>
      <c r="AM40" s="54"/>
      <c r="AN40" s="59"/>
      <c r="AO40" s="59"/>
      <c r="AP40" s="59"/>
      <c r="AQ40" s="58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50"/>
      <c r="BM40" s="50"/>
      <c r="BN40" s="50"/>
    </row>
    <row r="41">
      <c r="F41" s="60"/>
      <c r="G41" s="60"/>
      <c r="H41" s="60"/>
    </row>
    <row r="42">
      <c r="F42" s="60"/>
      <c r="G42" s="60"/>
      <c r="H42" s="60"/>
    </row>
    <row r="43">
      <c r="F43" s="60"/>
      <c r="G43" s="60"/>
      <c r="H43" s="60"/>
    </row>
    <row r="44">
      <c r="F44" s="60"/>
      <c r="G44" s="60"/>
      <c r="H44" s="60"/>
    </row>
    <row r="45">
      <c r="F45" s="60"/>
      <c r="G45" s="60"/>
      <c r="H45" s="60"/>
    </row>
    <row r="46">
      <c r="F46" s="60"/>
      <c r="G46" s="60"/>
      <c r="H46" s="60"/>
    </row>
    <row r="47">
      <c r="F47" s="60"/>
      <c r="G47" s="60"/>
      <c r="H47" s="60"/>
    </row>
    <row r="48">
      <c r="F48" s="60"/>
      <c r="G48" s="60"/>
      <c r="H48" s="60"/>
    </row>
    <row r="49">
      <c r="F49" s="60"/>
      <c r="G49" s="60"/>
      <c r="H49" s="60"/>
    </row>
    <row r="50">
      <c r="F50" s="60"/>
      <c r="G50" s="60"/>
      <c r="H50" s="60"/>
    </row>
    <row r="51">
      <c r="F51" s="60"/>
      <c r="G51" s="60"/>
      <c r="H51" s="60"/>
    </row>
    <row r="52">
      <c r="F52" s="60"/>
      <c r="G52" s="60"/>
      <c r="H52" s="60"/>
    </row>
    <row r="53">
      <c r="F53" s="60"/>
      <c r="G53" s="60"/>
      <c r="H53" s="60"/>
    </row>
    <row r="54">
      <c r="F54" s="60"/>
      <c r="G54" s="60"/>
      <c r="H54" s="60"/>
    </row>
    <row r="55">
      <c r="F55" s="60"/>
      <c r="G55" s="60"/>
      <c r="H55" s="60"/>
    </row>
    <row r="56">
      <c r="F56" s="60"/>
      <c r="G56" s="60"/>
      <c r="H56" s="60"/>
    </row>
    <row r="57">
      <c r="F57" s="60"/>
      <c r="G57" s="60"/>
      <c r="H57" s="60"/>
    </row>
    <row r="58">
      <c r="F58" s="60"/>
      <c r="G58" s="60"/>
      <c r="H58" s="60"/>
    </row>
    <row r="59">
      <c r="F59" s="60"/>
      <c r="G59" s="60"/>
      <c r="H59" s="60"/>
    </row>
    <row r="60">
      <c r="F60" s="60"/>
      <c r="G60" s="60"/>
      <c r="H60" s="60"/>
    </row>
    <row r="61">
      <c r="F61" s="60"/>
      <c r="G61" s="60"/>
      <c r="H61" s="60"/>
    </row>
    <row r="62">
      <c r="F62" s="60"/>
      <c r="G62" s="60"/>
      <c r="H62" s="60"/>
    </row>
    <row r="63">
      <c r="F63" s="60"/>
      <c r="G63" s="60"/>
      <c r="H63" s="60"/>
    </row>
    <row r="64">
      <c r="F64" s="60"/>
      <c r="G64" s="60"/>
      <c r="H64" s="60"/>
    </row>
    <row r="65">
      <c r="F65" s="60"/>
      <c r="G65" s="60"/>
      <c r="H65" s="60"/>
    </row>
    <row r="66">
      <c r="F66" s="60"/>
      <c r="G66" s="60"/>
      <c r="H66" s="60"/>
    </row>
    <row r="67">
      <c r="F67" s="60"/>
      <c r="G67" s="60"/>
      <c r="H67" s="60"/>
    </row>
    <row r="68">
      <c r="F68" s="60"/>
      <c r="G68" s="60"/>
      <c r="H68" s="60"/>
    </row>
    <row r="69">
      <c r="F69" s="60"/>
      <c r="G69" s="60"/>
      <c r="H69" s="60"/>
    </row>
    <row r="70">
      <c r="F70" s="60"/>
      <c r="G70" s="60"/>
      <c r="H70" s="60"/>
    </row>
    <row r="71">
      <c r="F71" s="60"/>
      <c r="G71" s="60"/>
      <c r="H71" s="60"/>
    </row>
    <row r="72">
      <c r="F72" s="60"/>
      <c r="G72" s="60"/>
      <c r="H72" s="60"/>
    </row>
    <row r="73">
      <c r="F73" s="60"/>
      <c r="G73" s="60"/>
      <c r="H73" s="60"/>
    </row>
    <row r="74">
      <c r="F74" s="60"/>
      <c r="G74" s="60"/>
      <c r="H74" s="60"/>
    </row>
    <row r="75">
      <c r="F75" s="60"/>
      <c r="G75" s="60"/>
      <c r="H75" s="60"/>
    </row>
    <row r="76">
      <c r="F76" s="60"/>
      <c r="G76" s="60"/>
      <c r="H76" s="60"/>
    </row>
    <row r="77">
      <c r="F77" s="60"/>
      <c r="G77" s="60"/>
      <c r="H77" s="60"/>
    </row>
    <row r="78">
      <c r="F78" s="60"/>
      <c r="G78" s="60"/>
      <c r="H78" s="60"/>
    </row>
    <row r="79">
      <c r="F79" s="60"/>
      <c r="G79" s="60"/>
      <c r="H79" s="60"/>
    </row>
    <row r="80">
      <c r="F80" s="60"/>
      <c r="G80" s="60"/>
      <c r="H80" s="60"/>
    </row>
    <row r="81">
      <c r="F81" s="60"/>
      <c r="G81" s="60"/>
      <c r="H81" s="60"/>
    </row>
    <row r="82">
      <c r="F82" s="60"/>
      <c r="G82" s="60"/>
      <c r="H82" s="60"/>
    </row>
    <row r="83">
      <c r="F83" s="60"/>
      <c r="G83" s="60"/>
      <c r="H83" s="60"/>
    </row>
    <row r="84">
      <c r="F84" s="60"/>
      <c r="G84" s="60"/>
      <c r="H84" s="60"/>
    </row>
    <row r="85">
      <c r="F85" s="60"/>
      <c r="G85" s="60"/>
      <c r="H85" s="60"/>
    </row>
    <row r="86">
      <c r="F86" s="60"/>
      <c r="G86" s="60"/>
      <c r="H86" s="60"/>
    </row>
    <row r="87">
      <c r="F87" s="60"/>
      <c r="G87" s="60"/>
      <c r="H87" s="60"/>
    </row>
    <row r="88">
      <c r="F88" s="60"/>
      <c r="G88" s="60"/>
      <c r="H88" s="60"/>
    </row>
    <row r="89">
      <c r="F89" s="60"/>
      <c r="G89" s="60"/>
      <c r="H89" s="60"/>
    </row>
    <row r="90">
      <c r="F90" s="60"/>
      <c r="G90" s="60"/>
      <c r="H90" s="60"/>
    </row>
    <row r="91">
      <c r="F91" s="60"/>
      <c r="G91" s="60"/>
      <c r="H91" s="60"/>
    </row>
    <row r="92">
      <c r="F92" s="60"/>
      <c r="G92" s="60"/>
      <c r="H92" s="60"/>
    </row>
    <row r="93">
      <c r="F93" s="60"/>
      <c r="G93" s="60"/>
      <c r="H93" s="60"/>
    </row>
    <row r="94">
      <c r="F94" s="60"/>
      <c r="G94" s="60"/>
      <c r="H94" s="60"/>
    </row>
    <row r="95">
      <c r="F95" s="60"/>
      <c r="G95" s="60"/>
      <c r="H95" s="60"/>
    </row>
    <row r="96">
      <c r="F96" s="60"/>
      <c r="G96" s="60"/>
      <c r="H96" s="60"/>
    </row>
    <row r="97">
      <c r="F97" s="60"/>
      <c r="G97" s="60"/>
      <c r="H97" s="60"/>
    </row>
    <row r="98">
      <c r="F98" s="60"/>
      <c r="G98" s="60"/>
      <c r="H98" s="60"/>
    </row>
    <row r="99">
      <c r="F99" s="60"/>
      <c r="G99" s="60"/>
      <c r="H99" s="60"/>
    </row>
    <row r="100">
      <c r="F100" s="60"/>
      <c r="G100" s="60"/>
      <c r="H100" s="60"/>
    </row>
    <row r="101">
      <c r="F101" s="60"/>
      <c r="G101" s="60"/>
      <c r="H101" s="60"/>
    </row>
    <row r="102">
      <c r="F102" s="60"/>
      <c r="G102" s="60"/>
      <c r="H102" s="60"/>
    </row>
    <row r="103">
      <c r="F103" s="60"/>
      <c r="G103" s="60"/>
      <c r="H103" s="60"/>
    </row>
    <row r="104">
      <c r="F104" s="60"/>
      <c r="G104" s="60"/>
      <c r="H104" s="60"/>
    </row>
    <row r="105">
      <c r="F105" s="60"/>
      <c r="G105" s="60"/>
      <c r="H105" s="60"/>
    </row>
    <row r="106">
      <c r="F106" s="60"/>
      <c r="G106" s="60"/>
      <c r="H106" s="60"/>
    </row>
    <row r="107">
      <c r="F107" s="60"/>
      <c r="G107" s="60"/>
      <c r="H107" s="60"/>
    </row>
    <row r="108">
      <c r="F108" s="60"/>
      <c r="G108" s="60"/>
      <c r="H108" s="60"/>
    </row>
    <row r="109">
      <c r="F109" s="60"/>
      <c r="G109" s="60"/>
      <c r="H109" s="60"/>
    </row>
    <row r="110">
      <c r="F110" s="60"/>
      <c r="G110" s="60"/>
      <c r="H110" s="60"/>
    </row>
    <row r="111">
      <c r="F111" s="60"/>
      <c r="G111" s="60"/>
      <c r="H111" s="60"/>
    </row>
    <row r="112">
      <c r="F112" s="60"/>
      <c r="G112" s="60"/>
      <c r="H112" s="60"/>
    </row>
    <row r="113">
      <c r="F113" s="60"/>
      <c r="G113" s="60"/>
      <c r="H113" s="60"/>
    </row>
    <row r="114">
      <c r="F114" s="60"/>
      <c r="G114" s="60"/>
      <c r="H114" s="60"/>
    </row>
    <row r="115">
      <c r="F115" s="60"/>
      <c r="G115" s="60"/>
      <c r="H115" s="60"/>
    </row>
    <row r="116">
      <c r="F116" s="60"/>
      <c r="G116" s="60"/>
      <c r="H116" s="60"/>
    </row>
    <row r="117">
      <c r="F117" s="60"/>
      <c r="G117" s="60"/>
      <c r="H117" s="60"/>
    </row>
    <row r="118">
      <c r="F118" s="60"/>
      <c r="G118" s="60"/>
      <c r="H118" s="60"/>
    </row>
    <row r="119">
      <c r="F119" s="60"/>
      <c r="G119" s="60"/>
      <c r="H119" s="60"/>
    </row>
    <row r="120">
      <c r="F120" s="60"/>
      <c r="G120" s="60"/>
      <c r="H120" s="60"/>
    </row>
    <row r="121">
      <c r="F121" s="60"/>
      <c r="G121" s="60"/>
      <c r="H121" s="60"/>
    </row>
    <row r="122">
      <c r="F122" s="60"/>
      <c r="G122" s="60"/>
      <c r="H122" s="60"/>
    </row>
    <row r="123">
      <c r="F123" s="60"/>
      <c r="G123" s="60"/>
      <c r="H123" s="60"/>
    </row>
    <row r="124">
      <c r="F124" s="60"/>
      <c r="G124" s="60"/>
      <c r="H124" s="60"/>
    </row>
    <row r="125">
      <c r="F125" s="60"/>
      <c r="G125" s="60"/>
      <c r="H125" s="60"/>
    </row>
    <row r="126">
      <c r="F126" s="60"/>
      <c r="G126" s="60"/>
      <c r="H126" s="60"/>
    </row>
    <row r="127">
      <c r="F127" s="60"/>
      <c r="G127" s="60"/>
      <c r="H127" s="60"/>
    </row>
    <row r="128">
      <c r="F128" s="60"/>
      <c r="G128" s="60"/>
      <c r="H128" s="60"/>
    </row>
    <row r="129">
      <c r="F129" s="60"/>
      <c r="G129" s="60"/>
      <c r="H129" s="60"/>
    </row>
    <row r="130">
      <c r="F130" s="60"/>
      <c r="G130" s="60"/>
      <c r="H130" s="60"/>
    </row>
    <row r="131">
      <c r="F131" s="60"/>
      <c r="G131" s="60"/>
      <c r="H131" s="60"/>
    </row>
    <row r="132">
      <c r="F132" s="60"/>
      <c r="G132" s="60"/>
      <c r="H132" s="60"/>
    </row>
    <row r="133">
      <c r="F133" s="60"/>
      <c r="G133" s="60"/>
      <c r="H133" s="60"/>
    </row>
    <row r="134">
      <c r="F134" s="60"/>
      <c r="G134" s="60"/>
      <c r="H134" s="60"/>
    </row>
    <row r="135">
      <c r="F135" s="60"/>
      <c r="G135" s="60"/>
      <c r="H135" s="60"/>
    </row>
    <row r="136">
      <c r="F136" s="60"/>
      <c r="G136" s="60"/>
      <c r="H136" s="60"/>
    </row>
    <row r="137">
      <c r="F137" s="60"/>
      <c r="G137" s="60"/>
      <c r="H137" s="60"/>
    </row>
    <row r="138">
      <c r="F138" s="60"/>
      <c r="G138" s="60"/>
      <c r="H138" s="60"/>
    </row>
    <row r="139">
      <c r="F139" s="60"/>
      <c r="G139" s="60"/>
      <c r="H139" s="60"/>
    </row>
    <row r="140">
      <c r="F140" s="60"/>
      <c r="G140" s="60"/>
      <c r="H140" s="60"/>
    </row>
    <row r="141">
      <c r="F141" s="60"/>
      <c r="G141" s="60"/>
      <c r="H141" s="60"/>
    </row>
    <row r="142">
      <c r="F142" s="60"/>
      <c r="G142" s="60"/>
      <c r="H142" s="60"/>
    </row>
    <row r="143">
      <c r="F143" s="60"/>
      <c r="G143" s="60"/>
      <c r="H143" s="60"/>
    </row>
    <row r="144">
      <c r="F144" s="60"/>
      <c r="G144" s="60"/>
      <c r="H144" s="60"/>
    </row>
    <row r="145">
      <c r="F145" s="60"/>
      <c r="G145" s="60"/>
      <c r="H145" s="60"/>
    </row>
    <row r="146">
      <c r="F146" s="60"/>
      <c r="G146" s="60"/>
      <c r="H146" s="60"/>
    </row>
    <row r="147">
      <c r="F147" s="60"/>
      <c r="G147" s="60"/>
      <c r="H147" s="60"/>
    </row>
    <row r="148">
      <c r="F148" s="60"/>
      <c r="G148" s="60"/>
      <c r="H148" s="60"/>
    </row>
    <row r="149">
      <c r="F149" s="60"/>
      <c r="G149" s="60"/>
      <c r="H149" s="60"/>
    </row>
    <row r="150">
      <c r="F150" s="60"/>
      <c r="G150" s="60"/>
      <c r="H150" s="60"/>
    </row>
    <row r="151">
      <c r="F151" s="60"/>
      <c r="G151" s="60"/>
      <c r="H151" s="60"/>
    </row>
    <row r="152">
      <c r="F152" s="60"/>
      <c r="G152" s="60"/>
      <c r="H152" s="60"/>
    </row>
    <row r="153">
      <c r="F153" s="60"/>
      <c r="G153" s="60"/>
      <c r="H153" s="60"/>
    </row>
    <row r="154">
      <c r="F154" s="60"/>
      <c r="G154" s="60"/>
      <c r="H154" s="60"/>
    </row>
    <row r="155">
      <c r="F155" s="60"/>
      <c r="G155" s="60"/>
      <c r="H155" s="60"/>
    </row>
    <row r="156">
      <c r="F156" s="60"/>
      <c r="G156" s="60"/>
      <c r="H156" s="60"/>
    </row>
    <row r="157">
      <c r="F157" s="60"/>
      <c r="G157" s="60"/>
      <c r="H157" s="60"/>
    </row>
    <row r="158">
      <c r="F158" s="60"/>
      <c r="G158" s="60"/>
      <c r="H158" s="60"/>
    </row>
    <row r="159">
      <c r="F159" s="60"/>
      <c r="G159" s="60"/>
      <c r="H159" s="60"/>
    </row>
    <row r="160">
      <c r="F160" s="60"/>
      <c r="G160" s="60"/>
      <c r="H160" s="60"/>
    </row>
    <row r="161">
      <c r="F161" s="60"/>
      <c r="G161" s="60"/>
      <c r="H161" s="60"/>
    </row>
    <row r="162">
      <c r="F162" s="60"/>
      <c r="G162" s="60"/>
      <c r="H162" s="60"/>
    </row>
    <row r="163">
      <c r="F163" s="60"/>
      <c r="G163" s="60"/>
      <c r="H163" s="60"/>
    </row>
    <row r="164">
      <c r="F164" s="60"/>
      <c r="G164" s="60"/>
      <c r="H164" s="60"/>
    </row>
    <row r="165">
      <c r="F165" s="60"/>
      <c r="G165" s="60"/>
      <c r="H165" s="60"/>
    </row>
    <row r="166">
      <c r="F166" s="60"/>
      <c r="G166" s="60"/>
      <c r="H166" s="60"/>
    </row>
    <row r="167">
      <c r="F167" s="60"/>
      <c r="G167" s="60"/>
      <c r="H167" s="60"/>
    </row>
    <row r="168">
      <c r="F168" s="60"/>
      <c r="G168" s="60"/>
      <c r="H168" s="60"/>
    </row>
    <row r="169">
      <c r="F169" s="60"/>
      <c r="G169" s="60"/>
      <c r="H169" s="60"/>
    </row>
    <row r="170">
      <c r="F170" s="60"/>
      <c r="G170" s="60"/>
      <c r="H170" s="60"/>
    </row>
    <row r="171">
      <c r="F171" s="60"/>
      <c r="G171" s="60"/>
      <c r="H171" s="60"/>
    </row>
    <row r="172">
      <c r="F172" s="60"/>
      <c r="G172" s="60"/>
      <c r="H172" s="60"/>
    </row>
    <row r="173">
      <c r="F173" s="60"/>
      <c r="G173" s="60"/>
      <c r="H173" s="60"/>
    </row>
    <row r="174">
      <c r="F174" s="60"/>
      <c r="G174" s="60"/>
      <c r="H174" s="60"/>
    </row>
    <row r="175">
      <c r="F175" s="60"/>
      <c r="G175" s="60"/>
      <c r="H175" s="60"/>
    </row>
    <row r="176">
      <c r="F176" s="60"/>
      <c r="G176" s="60"/>
      <c r="H176" s="60"/>
    </row>
    <row r="177">
      <c r="F177" s="60"/>
      <c r="G177" s="60"/>
      <c r="H177" s="60"/>
    </row>
    <row r="178">
      <c r="F178" s="60"/>
      <c r="G178" s="60"/>
      <c r="H178" s="60"/>
    </row>
    <row r="179">
      <c r="F179" s="60"/>
      <c r="G179" s="60"/>
      <c r="H179" s="60"/>
    </row>
    <row r="180">
      <c r="F180" s="60"/>
      <c r="G180" s="60"/>
      <c r="H180" s="60"/>
    </row>
    <row r="181">
      <c r="F181" s="60"/>
      <c r="G181" s="60"/>
      <c r="H181" s="60"/>
    </row>
    <row r="182">
      <c r="F182" s="60"/>
      <c r="G182" s="60"/>
      <c r="H182" s="60"/>
    </row>
    <row r="183">
      <c r="F183" s="60"/>
      <c r="G183" s="60"/>
      <c r="H183" s="60"/>
    </row>
    <row r="184">
      <c r="F184" s="60"/>
      <c r="G184" s="60"/>
      <c r="H184" s="60"/>
    </row>
    <row r="185">
      <c r="F185" s="60"/>
      <c r="G185" s="60"/>
      <c r="H185" s="60"/>
    </row>
    <row r="186">
      <c r="F186" s="60"/>
      <c r="G186" s="60"/>
      <c r="H186" s="60"/>
    </row>
    <row r="187">
      <c r="F187" s="60"/>
      <c r="G187" s="60"/>
      <c r="H187" s="60"/>
    </row>
    <row r="188">
      <c r="F188" s="60"/>
      <c r="G188" s="60"/>
      <c r="H188" s="60"/>
    </row>
    <row r="189">
      <c r="F189" s="60"/>
      <c r="G189" s="60"/>
      <c r="H189" s="60"/>
    </row>
    <row r="190">
      <c r="F190" s="60"/>
      <c r="G190" s="60"/>
      <c r="H190" s="60"/>
    </row>
    <row r="191">
      <c r="F191" s="60"/>
      <c r="G191" s="60"/>
      <c r="H191" s="60"/>
    </row>
    <row r="192">
      <c r="F192" s="60"/>
      <c r="G192" s="60"/>
      <c r="H192" s="60"/>
    </row>
    <row r="193">
      <c r="F193" s="60"/>
      <c r="G193" s="60"/>
      <c r="H193" s="60"/>
    </row>
    <row r="194">
      <c r="F194" s="60"/>
      <c r="G194" s="60"/>
      <c r="H194" s="60"/>
    </row>
    <row r="195">
      <c r="F195" s="60"/>
      <c r="G195" s="60"/>
      <c r="H195" s="60"/>
    </row>
    <row r="196">
      <c r="F196" s="60"/>
      <c r="G196" s="60"/>
      <c r="H196" s="60"/>
    </row>
    <row r="197">
      <c r="F197" s="60"/>
      <c r="G197" s="60"/>
      <c r="H197" s="60"/>
    </row>
    <row r="198">
      <c r="F198" s="60"/>
      <c r="G198" s="60"/>
      <c r="H198" s="60"/>
    </row>
    <row r="199">
      <c r="F199" s="60"/>
      <c r="G199" s="60"/>
      <c r="H199" s="60"/>
    </row>
    <row r="200">
      <c r="F200" s="60"/>
      <c r="G200" s="60"/>
      <c r="H200" s="60"/>
    </row>
    <row r="201">
      <c r="F201" s="60"/>
      <c r="G201" s="60"/>
      <c r="H201" s="60"/>
    </row>
    <row r="202">
      <c r="F202" s="60"/>
      <c r="G202" s="60"/>
      <c r="H202" s="60"/>
    </row>
    <row r="203">
      <c r="F203" s="60"/>
      <c r="G203" s="60"/>
      <c r="H203" s="60"/>
    </row>
    <row r="204">
      <c r="F204" s="60"/>
      <c r="G204" s="60"/>
      <c r="H204" s="60"/>
    </row>
    <row r="205">
      <c r="F205" s="60"/>
      <c r="G205" s="60"/>
      <c r="H205" s="60"/>
    </row>
    <row r="206">
      <c r="F206" s="60"/>
      <c r="G206" s="60"/>
      <c r="H206" s="60"/>
    </row>
    <row r="207">
      <c r="F207" s="60"/>
      <c r="G207" s="60"/>
      <c r="H207" s="60"/>
    </row>
    <row r="208">
      <c r="F208" s="60"/>
      <c r="G208" s="60"/>
      <c r="H208" s="60"/>
    </row>
    <row r="209">
      <c r="F209" s="60"/>
      <c r="G209" s="60"/>
      <c r="H209" s="60"/>
    </row>
    <row r="210">
      <c r="F210" s="60"/>
      <c r="G210" s="60"/>
      <c r="H210" s="60"/>
    </row>
    <row r="211">
      <c r="F211" s="60"/>
      <c r="G211" s="60"/>
      <c r="H211" s="60"/>
    </row>
    <row r="212">
      <c r="F212" s="60"/>
      <c r="G212" s="60"/>
      <c r="H212" s="60"/>
    </row>
    <row r="213">
      <c r="F213" s="60"/>
      <c r="G213" s="60"/>
      <c r="H213" s="60"/>
    </row>
    <row r="214">
      <c r="F214" s="60"/>
      <c r="G214" s="60"/>
      <c r="H214" s="60"/>
    </row>
    <row r="215">
      <c r="F215" s="60"/>
      <c r="G215" s="60"/>
      <c r="H215" s="60"/>
    </row>
    <row r="216">
      <c r="F216" s="60"/>
      <c r="G216" s="60"/>
      <c r="H216" s="60"/>
    </row>
    <row r="217">
      <c r="F217" s="60"/>
      <c r="G217" s="60"/>
      <c r="H217" s="60"/>
    </row>
    <row r="218">
      <c r="F218" s="60"/>
      <c r="G218" s="60"/>
      <c r="H218" s="60"/>
    </row>
    <row r="219">
      <c r="F219" s="60"/>
      <c r="G219" s="60"/>
      <c r="H219" s="60"/>
    </row>
    <row r="220">
      <c r="F220" s="60"/>
      <c r="G220" s="60"/>
      <c r="H220" s="60"/>
    </row>
    <row r="221">
      <c r="F221" s="60"/>
      <c r="G221" s="60"/>
      <c r="H221" s="60"/>
    </row>
    <row r="222">
      <c r="F222" s="60"/>
      <c r="G222" s="60"/>
      <c r="H222" s="60"/>
    </row>
    <row r="223">
      <c r="F223" s="60"/>
      <c r="G223" s="60"/>
      <c r="H223" s="60"/>
    </row>
    <row r="224">
      <c r="F224" s="60"/>
      <c r="G224" s="60"/>
      <c r="H224" s="60"/>
    </row>
    <row r="225">
      <c r="F225" s="60"/>
      <c r="G225" s="60"/>
      <c r="H225" s="60"/>
    </row>
    <row r="226">
      <c r="F226" s="60"/>
      <c r="G226" s="60"/>
      <c r="H226" s="60"/>
    </row>
    <row r="227">
      <c r="F227" s="60"/>
      <c r="G227" s="60"/>
      <c r="H227" s="60"/>
    </row>
    <row r="228">
      <c r="F228" s="60"/>
      <c r="G228" s="60"/>
      <c r="H228" s="60"/>
    </row>
    <row r="229">
      <c r="F229" s="60"/>
      <c r="G229" s="60"/>
      <c r="H229" s="60"/>
    </row>
    <row r="230">
      <c r="F230" s="60"/>
      <c r="G230" s="60"/>
      <c r="H230" s="60"/>
    </row>
    <row r="231">
      <c r="F231" s="60"/>
      <c r="G231" s="60"/>
      <c r="H231" s="60"/>
    </row>
    <row r="232">
      <c r="F232" s="60"/>
      <c r="G232" s="60"/>
      <c r="H232" s="60"/>
    </row>
    <row r="233">
      <c r="F233" s="60"/>
      <c r="G233" s="60"/>
      <c r="H233" s="60"/>
    </row>
    <row r="234">
      <c r="F234" s="60"/>
      <c r="G234" s="60"/>
      <c r="H234" s="60"/>
    </row>
    <row r="235">
      <c r="F235" s="60"/>
      <c r="G235" s="60"/>
      <c r="H235" s="60"/>
    </row>
    <row r="236">
      <c r="F236" s="60"/>
      <c r="G236" s="60"/>
      <c r="H236" s="60"/>
    </row>
    <row r="237">
      <c r="F237" s="60"/>
      <c r="G237" s="60"/>
      <c r="H237" s="60"/>
    </row>
    <row r="238">
      <c r="F238" s="60"/>
      <c r="G238" s="60"/>
      <c r="H238" s="60"/>
    </row>
    <row r="239">
      <c r="F239" s="60"/>
      <c r="G239" s="60"/>
      <c r="H239" s="60"/>
    </row>
    <row r="240">
      <c r="F240" s="60"/>
      <c r="G240" s="60"/>
      <c r="H240" s="60"/>
    </row>
    <row r="241">
      <c r="F241" s="60"/>
      <c r="G241" s="60"/>
      <c r="H241" s="60"/>
    </row>
    <row r="242">
      <c r="F242" s="60"/>
      <c r="G242" s="60"/>
      <c r="H242" s="60"/>
    </row>
    <row r="243">
      <c r="F243" s="60"/>
      <c r="G243" s="60"/>
      <c r="H243" s="60"/>
    </row>
    <row r="244">
      <c r="F244" s="60"/>
      <c r="G244" s="60"/>
      <c r="H244" s="60"/>
    </row>
    <row r="245">
      <c r="F245" s="60"/>
      <c r="G245" s="60"/>
      <c r="H245" s="60"/>
    </row>
    <row r="246">
      <c r="F246" s="60"/>
      <c r="G246" s="60"/>
      <c r="H246" s="60"/>
    </row>
    <row r="247">
      <c r="F247" s="60"/>
      <c r="G247" s="60"/>
      <c r="H247" s="60"/>
    </row>
    <row r="248">
      <c r="F248" s="60"/>
      <c r="G248" s="60"/>
      <c r="H248" s="60"/>
    </row>
    <row r="249">
      <c r="F249" s="60"/>
      <c r="G249" s="60"/>
      <c r="H249" s="60"/>
    </row>
    <row r="250">
      <c r="F250" s="60"/>
      <c r="G250" s="60"/>
      <c r="H250" s="60"/>
    </row>
    <row r="251">
      <c r="F251" s="60"/>
      <c r="G251" s="60"/>
      <c r="H251" s="60"/>
    </row>
    <row r="252">
      <c r="F252" s="60"/>
      <c r="G252" s="60"/>
      <c r="H252" s="60"/>
    </row>
    <row r="253">
      <c r="F253" s="60"/>
      <c r="G253" s="60"/>
      <c r="H253" s="60"/>
    </row>
    <row r="254">
      <c r="F254" s="60"/>
      <c r="G254" s="60"/>
      <c r="H254" s="60"/>
    </row>
    <row r="255">
      <c r="F255" s="60"/>
      <c r="G255" s="60"/>
      <c r="H255" s="60"/>
    </row>
    <row r="256">
      <c r="F256" s="60"/>
      <c r="G256" s="60"/>
      <c r="H256" s="60"/>
    </row>
    <row r="257">
      <c r="F257" s="60"/>
      <c r="G257" s="60"/>
      <c r="H257" s="60"/>
    </row>
    <row r="258">
      <c r="F258" s="60"/>
      <c r="G258" s="60"/>
      <c r="H258" s="60"/>
    </row>
    <row r="259">
      <c r="F259" s="60"/>
      <c r="G259" s="60"/>
      <c r="H259" s="60"/>
    </row>
    <row r="260">
      <c r="F260" s="60"/>
      <c r="G260" s="60"/>
      <c r="H260" s="60"/>
    </row>
    <row r="261">
      <c r="F261" s="60"/>
      <c r="G261" s="60"/>
      <c r="H261" s="60"/>
    </row>
    <row r="262">
      <c r="F262" s="60"/>
      <c r="G262" s="60"/>
      <c r="H262" s="60"/>
    </row>
    <row r="263">
      <c r="F263" s="60"/>
      <c r="G263" s="60"/>
      <c r="H263" s="60"/>
    </row>
    <row r="264">
      <c r="F264" s="60"/>
      <c r="G264" s="60"/>
      <c r="H264" s="60"/>
    </row>
    <row r="265">
      <c r="F265" s="60"/>
      <c r="G265" s="60"/>
      <c r="H265" s="60"/>
    </row>
    <row r="266">
      <c r="F266" s="60"/>
      <c r="G266" s="60"/>
      <c r="H266" s="60"/>
    </row>
    <row r="267">
      <c r="F267" s="60"/>
      <c r="G267" s="60"/>
      <c r="H267" s="60"/>
    </row>
    <row r="268">
      <c r="F268" s="60"/>
      <c r="G268" s="60"/>
      <c r="H268" s="60"/>
    </row>
    <row r="269">
      <c r="F269" s="60"/>
      <c r="G269" s="60"/>
      <c r="H269" s="60"/>
    </row>
    <row r="270">
      <c r="F270" s="60"/>
      <c r="G270" s="60"/>
      <c r="H270" s="60"/>
    </row>
    <row r="271">
      <c r="F271" s="60"/>
      <c r="G271" s="60"/>
      <c r="H271" s="60"/>
    </row>
    <row r="272">
      <c r="F272" s="60"/>
      <c r="G272" s="60"/>
      <c r="H272" s="60"/>
    </row>
    <row r="273">
      <c r="F273" s="60"/>
      <c r="G273" s="60"/>
      <c r="H273" s="60"/>
    </row>
    <row r="274">
      <c r="F274" s="60"/>
      <c r="G274" s="60"/>
      <c r="H274" s="60"/>
    </row>
    <row r="275">
      <c r="F275" s="60"/>
      <c r="G275" s="60"/>
      <c r="H275" s="60"/>
    </row>
    <row r="276">
      <c r="F276" s="60"/>
      <c r="G276" s="60"/>
      <c r="H276" s="60"/>
    </row>
    <row r="277">
      <c r="F277" s="60"/>
      <c r="G277" s="60"/>
      <c r="H277" s="60"/>
    </row>
    <row r="278">
      <c r="F278" s="60"/>
      <c r="G278" s="60"/>
      <c r="H278" s="60"/>
    </row>
    <row r="279">
      <c r="F279" s="60"/>
      <c r="G279" s="60"/>
      <c r="H279" s="60"/>
    </row>
    <row r="280">
      <c r="F280" s="60"/>
      <c r="G280" s="60"/>
      <c r="H280" s="60"/>
    </row>
    <row r="281">
      <c r="F281" s="60"/>
      <c r="G281" s="60"/>
      <c r="H281" s="60"/>
    </row>
    <row r="282">
      <c r="F282" s="60"/>
      <c r="G282" s="60"/>
      <c r="H282" s="60"/>
    </row>
    <row r="283">
      <c r="F283" s="60"/>
      <c r="G283" s="60"/>
      <c r="H283" s="60"/>
    </row>
    <row r="284">
      <c r="F284" s="60"/>
      <c r="G284" s="60"/>
      <c r="H284" s="60"/>
    </row>
    <row r="285">
      <c r="F285" s="60"/>
      <c r="G285" s="60"/>
      <c r="H285" s="60"/>
    </row>
    <row r="286">
      <c r="F286" s="60"/>
      <c r="G286" s="60"/>
      <c r="H286" s="60"/>
    </row>
    <row r="287">
      <c r="F287" s="60"/>
      <c r="G287" s="60"/>
      <c r="H287" s="60"/>
    </row>
    <row r="288">
      <c r="F288" s="60"/>
      <c r="G288" s="60"/>
      <c r="H288" s="60"/>
    </row>
    <row r="289">
      <c r="F289" s="60"/>
      <c r="G289" s="60"/>
      <c r="H289" s="60"/>
    </row>
    <row r="290">
      <c r="F290" s="60"/>
      <c r="G290" s="60"/>
      <c r="H290" s="60"/>
    </row>
    <row r="291">
      <c r="F291" s="60"/>
      <c r="G291" s="60"/>
      <c r="H291" s="60"/>
    </row>
    <row r="292">
      <c r="F292" s="60"/>
      <c r="G292" s="60"/>
      <c r="H292" s="60"/>
    </row>
    <row r="293">
      <c r="F293" s="60"/>
      <c r="G293" s="60"/>
      <c r="H293" s="60"/>
    </row>
    <row r="294">
      <c r="F294" s="60"/>
      <c r="G294" s="60"/>
      <c r="H294" s="60"/>
    </row>
    <row r="295">
      <c r="F295" s="60"/>
      <c r="G295" s="60"/>
      <c r="H295" s="60"/>
    </row>
    <row r="296">
      <c r="F296" s="60"/>
      <c r="G296" s="60"/>
      <c r="H296" s="60"/>
    </row>
    <row r="297">
      <c r="F297" s="60"/>
      <c r="G297" s="60"/>
      <c r="H297" s="60"/>
    </row>
    <row r="298">
      <c r="F298" s="60"/>
      <c r="G298" s="60"/>
      <c r="H298" s="60"/>
    </row>
    <row r="299">
      <c r="F299" s="60"/>
      <c r="G299" s="60"/>
      <c r="H299" s="60"/>
    </row>
    <row r="300">
      <c r="F300" s="60"/>
      <c r="G300" s="60"/>
      <c r="H300" s="60"/>
    </row>
    <row r="301">
      <c r="F301" s="60"/>
      <c r="G301" s="60"/>
      <c r="H301" s="60"/>
    </row>
    <row r="302">
      <c r="F302" s="60"/>
      <c r="G302" s="60"/>
      <c r="H302" s="60"/>
    </row>
    <row r="303">
      <c r="F303" s="60"/>
      <c r="G303" s="60"/>
      <c r="H303" s="60"/>
    </row>
    <row r="304">
      <c r="F304" s="60"/>
      <c r="G304" s="60"/>
      <c r="H304" s="60"/>
    </row>
    <row r="305">
      <c r="F305" s="60"/>
      <c r="G305" s="60"/>
      <c r="H305" s="60"/>
    </row>
    <row r="306">
      <c r="F306" s="60"/>
      <c r="G306" s="60"/>
      <c r="H306" s="60"/>
    </row>
    <row r="307">
      <c r="F307" s="60"/>
      <c r="G307" s="60"/>
      <c r="H307" s="60"/>
    </row>
    <row r="308">
      <c r="F308" s="60"/>
      <c r="G308" s="60"/>
      <c r="H308" s="60"/>
    </row>
    <row r="309">
      <c r="F309" s="60"/>
      <c r="G309" s="60"/>
      <c r="H309" s="60"/>
    </row>
    <row r="310">
      <c r="F310" s="60"/>
      <c r="G310" s="60"/>
      <c r="H310" s="60"/>
    </row>
    <row r="311">
      <c r="F311" s="60"/>
      <c r="G311" s="60"/>
      <c r="H311" s="60"/>
    </row>
    <row r="312">
      <c r="F312" s="60"/>
      <c r="G312" s="60"/>
      <c r="H312" s="60"/>
    </row>
    <row r="313">
      <c r="F313" s="60"/>
      <c r="G313" s="60"/>
      <c r="H313" s="60"/>
    </row>
    <row r="314">
      <c r="F314" s="60"/>
      <c r="G314" s="60"/>
      <c r="H314" s="60"/>
    </row>
    <row r="315">
      <c r="F315" s="60"/>
      <c r="G315" s="60"/>
      <c r="H315" s="60"/>
    </row>
    <row r="316">
      <c r="F316" s="60"/>
      <c r="G316" s="60"/>
      <c r="H316" s="60"/>
    </row>
    <row r="317">
      <c r="F317" s="60"/>
      <c r="G317" s="60"/>
      <c r="H317" s="60"/>
    </row>
    <row r="318">
      <c r="F318" s="60"/>
      <c r="G318" s="60"/>
      <c r="H318" s="60"/>
    </row>
    <row r="319">
      <c r="F319" s="60"/>
      <c r="G319" s="60"/>
      <c r="H319" s="60"/>
    </row>
    <row r="320">
      <c r="F320" s="60"/>
      <c r="G320" s="60"/>
      <c r="H320" s="60"/>
    </row>
    <row r="321">
      <c r="F321" s="60"/>
      <c r="G321" s="60"/>
      <c r="H321" s="60"/>
    </row>
    <row r="322">
      <c r="F322" s="60"/>
      <c r="G322" s="60"/>
      <c r="H322" s="60"/>
    </row>
    <row r="323">
      <c r="F323" s="60"/>
      <c r="G323" s="60"/>
      <c r="H323" s="60"/>
    </row>
    <row r="324">
      <c r="F324" s="60"/>
      <c r="G324" s="60"/>
      <c r="H324" s="60"/>
    </row>
    <row r="325">
      <c r="F325" s="60"/>
      <c r="G325" s="60"/>
      <c r="H325" s="60"/>
    </row>
    <row r="326">
      <c r="F326" s="60"/>
      <c r="G326" s="60"/>
      <c r="H326" s="60"/>
    </row>
    <row r="327">
      <c r="F327" s="60"/>
      <c r="G327" s="60"/>
      <c r="H327" s="60"/>
    </row>
    <row r="328">
      <c r="F328" s="60"/>
      <c r="G328" s="60"/>
      <c r="H328" s="60"/>
    </row>
    <row r="329">
      <c r="F329" s="60"/>
      <c r="G329" s="60"/>
      <c r="H329" s="60"/>
    </row>
    <row r="330">
      <c r="F330" s="60"/>
      <c r="G330" s="60"/>
      <c r="H330" s="60"/>
    </row>
    <row r="331">
      <c r="F331" s="60"/>
      <c r="G331" s="60"/>
      <c r="H331" s="60"/>
    </row>
    <row r="332">
      <c r="F332" s="60"/>
      <c r="G332" s="60"/>
      <c r="H332" s="60"/>
    </row>
    <row r="333">
      <c r="F333" s="60"/>
      <c r="G333" s="60"/>
      <c r="H333" s="60"/>
    </row>
    <row r="334">
      <c r="F334" s="60"/>
      <c r="G334" s="60"/>
      <c r="H334" s="60"/>
    </row>
    <row r="335">
      <c r="F335" s="60"/>
      <c r="G335" s="60"/>
      <c r="H335" s="60"/>
    </row>
    <row r="336">
      <c r="F336" s="60"/>
      <c r="G336" s="60"/>
      <c r="H336" s="60"/>
    </row>
    <row r="337">
      <c r="F337" s="60"/>
      <c r="G337" s="60"/>
      <c r="H337" s="60"/>
    </row>
    <row r="338">
      <c r="F338" s="60"/>
      <c r="G338" s="60"/>
      <c r="H338" s="60"/>
    </row>
    <row r="339">
      <c r="F339" s="60"/>
      <c r="G339" s="60"/>
      <c r="H339" s="60"/>
    </row>
    <row r="340">
      <c r="F340" s="60"/>
      <c r="G340" s="60"/>
      <c r="H340" s="60"/>
    </row>
    <row r="341">
      <c r="F341" s="60"/>
      <c r="G341" s="60"/>
      <c r="H341" s="60"/>
    </row>
    <row r="342">
      <c r="F342" s="60"/>
      <c r="G342" s="60"/>
      <c r="H342" s="60"/>
    </row>
    <row r="343">
      <c r="F343" s="60"/>
      <c r="G343" s="60"/>
      <c r="H343" s="60"/>
    </row>
    <row r="344">
      <c r="F344" s="60"/>
      <c r="G344" s="60"/>
      <c r="H344" s="60"/>
    </row>
    <row r="345">
      <c r="F345" s="60"/>
      <c r="G345" s="60"/>
      <c r="H345" s="60"/>
    </row>
    <row r="346">
      <c r="F346" s="60"/>
      <c r="G346" s="60"/>
      <c r="H346" s="60"/>
    </row>
    <row r="347">
      <c r="F347" s="60"/>
      <c r="G347" s="60"/>
      <c r="H347" s="60"/>
    </row>
    <row r="348">
      <c r="F348" s="60"/>
      <c r="G348" s="60"/>
      <c r="H348" s="60"/>
    </row>
    <row r="349">
      <c r="F349" s="60"/>
      <c r="G349" s="60"/>
      <c r="H349" s="60"/>
    </row>
    <row r="350">
      <c r="F350" s="60"/>
      <c r="G350" s="60"/>
      <c r="H350" s="60"/>
    </row>
    <row r="351">
      <c r="F351" s="60"/>
      <c r="G351" s="60"/>
      <c r="H351" s="60"/>
    </row>
    <row r="352">
      <c r="F352" s="60"/>
      <c r="G352" s="60"/>
      <c r="H352" s="60"/>
    </row>
    <row r="353">
      <c r="F353" s="60"/>
      <c r="G353" s="60"/>
      <c r="H353" s="60"/>
    </row>
    <row r="354">
      <c r="F354" s="60"/>
      <c r="G354" s="60"/>
      <c r="H354" s="60"/>
    </row>
    <row r="355">
      <c r="F355" s="60"/>
      <c r="G355" s="60"/>
      <c r="H355" s="60"/>
    </row>
    <row r="356">
      <c r="F356" s="60"/>
      <c r="G356" s="60"/>
      <c r="H356" s="60"/>
    </row>
    <row r="357">
      <c r="F357" s="60"/>
      <c r="G357" s="60"/>
      <c r="H357" s="60"/>
    </row>
    <row r="358">
      <c r="F358" s="60"/>
      <c r="G358" s="60"/>
      <c r="H358" s="60"/>
    </row>
    <row r="359">
      <c r="F359" s="60"/>
      <c r="G359" s="60"/>
      <c r="H359" s="60"/>
    </row>
    <row r="360">
      <c r="F360" s="60"/>
      <c r="G360" s="60"/>
      <c r="H360" s="60"/>
    </row>
    <row r="361">
      <c r="F361" s="60"/>
      <c r="G361" s="60"/>
      <c r="H361" s="60"/>
    </row>
    <row r="362">
      <c r="F362" s="60"/>
      <c r="G362" s="60"/>
      <c r="H362" s="60"/>
    </row>
    <row r="363">
      <c r="F363" s="60"/>
      <c r="G363" s="60"/>
      <c r="H363" s="60"/>
    </row>
    <row r="364">
      <c r="F364" s="60"/>
      <c r="G364" s="60"/>
      <c r="H364" s="60"/>
    </row>
    <row r="365">
      <c r="F365" s="60"/>
      <c r="G365" s="60"/>
      <c r="H365" s="60"/>
    </row>
    <row r="366">
      <c r="F366" s="60"/>
      <c r="G366" s="60"/>
      <c r="H366" s="60"/>
    </row>
    <row r="367">
      <c r="F367" s="60"/>
      <c r="G367" s="60"/>
      <c r="H367" s="60"/>
    </row>
    <row r="368">
      <c r="F368" s="60"/>
      <c r="G368" s="60"/>
      <c r="H368" s="60"/>
    </row>
    <row r="369">
      <c r="F369" s="60"/>
      <c r="G369" s="60"/>
      <c r="H369" s="60"/>
    </row>
    <row r="370">
      <c r="F370" s="60"/>
      <c r="G370" s="60"/>
      <c r="H370" s="60"/>
    </row>
    <row r="371">
      <c r="F371" s="60"/>
      <c r="G371" s="60"/>
      <c r="H371" s="60"/>
    </row>
    <row r="372">
      <c r="F372" s="60"/>
      <c r="G372" s="60"/>
      <c r="H372" s="60"/>
    </row>
    <row r="373">
      <c r="F373" s="60"/>
      <c r="G373" s="60"/>
      <c r="H373" s="60"/>
    </row>
    <row r="374">
      <c r="F374" s="60"/>
      <c r="G374" s="60"/>
      <c r="H374" s="60"/>
    </row>
    <row r="375">
      <c r="F375" s="60"/>
      <c r="G375" s="60"/>
      <c r="H375" s="60"/>
    </row>
    <row r="376">
      <c r="F376" s="60"/>
      <c r="G376" s="60"/>
      <c r="H376" s="60"/>
    </row>
    <row r="377">
      <c r="F377" s="60"/>
      <c r="G377" s="60"/>
      <c r="H377" s="60"/>
    </row>
    <row r="378">
      <c r="F378" s="60"/>
      <c r="G378" s="60"/>
      <c r="H378" s="60"/>
    </row>
    <row r="379">
      <c r="F379" s="60"/>
      <c r="G379" s="60"/>
      <c r="H379" s="60"/>
    </row>
    <row r="380">
      <c r="F380" s="60"/>
      <c r="G380" s="60"/>
      <c r="H380" s="60"/>
    </row>
    <row r="381">
      <c r="F381" s="60"/>
      <c r="G381" s="60"/>
      <c r="H381" s="60"/>
    </row>
    <row r="382">
      <c r="F382" s="60"/>
      <c r="G382" s="60"/>
      <c r="H382" s="60"/>
    </row>
    <row r="383">
      <c r="F383" s="60"/>
      <c r="G383" s="60"/>
      <c r="H383" s="60"/>
    </row>
    <row r="384">
      <c r="F384" s="60"/>
      <c r="G384" s="60"/>
      <c r="H384" s="60"/>
    </row>
    <row r="385">
      <c r="F385" s="60"/>
      <c r="G385" s="60"/>
      <c r="H385" s="60"/>
    </row>
    <row r="386">
      <c r="F386" s="60"/>
      <c r="G386" s="60"/>
      <c r="H386" s="60"/>
    </row>
    <row r="387">
      <c r="F387" s="60"/>
      <c r="G387" s="60"/>
      <c r="H387" s="60"/>
    </row>
    <row r="388">
      <c r="F388" s="60"/>
      <c r="G388" s="60"/>
      <c r="H388" s="60"/>
    </row>
    <row r="389">
      <c r="F389" s="60"/>
      <c r="G389" s="60"/>
      <c r="H389" s="60"/>
    </row>
    <row r="390">
      <c r="F390" s="60"/>
      <c r="G390" s="60"/>
      <c r="H390" s="60"/>
    </row>
    <row r="391">
      <c r="F391" s="60"/>
      <c r="G391" s="60"/>
      <c r="H391" s="60"/>
    </row>
    <row r="392">
      <c r="F392" s="60"/>
      <c r="G392" s="60"/>
      <c r="H392" s="60"/>
    </row>
    <row r="393">
      <c r="F393" s="60"/>
      <c r="G393" s="60"/>
      <c r="H393" s="60"/>
    </row>
    <row r="394">
      <c r="F394" s="60"/>
      <c r="G394" s="60"/>
      <c r="H394" s="60"/>
    </row>
    <row r="395">
      <c r="F395" s="60"/>
      <c r="G395" s="60"/>
      <c r="H395" s="60"/>
    </row>
    <row r="396">
      <c r="F396" s="60"/>
      <c r="G396" s="60"/>
      <c r="H396" s="60"/>
    </row>
    <row r="397">
      <c r="F397" s="60"/>
      <c r="G397" s="60"/>
      <c r="H397" s="60"/>
    </row>
    <row r="398">
      <c r="F398" s="60"/>
      <c r="G398" s="60"/>
      <c r="H398" s="60"/>
    </row>
    <row r="399">
      <c r="F399" s="60"/>
      <c r="G399" s="60"/>
      <c r="H399" s="60"/>
    </row>
    <row r="400">
      <c r="F400" s="60"/>
      <c r="G400" s="60"/>
      <c r="H400" s="60"/>
    </row>
    <row r="401">
      <c r="F401" s="60"/>
      <c r="G401" s="60"/>
      <c r="H401" s="60"/>
    </row>
    <row r="402">
      <c r="F402" s="60"/>
      <c r="G402" s="60"/>
      <c r="H402" s="60"/>
    </row>
    <row r="403">
      <c r="F403" s="60"/>
      <c r="G403" s="60"/>
      <c r="H403" s="60"/>
    </row>
    <row r="404">
      <c r="F404" s="60"/>
      <c r="G404" s="60"/>
      <c r="H404" s="60"/>
    </row>
    <row r="405">
      <c r="F405" s="60"/>
      <c r="G405" s="60"/>
      <c r="H405" s="60"/>
    </row>
    <row r="406">
      <c r="F406" s="60"/>
      <c r="G406" s="60"/>
      <c r="H406" s="60"/>
    </row>
    <row r="407">
      <c r="F407" s="60"/>
      <c r="G407" s="60"/>
      <c r="H407" s="60"/>
    </row>
    <row r="408">
      <c r="F408" s="60"/>
      <c r="G408" s="60"/>
      <c r="H408" s="60"/>
    </row>
    <row r="409">
      <c r="F409" s="60"/>
      <c r="G409" s="60"/>
      <c r="H409" s="60"/>
    </row>
    <row r="410">
      <c r="F410" s="60"/>
      <c r="G410" s="60"/>
      <c r="H410" s="60"/>
    </row>
    <row r="411">
      <c r="F411" s="60"/>
      <c r="G411" s="60"/>
      <c r="H411" s="60"/>
    </row>
    <row r="412">
      <c r="F412" s="60"/>
      <c r="G412" s="60"/>
      <c r="H412" s="60"/>
    </row>
    <row r="413">
      <c r="F413" s="60"/>
      <c r="G413" s="60"/>
      <c r="H413" s="60"/>
    </row>
    <row r="414">
      <c r="F414" s="60"/>
      <c r="G414" s="60"/>
      <c r="H414" s="60"/>
    </row>
    <row r="415">
      <c r="F415" s="60"/>
      <c r="G415" s="60"/>
      <c r="H415" s="60"/>
    </row>
    <row r="416">
      <c r="F416" s="60"/>
      <c r="G416" s="60"/>
      <c r="H416" s="60"/>
    </row>
    <row r="417">
      <c r="F417" s="60"/>
      <c r="G417" s="60"/>
      <c r="H417" s="60"/>
    </row>
    <row r="418">
      <c r="F418" s="60"/>
      <c r="G418" s="60"/>
      <c r="H418" s="60"/>
    </row>
    <row r="419">
      <c r="F419" s="60"/>
      <c r="G419" s="60"/>
      <c r="H419" s="60"/>
    </row>
    <row r="420">
      <c r="F420" s="60"/>
      <c r="G420" s="60"/>
      <c r="H420" s="60"/>
    </row>
    <row r="421">
      <c r="F421" s="60"/>
      <c r="G421" s="60"/>
      <c r="H421" s="60"/>
    </row>
    <row r="422">
      <c r="F422" s="60"/>
      <c r="G422" s="60"/>
      <c r="H422" s="60"/>
    </row>
    <row r="423">
      <c r="F423" s="60"/>
      <c r="G423" s="60"/>
      <c r="H423" s="60"/>
    </row>
    <row r="424">
      <c r="F424" s="60"/>
      <c r="G424" s="60"/>
      <c r="H424" s="60"/>
    </row>
    <row r="425">
      <c r="F425" s="60"/>
      <c r="G425" s="60"/>
      <c r="H425" s="60"/>
    </row>
    <row r="426">
      <c r="F426" s="60"/>
      <c r="G426" s="60"/>
      <c r="H426" s="60"/>
    </row>
    <row r="427">
      <c r="F427" s="60"/>
      <c r="G427" s="60"/>
      <c r="H427" s="60"/>
    </row>
    <row r="428">
      <c r="F428" s="60"/>
      <c r="G428" s="60"/>
      <c r="H428" s="60"/>
    </row>
    <row r="429">
      <c r="F429" s="60"/>
      <c r="G429" s="60"/>
      <c r="H429" s="60"/>
    </row>
    <row r="430">
      <c r="F430" s="60"/>
      <c r="G430" s="60"/>
      <c r="H430" s="60"/>
    </row>
    <row r="431">
      <c r="F431" s="60"/>
      <c r="G431" s="60"/>
      <c r="H431" s="60"/>
    </row>
    <row r="432">
      <c r="F432" s="60"/>
      <c r="G432" s="60"/>
      <c r="H432" s="60"/>
    </row>
    <row r="433">
      <c r="F433" s="60"/>
      <c r="G433" s="60"/>
      <c r="H433" s="60"/>
    </row>
    <row r="434">
      <c r="F434" s="60"/>
      <c r="G434" s="60"/>
      <c r="H434" s="60"/>
    </row>
    <row r="435">
      <c r="F435" s="60"/>
      <c r="G435" s="60"/>
      <c r="H435" s="60"/>
    </row>
    <row r="436">
      <c r="F436" s="60"/>
      <c r="G436" s="60"/>
      <c r="H436" s="60"/>
    </row>
    <row r="437">
      <c r="F437" s="60"/>
      <c r="G437" s="60"/>
      <c r="H437" s="60"/>
    </row>
    <row r="438">
      <c r="F438" s="60"/>
      <c r="G438" s="60"/>
      <c r="H438" s="60"/>
    </row>
    <row r="439">
      <c r="F439" s="60"/>
      <c r="G439" s="60"/>
      <c r="H439" s="60"/>
    </row>
    <row r="440">
      <c r="F440" s="60"/>
      <c r="G440" s="60"/>
      <c r="H440" s="60"/>
    </row>
    <row r="441">
      <c r="F441" s="60"/>
      <c r="G441" s="60"/>
      <c r="H441" s="60"/>
    </row>
    <row r="442">
      <c r="F442" s="60"/>
      <c r="G442" s="60"/>
      <c r="H442" s="60"/>
    </row>
    <row r="443">
      <c r="F443" s="60"/>
      <c r="G443" s="60"/>
      <c r="H443" s="60"/>
    </row>
    <row r="444">
      <c r="F444" s="60"/>
      <c r="G444" s="60"/>
      <c r="H444" s="60"/>
    </row>
    <row r="445">
      <c r="F445" s="60"/>
      <c r="G445" s="60"/>
      <c r="H445" s="60"/>
    </row>
    <row r="446">
      <c r="F446" s="60"/>
      <c r="G446" s="60"/>
      <c r="H446" s="60"/>
    </row>
    <row r="447">
      <c r="F447" s="60"/>
      <c r="G447" s="60"/>
      <c r="H447" s="60"/>
    </row>
    <row r="448">
      <c r="F448" s="60"/>
      <c r="G448" s="60"/>
      <c r="H448" s="60"/>
    </row>
    <row r="449">
      <c r="F449" s="60"/>
      <c r="G449" s="60"/>
      <c r="H449" s="60"/>
    </row>
    <row r="450">
      <c r="F450" s="60"/>
      <c r="G450" s="60"/>
      <c r="H450" s="60"/>
    </row>
    <row r="451">
      <c r="F451" s="60"/>
      <c r="G451" s="60"/>
      <c r="H451" s="60"/>
    </row>
    <row r="452">
      <c r="F452" s="60"/>
      <c r="G452" s="60"/>
      <c r="H452" s="60"/>
    </row>
    <row r="453">
      <c r="F453" s="60"/>
      <c r="G453" s="60"/>
      <c r="H453" s="60"/>
    </row>
    <row r="454">
      <c r="F454" s="60"/>
      <c r="G454" s="60"/>
      <c r="H454" s="60"/>
    </row>
    <row r="455">
      <c r="F455" s="60"/>
      <c r="G455" s="60"/>
      <c r="H455" s="60"/>
    </row>
    <row r="456">
      <c r="F456" s="60"/>
      <c r="G456" s="60"/>
      <c r="H456" s="60"/>
    </row>
    <row r="457">
      <c r="F457" s="60"/>
      <c r="G457" s="60"/>
      <c r="H457" s="60"/>
    </row>
    <row r="458">
      <c r="F458" s="60"/>
      <c r="G458" s="60"/>
      <c r="H458" s="60"/>
    </row>
    <row r="459">
      <c r="F459" s="60"/>
      <c r="G459" s="60"/>
      <c r="H459" s="60"/>
    </row>
    <row r="460">
      <c r="F460" s="60"/>
      <c r="G460" s="60"/>
      <c r="H460" s="60"/>
    </row>
    <row r="461">
      <c r="F461" s="60"/>
      <c r="G461" s="60"/>
      <c r="H461" s="60"/>
    </row>
    <row r="462">
      <c r="F462" s="60"/>
      <c r="G462" s="60"/>
      <c r="H462" s="60"/>
    </row>
    <row r="463">
      <c r="F463" s="60"/>
      <c r="G463" s="60"/>
      <c r="H463" s="60"/>
    </row>
    <row r="464">
      <c r="F464" s="60"/>
      <c r="G464" s="60"/>
      <c r="H464" s="60"/>
    </row>
    <row r="465">
      <c r="F465" s="60"/>
      <c r="G465" s="60"/>
      <c r="H465" s="60"/>
    </row>
    <row r="466">
      <c r="F466" s="60"/>
      <c r="G466" s="60"/>
      <c r="H466" s="60"/>
    </row>
    <row r="467">
      <c r="F467" s="60"/>
      <c r="G467" s="60"/>
      <c r="H467" s="60"/>
    </row>
    <row r="468">
      <c r="F468" s="60"/>
      <c r="G468" s="60"/>
      <c r="H468" s="60"/>
    </row>
    <row r="469">
      <c r="F469" s="60"/>
      <c r="G469" s="60"/>
      <c r="H469" s="60"/>
    </row>
    <row r="470">
      <c r="F470" s="60"/>
      <c r="G470" s="60"/>
      <c r="H470" s="60"/>
    </row>
    <row r="471">
      <c r="F471" s="60"/>
      <c r="G471" s="60"/>
      <c r="H471" s="60"/>
    </row>
    <row r="472">
      <c r="F472" s="60"/>
      <c r="G472" s="60"/>
      <c r="H472" s="60"/>
    </row>
    <row r="473">
      <c r="F473" s="60"/>
      <c r="G473" s="60"/>
      <c r="H473" s="60"/>
    </row>
    <row r="474">
      <c r="F474" s="60"/>
      <c r="G474" s="60"/>
      <c r="H474" s="60"/>
    </row>
    <row r="475">
      <c r="F475" s="60"/>
      <c r="G475" s="60"/>
      <c r="H475" s="60"/>
    </row>
    <row r="476">
      <c r="F476" s="60"/>
      <c r="G476" s="60"/>
      <c r="H476" s="60"/>
    </row>
    <row r="477">
      <c r="F477" s="60"/>
      <c r="G477" s="60"/>
      <c r="H477" s="60"/>
    </row>
    <row r="478">
      <c r="F478" s="60"/>
      <c r="G478" s="60"/>
      <c r="H478" s="60"/>
    </row>
    <row r="479">
      <c r="F479" s="60"/>
      <c r="G479" s="60"/>
      <c r="H479" s="60"/>
    </row>
    <row r="480">
      <c r="F480" s="60"/>
      <c r="G480" s="60"/>
      <c r="H480" s="60"/>
    </row>
    <row r="481">
      <c r="F481" s="60"/>
      <c r="G481" s="60"/>
      <c r="H481" s="60"/>
    </row>
    <row r="482">
      <c r="F482" s="60"/>
      <c r="G482" s="60"/>
      <c r="H482" s="60"/>
    </row>
    <row r="483">
      <c r="F483" s="60"/>
      <c r="G483" s="60"/>
      <c r="H483" s="60"/>
    </row>
    <row r="484">
      <c r="F484" s="60"/>
      <c r="G484" s="60"/>
      <c r="H484" s="60"/>
    </row>
    <row r="485">
      <c r="F485" s="60"/>
      <c r="G485" s="60"/>
      <c r="H485" s="60"/>
    </row>
    <row r="486">
      <c r="F486" s="60"/>
      <c r="G486" s="60"/>
      <c r="H486" s="60"/>
    </row>
    <row r="487">
      <c r="F487" s="60"/>
      <c r="G487" s="60"/>
      <c r="H487" s="60"/>
    </row>
    <row r="488">
      <c r="F488" s="60"/>
      <c r="G488" s="60"/>
      <c r="H488" s="60"/>
    </row>
    <row r="489">
      <c r="F489" s="60"/>
      <c r="G489" s="60"/>
      <c r="H489" s="60"/>
    </row>
    <row r="490">
      <c r="F490" s="60"/>
      <c r="G490" s="60"/>
      <c r="H490" s="60"/>
    </row>
    <row r="491">
      <c r="F491" s="60"/>
      <c r="G491" s="60"/>
      <c r="H491" s="60"/>
    </row>
    <row r="492">
      <c r="F492" s="60"/>
      <c r="G492" s="60"/>
      <c r="H492" s="60"/>
    </row>
    <row r="493">
      <c r="F493" s="60"/>
      <c r="G493" s="60"/>
      <c r="H493" s="60"/>
    </row>
    <row r="494">
      <c r="F494" s="60"/>
      <c r="G494" s="60"/>
      <c r="H494" s="60"/>
    </row>
    <row r="495">
      <c r="F495" s="60"/>
      <c r="G495" s="60"/>
      <c r="H495" s="60"/>
    </row>
    <row r="496">
      <c r="F496" s="60"/>
      <c r="G496" s="60"/>
      <c r="H496" s="60"/>
    </row>
    <row r="497">
      <c r="F497" s="60"/>
      <c r="G497" s="60"/>
      <c r="H497" s="60"/>
    </row>
    <row r="498">
      <c r="F498" s="60"/>
      <c r="G498" s="60"/>
      <c r="H498" s="60"/>
    </row>
    <row r="499">
      <c r="F499" s="60"/>
      <c r="G499" s="60"/>
      <c r="H499" s="60"/>
    </row>
    <row r="500">
      <c r="F500" s="60"/>
      <c r="G500" s="60"/>
      <c r="H500" s="60"/>
    </row>
    <row r="501">
      <c r="F501" s="60"/>
      <c r="G501" s="60"/>
      <c r="H501" s="60"/>
    </row>
    <row r="502">
      <c r="F502" s="60"/>
      <c r="G502" s="60"/>
      <c r="H502" s="60"/>
    </row>
    <row r="503">
      <c r="F503" s="60"/>
      <c r="G503" s="60"/>
      <c r="H503" s="60"/>
    </row>
    <row r="504">
      <c r="F504" s="60"/>
      <c r="G504" s="60"/>
      <c r="H504" s="60"/>
    </row>
    <row r="505">
      <c r="F505" s="60"/>
      <c r="G505" s="60"/>
      <c r="H505" s="60"/>
    </row>
    <row r="506">
      <c r="F506" s="60"/>
      <c r="G506" s="60"/>
      <c r="H506" s="60"/>
    </row>
    <row r="507">
      <c r="F507" s="60"/>
      <c r="G507" s="60"/>
      <c r="H507" s="60"/>
    </row>
    <row r="508">
      <c r="F508" s="60"/>
      <c r="G508" s="60"/>
      <c r="H508" s="60"/>
    </row>
    <row r="509">
      <c r="F509" s="60"/>
      <c r="G509" s="60"/>
      <c r="H509" s="60"/>
    </row>
    <row r="510">
      <c r="F510" s="60"/>
      <c r="G510" s="60"/>
      <c r="H510" s="60"/>
    </row>
    <row r="511">
      <c r="F511" s="60"/>
      <c r="G511" s="60"/>
      <c r="H511" s="60"/>
    </row>
    <row r="512">
      <c r="F512" s="60"/>
      <c r="G512" s="60"/>
      <c r="H512" s="60"/>
    </row>
    <row r="513">
      <c r="F513" s="60"/>
      <c r="G513" s="60"/>
      <c r="H513" s="60"/>
    </row>
    <row r="514">
      <c r="F514" s="60"/>
      <c r="G514" s="60"/>
      <c r="H514" s="60"/>
    </row>
    <row r="515">
      <c r="F515" s="60"/>
      <c r="G515" s="60"/>
      <c r="H515" s="60"/>
    </row>
    <row r="516">
      <c r="F516" s="60"/>
      <c r="G516" s="60"/>
      <c r="H516" s="60"/>
    </row>
    <row r="517">
      <c r="F517" s="60"/>
      <c r="G517" s="60"/>
      <c r="H517" s="60"/>
    </row>
    <row r="518">
      <c r="F518" s="60"/>
      <c r="G518" s="60"/>
      <c r="H518" s="60"/>
    </row>
    <row r="519">
      <c r="F519" s="60"/>
      <c r="G519" s="60"/>
      <c r="H519" s="60"/>
    </row>
    <row r="520">
      <c r="F520" s="60"/>
      <c r="G520" s="60"/>
      <c r="H520" s="60"/>
    </row>
    <row r="521">
      <c r="F521" s="60"/>
      <c r="G521" s="60"/>
      <c r="H521" s="60"/>
    </row>
    <row r="522">
      <c r="F522" s="60"/>
      <c r="G522" s="60"/>
      <c r="H522" s="60"/>
    </row>
    <row r="523">
      <c r="F523" s="60"/>
      <c r="G523" s="60"/>
      <c r="H523" s="60"/>
    </row>
    <row r="524">
      <c r="F524" s="60"/>
      <c r="G524" s="60"/>
      <c r="H524" s="60"/>
    </row>
    <row r="525">
      <c r="F525" s="60"/>
      <c r="G525" s="60"/>
      <c r="H525" s="60"/>
    </row>
    <row r="526">
      <c r="F526" s="60"/>
      <c r="G526" s="60"/>
      <c r="H526" s="60"/>
    </row>
    <row r="527">
      <c r="F527" s="60"/>
      <c r="G527" s="60"/>
      <c r="H527" s="60"/>
    </row>
    <row r="528">
      <c r="F528" s="60"/>
      <c r="G528" s="60"/>
      <c r="H528" s="60"/>
    </row>
    <row r="529">
      <c r="F529" s="60"/>
      <c r="G529" s="60"/>
      <c r="H529" s="60"/>
    </row>
    <row r="530">
      <c r="F530" s="60"/>
      <c r="G530" s="60"/>
      <c r="H530" s="60"/>
    </row>
    <row r="531">
      <c r="F531" s="60"/>
      <c r="G531" s="60"/>
      <c r="H531" s="60"/>
    </row>
    <row r="532">
      <c r="F532" s="60"/>
      <c r="G532" s="60"/>
      <c r="H532" s="60"/>
    </row>
    <row r="533">
      <c r="F533" s="60"/>
      <c r="G533" s="60"/>
      <c r="H533" s="60"/>
    </row>
    <row r="534">
      <c r="F534" s="60"/>
      <c r="G534" s="60"/>
      <c r="H534" s="60"/>
    </row>
    <row r="535">
      <c r="F535" s="60"/>
      <c r="G535" s="60"/>
      <c r="H535" s="60"/>
    </row>
    <row r="536">
      <c r="F536" s="60"/>
      <c r="G536" s="60"/>
      <c r="H536" s="60"/>
    </row>
    <row r="537">
      <c r="F537" s="60"/>
      <c r="G537" s="60"/>
      <c r="H537" s="60"/>
    </row>
    <row r="538">
      <c r="F538" s="60"/>
      <c r="G538" s="60"/>
      <c r="H538" s="60"/>
    </row>
    <row r="539">
      <c r="F539" s="60"/>
      <c r="G539" s="60"/>
      <c r="H539" s="60"/>
    </row>
    <row r="540">
      <c r="F540" s="60"/>
      <c r="G540" s="60"/>
      <c r="H540" s="60"/>
    </row>
    <row r="541">
      <c r="F541" s="60"/>
      <c r="G541" s="60"/>
      <c r="H541" s="60"/>
    </row>
    <row r="542">
      <c r="F542" s="60"/>
      <c r="G542" s="60"/>
      <c r="H542" s="60"/>
    </row>
    <row r="543">
      <c r="F543" s="60"/>
      <c r="G543" s="60"/>
      <c r="H543" s="60"/>
    </row>
    <row r="544">
      <c r="F544" s="60"/>
      <c r="G544" s="60"/>
      <c r="H544" s="60"/>
    </row>
    <row r="545">
      <c r="F545" s="60"/>
      <c r="G545" s="60"/>
      <c r="H545" s="60"/>
    </row>
    <row r="546">
      <c r="F546" s="60"/>
      <c r="G546" s="60"/>
      <c r="H546" s="60"/>
    </row>
    <row r="547">
      <c r="F547" s="60"/>
      <c r="G547" s="60"/>
      <c r="H547" s="60"/>
    </row>
    <row r="548">
      <c r="F548" s="60"/>
      <c r="G548" s="60"/>
      <c r="H548" s="60"/>
    </row>
    <row r="549">
      <c r="F549" s="60"/>
      <c r="G549" s="60"/>
      <c r="H549" s="60"/>
    </row>
    <row r="550">
      <c r="F550" s="60"/>
      <c r="G550" s="60"/>
      <c r="H550" s="60"/>
    </row>
    <row r="551">
      <c r="F551" s="60"/>
      <c r="G551" s="60"/>
      <c r="H551" s="60"/>
    </row>
    <row r="552">
      <c r="F552" s="60"/>
      <c r="G552" s="60"/>
      <c r="H552" s="60"/>
    </row>
    <row r="553">
      <c r="F553" s="60"/>
      <c r="G553" s="60"/>
      <c r="H553" s="60"/>
    </row>
    <row r="554">
      <c r="F554" s="60"/>
      <c r="G554" s="60"/>
      <c r="H554" s="60"/>
    </row>
    <row r="555">
      <c r="F555" s="60"/>
      <c r="G555" s="60"/>
      <c r="H555" s="60"/>
    </row>
    <row r="556">
      <c r="F556" s="60"/>
      <c r="G556" s="60"/>
      <c r="H556" s="60"/>
    </row>
    <row r="557">
      <c r="F557" s="60"/>
      <c r="G557" s="60"/>
      <c r="H557" s="60"/>
    </row>
    <row r="558">
      <c r="F558" s="60"/>
      <c r="G558" s="60"/>
      <c r="H558" s="60"/>
    </row>
    <row r="559">
      <c r="F559" s="60"/>
      <c r="G559" s="60"/>
      <c r="H559" s="60"/>
    </row>
    <row r="560">
      <c r="F560" s="60"/>
      <c r="G560" s="60"/>
      <c r="H560" s="60"/>
    </row>
    <row r="561">
      <c r="F561" s="60"/>
      <c r="G561" s="60"/>
      <c r="H561" s="60"/>
    </row>
    <row r="562">
      <c r="F562" s="60"/>
      <c r="G562" s="60"/>
      <c r="H562" s="60"/>
    </row>
    <row r="563">
      <c r="F563" s="60"/>
      <c r="G563" s="60"/>
      <c r="H563" s="60"/>
    </row>
    <row r="564">
      <c r="F564" s="60"/>
      <c r="G564" s="60"/>
      <c r="H564" s="60"/>
    </row>
    <row r="565">
      <c r="F565" s="60"/>
      <c r="G565" s="60"/>
      <c r="H565" s="60"/>
    </row>
    <row r="566">
      <c r="F566" s="60"/>
      <c r="G566" s="60"/>
      <c r="H566" s="60"/>
    </row>
    <row r="567">
      <c r="F567" s="60"/>
      <c r="G567" s="60"/>
      <c r="H567" s="60"/>
    </row>
    <row r="568">
      <c r="F568" s="60"/>
      <c r="G568" s="60"/>
      <c r="H568" s="60"/>
    </row>
    <row r="569">
      <c r="F569" s="60"/>
      <c r="G569" s="60"/>
      <c r="H569" s="60"/>
    </row>
    <row r="570">
      <c r="F570" s="60"/>
      <c r="G570" s="60"/>
      <c r="H570" s="60"/>
    </row>
    <row r="571">
      <c r="F571" s="60"/>
      <c r="G571" s="60"/>
      <c r="H571" s="60"/>
    </row>
    <row r="572">
      <c r="F572" s="60"/>
      <c r="G572" s="60"/>
      <c r="H572" s="60"/>
    </row>
    <row r="573">
      <c r="F573" s="60"/>
      <c r="G573" s="60"/>
      <c r="H573" s="60"/>
    </row>
    <row r="574">
      <c r="F574" s="60"/>
      <c r="G574" s="60"/>
      <c r="H574" s="60"/>
    </row>
    <row r="575">
      <c r="F575" s="60"/>
      <c r="G575" s="60"/>
      <c r="H575" s="60"/>
    </row>
    <row r="576">
      <c r="F576" s="60"/>
      <c r="G576" s="60"/>
      <c r="H576" s="60"/>
    </row>
    <row r="577">
      <c r="F577" s="60"/>
      <c r="G577" s="60"/>
      <c r="H577" s="60"/>
    </row>
    <row r="578">
      <c r="F578" s="60"/>
      <c r="G578" s="60"/>
      <c r="H578" s="60"/>
    </row>
    <row r="579">
      <c r="F579" s="60"/>
      <c r="G579" s="60"/>
      <c r="H579" s="60"/>
    </row>
    <row r="580">
      <c r="F580" s="60"/>
      <c r="G580" s="60"/>
      <c r="H580" s="60"/>
    </row>
    <row r="581">
      <c r="F581" s="60"/>
      <c r="G581" s="60"/>
      <c r="H581" s="60"/>
    </row>
    <row r="582">
      <c r="F582" s="60"/>
      <c r="G582" s="60"/>
      <c r="H582" s="60"/>
    </row>
    <row r="583">
      <c r="F583" s="60"/>
      <c r="G583" s="60"/>
      <c r="H583" s="60"/>
    </row>
    <row r="584">
      <c r="F584" s="60"/>
      <c r="G584" s="60"/>
      <c r="H584" s="60"/>
    </row>
    <row r="585">
      <c r="F585" s="60"/>
      <c r="G585" s="60"/>
      <c r="H585" s="60"/>
    </row>
    <row r="586">
      <c r="F586" s="60"/>
      <c r="G586" s="60"/>
      <c r="H586" s="60"/>
    </row>
    <row r="587">
      <c r="F587" s="60"/>
      <c r="G587" s="60"/>
      <c r="H587" s="60"/>
    </row>
    <row r="588">
      <c r="F588" s="60"/>
      <c r="G588" s="60"/>
      <c r="H588" s="60"/>
    </row>
    <row r="589">
      <c r="F589" s="60"/>
      <c r="G589" s="60"/>
      <c r="H589" s="60"/>
    </row>
    <row r="590">
      <c r="F590" s="60"/>
      <c r="G590" s="60"/>
      <c r="H590" s="60"/>
    </row>
    <row r="591">
      <c r="F591" s="60"/>
      <c r="G591" s="60"/>
      <c r="H591" s="60"/>
    </row>
    <row r="592">
      <c r="F592" s="60"/>
      <c r="G592" s="60"/>
      <c r="H592" s="60"/>
    </row>
    <row r="593">
      <c r="F593" s="60"/>
      <c r="G593" s="60"/>
      <c r="H593" s="60"/>
    </row>
    <row r="594">
      <c r="F594" s="60"/>
      <c r="G594" s="60"/>
      <c r="H594" s="60"/>
    </row>
    <row r="595">
      <c r="F595" s="60"/>
      <c r="G595" s="60"/>
      <c r="H595" s="60"/>
    </row>
    <row r="596">
      <c r="F596" s="60"/>
      <c r="G596" s="60"/>
      <c r="H596" s="60"/>
    </row>
    <row r="597">
      <c r="F597" s="60"/>
      <c r="G597" s="60"/>
      <c r="H597" s="60"/>
    </row>
    <row r="598">
      <c r="F598" s="60"/>
      <c r="G598" s="60"/>
      <c r="H598" s="60"/>
    </row>
    <row r="599">
      <c r="F599" s="60"/>
      <c r="G599" s="60"/>
      <c r="H599" s="60"/>
    </row>
    <row r="600">
      <c r="F600" s="60"/>
      <c r="G600" s="60"/>
      <c r="H600" s="60"/>
    </row>
    <row r="601">
      <c r="F601" s="60"/>
      <c r="G601" s="60"/>
      <c r="H601" s="60"/>
    </row>
    <row r="602">
      <c r="F602" s="60"/>
      <c r="G602" s="60"/>
      <c r="H602" s="60"/>
    </row>
    <row r="603">
      <c r="F603" s="60"/>
      <c r="G603" s="60"/>
      <c r="H603" s="60"/>
    </row>
    <row r="604">
      <c r="F604" s="60"/>
      <c r="G604" s="60"/>
      <c r="H604" s="60"/>
    </row>
    <row r="605">
      <c r="F605" s="60"/>
      <c r="G605" s="60"/>
      <c r="H605" s="60"/>
    </row>
    <row r="606">
      <c r="F606" s="60"/>
      <c r="G606" s="60"/>
      <c r="H606" s="60"/>
    </row>
    <row r="607">
      <c r="F607" s="60"/>
      <c r="G607" s="60"/>
      <c r="H607" s="60"/>
    </row>
    <row r="608">
      <c r="F608" s="60"/>
      <c r="G608" s="60"/>
      <c r="H608" s="60"/>
    </row>
    <row r="609">
      <c r="F609" s="60"/>
      <c r="G609" s="60"/>
      <c r="H609" s="60"/>
    </row>
    <row r="610">
      <c r="F610" s="60"/>
      <c r="G610" s="60"/>
      <c r="H610" s="60"/>
    </row>
    <row r="611">
      <c r="F611" s="60"/>
      <c r="G611" s="60"/>
      <c r="H611" s="60"/>
    </row>
    <row r="612">
      <c r="F612" s="60"/>
      <c r="G612" s="60"/>
      <c r="H612" s="60"/>
    </row>
    <row r="613">
      <c r="F613" s="60"/>
      <c r="G613" s="60"/>
      <c r="H613" s="60"/>
    </row>
    <row r="614">
      <c r="F614" s="60"/>
      <c r="G614" s="60"/>
      <c r="H614" s="60"/>
    </row>
    <row r="615">
      <c r="F615" s="60"/>
      <c r="G615" s="60"/>
      <c r="H615" s="60"/>
    </row>
    <row r="616">
      <c r="F616" s="60"/>
      <c r="G616" s="60"/>
      <c r="H616" s="60"/>
    </row>
    <row r="617">
      <c r="F617" s="60"/>
      <c r="G617" s="60"/>
      <c r="H617" s="60"/>
    </row>
    <row r="618">
      <c r="F618" s="60"/>
      <c r="G618" s="60"/>
      <c r="H618" s="60"/>
    </row>
    <row r="619">
      <c r="F619" s="60"/>
      <c r="G619" s="60"/>
      <c r="H619" s="60"/>
    </row>
    <row r="620">
      <c r="F620" s="60"/>
      <c r="G620" s="60"/>
      <c r="H620" s="60"/>
    </row>
    <row r="621">
      <c r="F621" s="60"/>
      <c r="G621" s="60"/>
      <c r="H621" s="60"/>
    </row>
    <row r="622">
      <c r="F622" s="60"/>
      <c r="G622" s="60"/>
      <c r="H622" s="60"/>
    </row>
    <row r="623">
      <c r="F623" s="60"/>
      <c r="G623" s="60"/>
      <c r="H623" s="60"/>
    </row>
    <row r="624">
      <c r="F624" s="60"/>
      <c r="G624" s="60"/>
      <c r="H624" s="60"/>
    </row>
    <row r="625">
      <c r="F625" s="60"/>
      <c r="G625" s="60"/>
      <c r="H625" s="60"/>
    </row>
    <row r="626">
      <c r="F626" s="60"/>
      <c r="G626" s="60"/>
      <c r="H626" s="60"/>
    </row>
    <row r="627">
      <c r="F627" s="60"/>
      <c r="G627" s="60"/>
      <c r="H627" s="60"/>
    </row>
    <row r="628">
      <c r="F628" s="60"/>
      <c r="G628" s="60"/>
      <c r="H628" s="60"/>
    </row>
    <row r="629">
      <c r="F629" s="60"/>
      <c r="G629" s="60"/>
      <c r="H629" s="60"/>
    </row>
    <row r="630">
      <c r="F630" s="60"/>
      <c r="G630" s="60"/>
      <c r="H630" s="60"/>
    </row>
    <row r="631">
      <c r="F631" s="60"/>
      <c r="G631" s="60"/>
      <c r="H631" s="60"/>
    </row>
    <row r="632">
      <c r="F632" s="60"/>
      <c r="G632" s="60"/>
      <c r="H632" s="60"/>
    </row>
    <row r="633">
      <c r="F633" s="60"/>
      <c r="G633" s="60"/>
      <c r="H633" s="60"/>
    </row>
    <row r="634">
      <c r="F634" s="60"/>
      <c r="G634" s="60"/>
      <c r="H634" s="60"/>
    </row>
    <row r="635">
      <c r="F635" s="60"/>
      <c r="G635" s="60"/>
      <c r="H635" s="60"/>
    </row>
    <row r="636">
      <c r="F636" s="60"/>
      <c r="G636" s="60"/>
      <c r="H636" s="60"/>
    </row>
    <row r="637">
      <c r="F637" s="60"/>
      <c r="G637" s="60"/>
      <c r="H637" s="60"/>
    </row>
    <row r="638">
      <c r="F638" s="60"/>
      <c r="G638" s="60"/>
      <c r="H638" s="60"/>
    </row>
    <row r="639">
      <c r="F639" s="60"/>
      <c r="G639" s="60"/>
      <c r="H639" s="60"/>
    </row>
    <row r="640">
      <c r="F640" s="60"/>
      <c r="G640" s="60"/>
      <c r="H640" s="60"/>
    </row>
    <row r="641">
      <c r="F641" s="60"/>
      <c r="G641" s="60"/>
      <c r="H641" s="60"/>
    </row>
    <row r="642">
      <c r="F642" s="60"/>
      <c r="G642" s="60"/>
      <c r="H642" s="60"/>
    </row>
    <row r="643">
      <c r="F643" s="60"/>
      <c r="G643" s="60"/>
      <c r="H643" s="60"/>
    </row>
    <row r="644">
      <c r="F644" s="60"/>
      <c r="G644" s="60"/>
      <c r="H644" s="60"/>
    </row>
    <row r="645">
      <c r="F645" s="60"/>
      <c r="G645" s="60"/>
      <c r="H645" s="60"/>
    </row>
    <row r="646">
      <c r="F646" s="60"/>
      <c r="G646" s="60"/>
      <c r="H646" s="60"/>
    </row>
    <row r="647">
      <c r="F647" s="60"/>
      <c r="G647" s="60"/>
      <c r="H647" s="60"/>
    </row>
    <row r="648">
      <c r="F648" s="60"/>
      <c r="G648" s="60"/>
      <c r="H648" s="60"/>
    </row>
    <row r="649">
      <c r="F649" s="60"/>
      <c r="G649" s="60"/>
      <c r="H649" s="60"/>
    </row>
    <row r="650">
      <c r="F650" s="60"/>
      <c r="G650" s="60"/>
      <c r="H650" s="60"/>
    </row>
    <row r="651">
      <c r="F651" s="60"/>
      <c r="G651" s="60"/>
      <c r="H651" s="60"/>
    </row>
    <row r="652">
      <c r="F652" s="60"/>
      <c r="G652" s="60"/>
      <c r="H652" s="60"/>
    </row>
    <row r="653">
      <c r="F653" s="60"/>
      <c r="G653" s="60"/>
      <c r="H653" s="60"/>
    </row>
    <row r="654">
      <c r="F654" s="60"/>
      <c r="G654" s="60"/>
      <c r="H654" s="60"/>
    </row>
    <row r="655">
      <c r="F655" s="60"/>
      <c r="G655" s="60"/>
      <c r="H655" s="60"/>
    </row>
    <row r="656">
      <c r="F656" s="60"/>
      <c r="G656" s="60"/>
      <c r="H656" s="60"/>
    </row>
    <row r="657">
      <c r="F657" s="60"/>
      <c r="G657" s="60"/>
      <c r="H657" s="60"/>
    </row>
    <row r="658">
      <c r="F658" s="60"/>
      <c r="G658" s="60"/>
      <c r="H658" s="60"/>
    </row>
    <row r="659">
      <c r="F659" s="60"/>
      <c r="G659" s="60"/>
      <c r="H659" s="60"/>
    </row>
    <row r="660">
      <c r="F660" s="60"/>
      <c r="G660" s="60"/>
      <c r="H660" s="60"/>
    </row>
    <row r="661">
      <c r="F661" s="60"/>
      <c r="G661" s="60"/>
      <c r="H661" s="60"/>
    </row>
    <row r="662">
      <c r="F662" s="60"/>
      <c r="G662" s="60"/>
      <c r="H662" s="60"/>
    </row>
    <row r="663">
      <c r="F663" s="60"/>
      <c r="G663" s="60"/>
      <c r="H663" s="60"/>
    </row>
    <row r="664">
      <c r="F664" s="60"/>
      <c r="G664" s="60"/>
      <c r="H664" s="60"/>
    </row>
    <row r="665">
      <c r="F665" s="60"/>
      <c r="G665" s="60"/>
      <c r="H665" s="60"/>
    </row>
    <row r="666">
      <c r="F666" s="60"/>
      <c r="G666" s="60"/>
      <c r="H666" s="60"/>
    </row>
    <row r="667">
      <c r="F667" s="60"/>
      <c r="G667" s="60"/>
      <c r="H667" s="60"/>
    </row>
    <row r="668">
      <c r="F668" s="60"/>
      <c r="G668" s="60"/>
      <c r="H668" s="60"/>
    </row>
    <row r="669">
      <c r="F669" s="60"/>
      <c r="G669" s="60"/>
      <c r="H669" s="60"/>
    </row>
    <row r="670">
      <c r="F670" s="60"/>
      <c r="G670" s="60"/>
      <c r="H670" s="60"/>
    </row>
    <row r="671">
      <c r="F671" s="60"/>
      <c r="G671" s="60"/>
      <c r="H671" s="60"/>
    </row>
    <row r="672">
      <c r="F672" s="60"/>
      <c r="G672" s="60"/>
      <c r="H672" s="60"/>
    </row>
    <row r="673">
      <c r="F673" s="60"/>
      <c r="G673" s="60"/>
      <c r="H673" s="60"/>
    </row>
    <row r="674">
      <c r="F674" s="60"/>
      <c r="G674" s="60"/>
      <c r="H674" s="60"/>
    </row>
    <row r="675">
      <c r="F675" s="60"/>
      <c r="G675" s="60"/>
      <c r="H675" s="60"/>
    </row>
    <row r="676">
      <c r="F676" s="60"/>
      <c r="G676" s="60"/>
      <c r="H676" s="60"/>
    </row>
    <row r="677">
      <c r="F677" s="60"/>
      <c r="G677" s="60"/>
      <c r="H677" s="60"/>
    </row>
    <row r="678">
      <c r="F678" s="60"/>
      <c r="G678" s="60"/>
      <c r="H678" s="60"/>
    </row>
    <row r="679">
      <c r="F679" s="60"/>
      <c r="G679" s="60"/>
      <c r="H679" s="60"/>
    </row>
    <row r="680">
      <c r="F680" s="60"/>
      <c r="G680" s="60"/>
      <c r="H680" s="60"/>
    </row>
    <row r="681">
      <c r="F681" s="60"/>
      <c r="G681" s="60"/>
      <c r="H681" s="60"/>
    </row>
    <row r="682">
      <c r="F682" s="60"/>
      <c r="G682" s="60"/>
      <c r="H682" s="60"/>
    </row>
    <row r="683">
      <c r="F683" s="60"/>
      <c r="G683" s="60"/>
      <c r="H683" s="60"/>
    </row>
    <row r="684">
      <c r="F684" s="60"/>
      <c r="G684" s="60"/>
      <c r="H684" s="60"/>
    </row>
    <row r="685">
      <c r="F685" s="60"/>
      <c r="G685" s="60"/>
      <c r="H685" s="60"/>
    </row>
    <row r="686">
      <c r="F686" s="60"/>
      <c r="G686" s="60"/>
      <c r="H686" s="60"/>
    </row>
    <row r="687">
      <c r="F687" s="60"/>
      <c r="G687" s="60"/>
      <c r="H687" s="60"/>
    </row>
    <row r="688">
      <c r="F688" s="60"/>
      <c r="G688" s="60"/>
      <c r="H688" s="60"/>
    </row>
    <row r="689">
      <c r="F689" s="60"/>
      <c r="G689" s="60"/>
      <c r="H689" s="60"/>
    </row>
    <row r="690">
      <c r="F690" s="60"/>
      <c r="G690" s="60"/>
      <c r="H690" s="60"/>
    </row>
    <row r="691">
      <c r="F691" s="60"/>
      <c r="G691" s="60"/>
      <c r="H691" s="60"/>
    </row>
    <row r="692">
      <c r="F692" s="60"/>
      <c r="G692" s="60"/>
      <c r="H692" s="60"/>
    </row>
    <row r="693">
      <c r="F693" s="60"/>
      <c r="G693" s="60"/>
      <c r="H693" s="60"/>
    </row>
    <row r="694">
      <c r="F694" s="60"/>
      <c r="G694" s="60"/>
      <c r="H694" s="60"/>
    </row>
    <row r="695">
      <c r="F695" s="60"/>
      <c r="G695" s="60"/>
      <c r="H695" s="60"/>
    </row>
    <row r="696">
      <c r="F696" s="60"/>
      <c r="G696" s="60"/>
      <c r="H696" s="60"/>
    </row>
    <row r="697">
      <c r="F697" s="60"/>
      <c r="G697" s="60"/>
      <c r="H697" s="60"/>
    </row>
    <row r="698">
      <c r="F698" s="60"/>
      <c r="G698" s="60"/>
      <c r="H698" s="60"/>
    </row>
    <row r="699">
      <c r="F699" s="60"/>
      <c r="G699" s="60"/>
      <c r="H699" s="60"/>
    </row>
    <row r="700">
      <c r="F700" s="60"/>
      <c r="G700" s="60"/>
      <c r="H700" s="60"/>
    </row>
    <row r="701">
      <c r="F701" s="60"/>
      <c r="G701" s="60"/>
      <c r="H701" s="60"/>
    </row>
    <row r="702">
      <c r="F702" s="60"/>
      <c r="G702" s="60"/>
      <c r="H702" s="60"/>
    </row>
    <row r="703">
      <c r="F703" s="60"/>
      <c r="G703" s="60"/>
      <c r="H703" s="60"/>
    </row>
    <row r="704">
      <c r="F704" s="60"/>
      <c r="G704" s="60"/>
      <c r="H704" s="60"/>
    </row>
    <row r="705">
      <c r="F705" s="60"/>
      <c r="G705" s="60"/>
      <c r="H705" s="60"/>
    </row>
    <row r="706">
      <c r="F706" s="60"/>
      <c r="G706" s="60"/>
      <c r="H706" s="60"/>
    </row>
    <row r="707">
      <c r="F707" s="60"/>
      <c r="G707" s="60"/>
      <c r="H707" s="60"/>
    </row>
    <row r="708">
      <c r="F708" s="60"/>
      <c r="G708" s="60"/>
      <c r="H708" s="60"/>
    </row>
    <row r="709">
      <c r="F709" s="60"/>
      <c r="G709" s="60"/>
      <c r="H709" s="60"/>
    </row>
    <row r="710">
      <c r="F710" s="60"/>
      <c r="G710" s="60"/>
      <c r="H710" s="60"/>
    </row>
    <row r="711">
      <c r="F711" s="60"/>
      <c r="G711" s="60"/>
      <c r="H711" s="60"/>
    </row>
    <row r="712">
      <c r="F712" s="60"/>
      <c r="G712" s="60"/>
      <c r="H712" s="60"/>
    </row>
    <row r="713">
      <c r="F713" s="60"/>
      <c r="G713" s="60"/>
      <c r="H713" s="60"/>
    </row>
    <row r="714">
      <c r="F714" s="60"/>
      <c r="G714" s="60"/>
      <c r="H714" s="60"/>
    </row>
    <row r="715">
      <c r="F715" s="60"/>
      <c r="G715" s="60"/>
      <c r="H715" s="60"/>
    </row>
    <row r="716">
      <c r="F716" s="60"/>
      <c r="G716" s="60"/>
      <c r="H716" s="60"/>
    </row>
    <row r="717">
      <c r="F717" s="60"/>
      <c r="G717" s="60"/>
      <c r="H717" s="60"/>
    </row>
    <row r="718">
      <c r="F718" s="60"/>
      <c r="G718" s="60"/>
      <c r="H718" s="60"/>
    </row>
    <row r="719">
      <c r="F719" s="60"/>
      <c r="G719" s="60"/>
      <c r="H719" s="60"/>
    </row>
    <row r="720">
      <c r="F720" s="60"/>
      <c r="G720" s="60"/>
      <c r="H720" s="60"/>
    </row>
    <row r="721">
      <c r="F721" s="60"/>
      <c r="G721" s="60"/>
      <c r="H721" s="60"/>
    </row>
    <row r="722">
      <c r="F722" s="60"/>
      <c r="G722" s="60"/>
      <c r="H722" s="60"/>
    </row>
    <row r="723">
      <c r="F723" s="60"/>
      <c r="G723" s="60"/>
      <c r="H723" s="60"/>
    </row>
    <row r="724">
      <c r="F724" s="60"/>
      <c r="G724" s="60"/>
      <c r="H724" s="60"/>
    </row>
    <row r="725">
      <c r="F725" s="60"/>
      <c r="G725" s="60"/>
      <c r="H725" s="60"/>
    </row>
    <row r="726">
      <c r="F726" s="60"/>
      <c r="G726" s="60"/>
      <c r="H726" s="60"/>
    </row>
    <row r="727">
      <c r="F727" s="60"/>
      <c r="G727" s="60"/>
      <c r="H727" s="60"/>
    </row>
    <row r="728">
      <c r="F728" s="60"/>
      <c r="G728" s="60"/>
      <c r="H728" s="60"/>
    </row>
    <row r="729">
      <c r="F729" s="60"/>
      <c r="G729" s="60"/>
      <c r="H729" s="60"/>
    </row>
    <row r="730">
      <c r="F730" s="60"/>
      <c r="G730" s="60"/>
      <c r="H730" s="60"/>
    </row>
    <row r="731">
      <c r="F731" s="60"/>
      <c r="G731" s="60"/>
      <c r="H731" s="60"/>
    </row>
    <row r="732">
      <c r="F732" s="60"/>
      <c r="G732" s="60"/>
      <c r="H732" s="60"/>
    </row>
    <row r="733">
      <c r="F733" s="60"/>
      <c r="G733" s="60"/>
      <c r="H733" s="60"/>
    </row>
    <row r="734">
      <c r="F734" s="60"/>
      <c r="G734" s="60"/>
      <c r="H734" s="60"/>
    </row>
    <row r="735">
      <c r="F735" s="60"/>
      <c r="G735" s="60"/>
      <c r="H735" s="60"/>
    </row>
    <row r="736">
      <c r="F736" s="60"/>
      <c r="G736" s="60"/>
      <c r="H736" s="60"/>
    </row>
    <row r="737">
      <c r="F737" s="60"/>
      <c r="G737" s="60"/>
      <c r="H737" s="60"/>
    </row>
    <row r="738">
      <c r="F738" s="60"/>
      <c r="G738" s="60"/>
      <c r="H738" s="60"/>
    </row>
    <row r="739">
      <c r="F739" s="60"/>
      <c r="G739" s="60"/>
      <c r="H739" s="60"/>
    </row>
    <row r="740">
      <c r="F740" s="60"/>
      <c r="G740" s="60"/>
      <c r="H740" s="60"/>
    </row>
    <row r="741">
      <c r="F741" s="60"/>
      <c r="G741" s="60"/>
      <c r="H741" s="60"/>
    </row>
    <row r="742">
      <c r="F742" s="60"/>
      <c r="G742" s="60"/>
      <c r="H742" s="60"/>
    </row>
    <row r="743">
      <c r="F743" s="60"/>
      <c r="G743" s="60"/>
      <c r="H743" s="60"/>
    </row>
    <row r="744">
      <c r="F744" s="60"/>
      <c r="G744" s="60"/>
      <c r="H744" s="60"/>
    </row>
    <row r="745">
      <c r="F745" s="60"/>
      <c r="G745" s="60"/>
      <c r="H745" s="60"/>
    </row>
    <row r="746">
      <c r="F746" s="60"/>
      <c r="G746" s="60"/>
      <c r="H746" s="60"/>
    </row>
    <row r="747">
      <c r="F747" s="60"/>
      <c r="G747" s="60"/>
      <c r="H747" s="60"/>
    </row>
    <row r="748">
      <c r="F748" s="60"/>
      <c r="G748" s="60"/>
      <c r="H748" s="60"/>
    </row>
    <row r="749">
      <c r="F749" s="60"/>
      <c r="G749" s="60"/>
      <c r="H749" s="60"/>
    </row>
    <row r="750">
      <c r="F750" s="60"/>
      <c r="G750" s="60"/>
      <c r="H750" s="60"/>
    </row>
    <row r="751">
      <c r="F751" s="60"/>
      <c r="G751" s="60"/>
      <c r="H751" s="60"/>
    </row>
    <row r="752">
      <c r="F752" s="60"/>
      <c r="G752" s="60"/>
      <c r="H752" s="60"/>
    </row>
    <row r="753">
      <c r="F753" s="60"/>
      <c r="G753" s="60"/>
      <c r="H753" s="60"/>
    </row>
    <row r="754">
      <c r="F754" s="60"/>
      <c r="G754" s="60"/>
      <c r="H754" s="60"/>
    </row>
    <row r="755">
      <c r="F755" s="60"/>
      <c r="G755" s="60"/>
      <c r="H755" s="60"/>
    </row>
    <row r="756">
      <c r="F756" s="60"/>
      <c r="G756" s="60"/>
      <c r="H756" s="60"/>
    </row>
    <row r="757">
      <c r="F757" s="60"/>
      <c r="G757" s="60"/>
      <c r="H757" s="60"/>
    </row>
    <row r="758">
      <c r="F758" s="60"/>
      <c r="G758" s="60"/>
      <c r="H758" s="60"/>
    </row>
    <row r="759">
      <c r="F759" s="60"/>
      <c r="G759" s="60"/>
      <c r="H759" s="60"/>
    </row>
    <row r="760">
      <c r="F760" s="60"/>
      <c r="G760" s="60"/>
      <c r="H760" s="60"/>
    </row>
    <row r="761">
      <c r="F761" s="60"/>
      <c r="G761" s="60"/>
      <c r="H761" s="60"/>
    </row>
    <row r="762">
      <c r="F762" s="60"/>
      <c r="G762" s="60"/>
      <c r="H762" s="60"/>
    </row>
    <row r="763">
      <c r="F763" s="60"/>
      <c r="G763" s="60"/>
      <c r="H763" s="60"/>
    </row>
    <row r="764">
      <c r="F764" s="60"/>
      <c r="G764" s="60"/>
      <c r="H764" s="60"/>
    </row>
    <row r="765">
      <c r="F765" s="60"/>
      <c r="G765" s="60"/>
      <c r="H765" s="60"/>
    </row>
    <row r="766">
      <c r="F766" s="60"/>
      <c r="G766" s="60"/>
      <c r="H766" s="60"/>
    </row>
    <row r="767">
      <c r="F767" s="60"/>
      <c r="G767" s="60"/>
      <c r="H767" s="60"/>
    </row>
    <row r="768">
      <c r="F768" s="60"/>
      <c r="G768" s="60"/>
      <c r="H768" s="60"/>
    </row>
    <row r="769">
      <c r="F769" s="60"/>
      <c r="G769" s="60"/>
      <c r="H769" s="60"/>
    </row>
    <row r="770">
      <c r="F770" s="60"/>
      <c r="G770" s="60"/>
      <c r="H770" s="60"/>
    </row>
    <row r="771">
      <c r="F771" s="60"/>
      <c r="G771" s="60"/>
      <c r="H771" s="60"/>
    </row>
    <row r="772">
      <c r="F772" s="60"/>
      <c r="G772" s="60"/>
      <c r="H772" s="60"/>
    </row>
    <row r="773">
      <c r="F773" s="60"/>
      <c r="G773" s="60"/>
      <c r="H773" s="60"/>
    </row>
    <row r="774">
      <c r="F774" s="60"/>
      <c r="G774" s="60"/>
      <c r="H774" s="60"/>
    </row>
    <row r="775">
      <c r="F775" s="60"/>
      <c r="G775" s="60"/>
      <c r="H775" s="60"/>
    </row>
    <row r="776">
      <c r="F776" s="60"/>
      <c r="G776" s="60"/>
      <c r="H776" s="60"/>
    </row>
    <row r="777">
      <c r="F777" s="60"/>
      <c r="G777" s="60"/>
      <c r="H777" s="60"/>
    </row>
    <row r="778">
      <c r="F778" s="60"/>
      <c r="G778" s="60"/>
      <c r="H778" s="60"/>
    </row>
    <row r="779">
      <c r="F779" s="60"/>
      <c r="G779" s="60"/>
      <c r="H779" s="60"/>
    </row>
    <row r="780">
      <c r="F780" s="60"/>
      <c r="G780" s="60"/>
      <c r="H780" s="60"/>
    </row>
    <row r="781">
      <c r="F781" s="60"/>
      <c r="G781" s="60"/>
      <c r="H781" s="60"/>
    </row>
    <row r="782">
      <c r="F782" s="60"/>
      <c r="G782" s="60"/>
      <c r="H782" s="60"/>
    </row>
    <row r="783">
      <c r="F783" s="60"/>
      <c r="G783" s="60"/>
      <c r="H783" s="60"/>
    </row>
    <row r="784">
      <c r="F784" s="60"/>
      <c r="G784" s="60"/>
      <c r="H784" s="60"/>
    </row>
    <row r="785">
      <c r="F785" s="60"/>
      <c r="G785" s="60"/>
      <c r="H785" s="60"/>
    </row>
    <row r="786">
      <c r="F786" s="60"/>
      <c r="G786" s="60"/>
      <c r="H786" s="60"/>
    </row>
    <row r="787">
      <c r="F787" s="60"/>
      <c r="G787" s="60"/>
      <c r="H787" s="60"/>
    </row>
    <row r="788">
      <c r="F788" s="60"/>
      <c r="G788" s="60"/>
      <c r="H788" s="60"/>
    </row>
    <row r="789">
      <c r="F789" s="60"/>
      <c r="G789" s="60"/>
      <c r="H789" s="60"/>
    </row>
    <row r="790">
      <c r="F790" s="60"/>
      <c r="G790" s="60"/>
      <c r="H790" s="60"/>
    </row>
    <row r="791">
      <c r="F791" s="60"/>
      <c r="G791" s="60"/>
      <c r="H791" s="60"/>
    </row>
    <row r="792">
      <c r="F792" s="60"/>
      <c r="G792" s="60"/>
      <c r="H792" s="60"/>
    </row>
    <row r="793">
      <c r="F793" s="60"/>
      <c r="G793" s="60"/>
      <c r="H793" s="60"/>
    </row>
    <row r="794">
      <c r="F794" s="60"/>
      <c r="G794" s="60"/>
      <c r="H794" s="60"/>
    </row>
    <row r="795">
      <c r="F795" s="60"/>
      <c r="G795" s="60"/>
      <c r="H795" s="60"/>
    </row>
    <row r="796">
      <c r="F796" s="60"/>
      <c r="G796" s="60"/>
      <c r="H796" s="60"/>
    </row>
    <row r="797">
      <c r="F797" s="60"/>
      <c r="G797" s="60"/>
      <c r="H797" s="60"/>
    </row>
    <row r="798">
      <c r="F798" s="60"/>
      <c r="G798" s="60"/>
      <c r="H798" s="60"/>
    </row>
    <row r="799">
      <c r="F799" s="60"/>
      <c r="G799" s="60"/>
      <c r="H799" s="60"/>
    </row>
    <row r="800">
      <c r="F800" s="60"/>
      <c r="G800" s="60"/>
      <c r="H800" s="60"/>
    </row>
    <row r="801">
      <c r="F801" s="60"/>
      <c r="G801" s="60"/>
      <c r="H801" s="60"/>
    </row>
    <row r="802">
      <c r="F802" s="60"/>
      <c r="G802" s="60"/>
      <c r="H802" s="60"/>
    </row>
    <row r="803">
      <c r="F803" s="60"/>
      <c r="G803" s="60"/>
      <c r="H803" s="60"/>
    </row>
    <row r="804">
      <c r="F804" s="60"/>
      <c r="G804" s="60"/>
      <c r="H804" s="60"/>
    </row>
    <row r="805">
      <c r="F805" s="60"/>
      <c r="G805" s="60"/>
      <c r="H805" s="60"/>
    </row>
    <row r="806">
      <c r="F806" s="60"/>
      <c r="G806" s="60"/>
      <c r="H806" s="60"/>
    </row>
    <row r="807">
      <c r="F807" s="60"/>
      <c r="G807" s="60"/>
      <c r="H807" s="60"/>
    </row>
    <row r="808">
      <c r="F808" s="60"/>
      <c r="G808" s="60"/>
      <c r="H808" s="60"/>
    </row>
    <row r="809">
      <c r="F809" s="60"/>
      <c r="G809" s="60"/>
      <c r="H809" s="60"/>
    </row>
    <row r="810">
      <c r="F810" s="60"/>
      <c r="G810" s="60"/>
      <c r="H810" s="60"/>
    </row>
    <row r="811">
      <c r="F811" s="60"/>
      <c r="G811" s="60"/>
      <c r="H811" s="60"/>
    </row>
    <row r="812">
      <c r="F812" s="60"/>
      <c r="G812" s="60"/>
      <c r="H812" s="60"/>
    </row>
    <row r="813">
      <c r="F813" s="60"/>
      <c r="G813" s="60"/>
      <c r="H813" s="60"/>
    </row>
    <row r="814">
      <c r="F814" s="60"/>
      <c r="G814" s="60"/>
      <c r="H814" s="60"/>
    </row>
    <row r="815">
      <c r="F815" s="60"/>
      <c r="G815" s="60"/>
      <c r="H815" s="60"/>
    </row>
    <row r="816">
      <c r="F816" s="60"/>
      <c r="G816" s="60"/>
      <c r="H816" s="60"/>
    </row>
    <row r="817">
      <c r="F817" s="60"/>
      <c r="G817" s="60"/>
      <c r="H817" s="60"/>
    </row>
    <row r="818">
      <c r="F818" s="60"/>
      <c r="G818" s="60"/>
      <c r="H818" s="60"/>
    </row>
    <row r="819">
      <c r="F819" s="60"/>
      <c r="G819" s="60"/>
      <c r="H819" s="60"/>
    </row>
    <row r="820">
      <c r="F820" s="60"/>
      <c r="G820" s="60"/>
      <c r="H820" s="60"/>
    </row>
    <row r="821">
      <c r="F821" s="60"/>
      <c r="G821" s="60"/>
      <c r="H821" s="60"/>
    </row>
    <row r="822">
      <c r="F822" s="60"/>
      <c r="G822" s="60"/>
      <c r="H822" s="60"/>
    </row>
    <row r="823">
      <c r="F823" s="60"/>
      <c r="G823" s="60"/>
      <c r="H823" s="60"/>
    </row>
    <row r="824">
      <c r="F824" s="60"/>
      <c r="G824" s="60"/>
      <c r="H824" s="60"/>
    </row>
    <row r="825">
      <c r="F825" s="60"/>
      <c r="G825" s="60"/>
      <c r="H825" s="60"/>
    </row>
    <row r="826">
      <c r="F826" s="60"/>
      <c r="G826" s="60"/>
      <c r="H826" s="60"/>
    </row>
    <row r="827">
      <c r="F827" s="60"/>
      <c r="G827" s="60"/>
      <c r="H827" s="60"/>
    </row>
    <row r="828">
      <c r="F828" s="60"/>
      <c r="G828" s="60"/>
      <c r="H828" s="60"/>
    </row>
    <row r="829">
      <c r="F829" s="60"/>
      <c r="G829" s="60"/>
      <c r="H829" s="60"/>
    </row>
    <row r="830">
      <c r="F830" s="60"/>
      <c r="G830" s="60"/>
      <c r="H830" s="60"/>
    </row>
    <row r="831">
      <c r="F831" s="60"/>
      <c r="G831" s="60"/>
      <c r="H831" s="60"/>
    </row>
    <row r="832">
      <c r="F832" s="60"/>
      <c r="G832" s="60"/>
      <c r="H832" s="60"/>
    </row>
    <row r="833">
      <c r="F833" s="60"/>
      <c r="G833" s="60"/>
      <c r="H833" s="60"/>
    </row>
    <row r="834">
      <c r="F834" s="60"/>
      <c r="G834" s="60"/>
      <c r="H834" s="60"/>
    </row>
    <row r="835">
      <c r="F835" s="60"/>
      <c r="G835" s="60"/>
      <c r="H835" s="60"/>
    </row>
    <row r="836">
      <c r="F836" s="60"/>
      <c r="G836" s="60"/>
      <c r="H836" s="60"/>
    </row>
    <row r="837">
      <c r="F837" s="60"/>
      <c r="G837" s="60"/>
      <c r="H837" s="60"/>
    </row>
    <row r="838">
      <c r="F838" s="60"/>
      <c r="G838" s="60"/>
      <c r="H838" s="60"/>
    </row>
    <row r="839">
      <c r="F839" s="60"/>
      <c r="G839" s="60"/>
      <c r="H839" s="60"/>
    </row>
    <row r="840">
      <c r="F840" s="60"/>
      <c r="G840" s="60"/>
      <c r="H840" s="60"/>
    </row>
    <row r="841">
      <c r="F841" s="60"/>
      <c r="G841" s="60"/>
      <c r="H841" s="60"/>
    </row>
    <row r="842">
      <c r="F842" s="60"/>
      <c r="G842" s="60"/>
      <c r="H842" s="60"/>
    </row>
    <row r="843">
      <c r="F843" s="60"/>
      <c r="G843" s="60"/>
      <c r="H843" s="60"/>
    </row>
    <row r="844">
      <c r="F844" s="60"/>
      <c r="G844" s="60"/>
      <c r="H844" s="60"/>
    </row>
    <row r="845">
      <c r="F845" s="60"/>
      <c r="G845" s="60"/>
      <c r="H845" s="60"/>
    </row>
    <row r="846">
      <c r="F846" s="60"/>
      <c r="G846" s="60"/>
      <c r="H846" s="60"/>
    </row>
    <row r="847">
      <c r="F847" s="60"/>
      <c r="G847" s="60"/>
      <c r="H847" s="60"/>
    </row>
    <row r="848">
      <c r="F848" s="60"/>
      <c r="G848" s="60"/>
      <c r="H848" s="60"/>
    </row>
    <row r="849">
      <c r="F849" s="60"/>
      <c r="G849" s="60"/>
      <c r="H849" s="60"/>
    </row>
    <row r="850">
      <c r="F850" s="60"/>
      <c r="G850" s="60"/>
      <c r="H850" s="60"/>
    </row>
    <row r="851">
      <c r="F851" s="60"/>
      <c r="G851" s="60"/>
      <c r="H851" s="60"/>
    </row>
    <row r="852">
      <c r="F852" s="60"/>
      <c r="G852" s="60"/>
      <c r="H852" s="60"/>
    </row>
    <row r="853">
      <c r="F853" s="60"/>
      <c r="G853" s="60"/>
      <c r="H853" s="60"/>
    </row>
    <row r="854">
      <c r="F854" s="60"/>
      <c r="G854" s="60"/>
      <c r="H854" s="60"/>
    </row>
    <row r="855">
      <c r="F855" s="60"/>
      <c r="G855" s="60"/>
      <c r="H855" s="60"/>
    </row>
    <row r="856">
      <c r="F856" s="60"/>
      <c r="G856" s="60"/>
      <c r="H856" s="60"/>
    </row>
    <row r="857">
      <c r="F857" s="60"/>
      <c r="G857" s="60"/>
      <c r="H857" s="60"/>
    </row>
    <row r="858">
      <c r="F858" s="60"/>
      <c r="G858" s="60"/>
      <c r="H858" s="60"/>
    </row>
    <row r="859">
      <c r="F859" s="60"/>
      <c r="G859" s="60"/>
      <c r="H859" s="60"/>
    </row>
    <row r="860">
      <c r="F860" s="60"/>
      <c r="G860" s="60"/>
      <c r="H860" s="60"/>
    </row>
    <row r="861">
      <c r="F861" s="60"/>
      <c r="G861" s="60"/>
      <c r="H861" s="60"/>
    </row>
    <row r="862">
      <c r="F862" s="60"/>
      <c r="G862" s="60"/>
      <c r="H862" s="60"/>
    </row>
    <row r="863">
      <c r="F863" s="60"/>
      <c r="G863" s="60"/>
      <c r="H863" s="60"/>
    </row>
    <row r="864">
      <c r="F864" s="60"/>
      <c r="G864" s="60"/>
      <c r="H864" s="60"/>
    </row>
    <row r="865">
      <c r="F865" s="60"/>
      <c r="G865" s="60"/>
      <c r="H865" s="60"/>
    </row>
    <row r="866">
      <c r="F866" s="60"/>
      <c r="G866" s="60"/>
      <c r="H866" s="60"/>
    </row>
    <row r="867">
      <c r="F867" s="60"/>
      <c r="G867" s="60"/>
      <c r="H867" s="60"/>
    </row>
    <row r="868">
      <c r="F868" s="60"/>
      <c r="G868" s="60"/>
      <c r="H868" s="60"/>
    </row>
    <row r="869">
      <c r="F869" s="60"/>
      <c r="G869" s="60"/>
      <c r="H869" s="60"/>
    </row>
    <row r="870">
      <c r="F870" s="60"/>
      <c r="G870" s="60"/>
      <c r="H870" s="60"/>
    </row>
    <row r="871">
      <c r="F871" s="60"/>
      <c r="G871" s="60"/>
      <c r="H871" s="60"/>
    </row>
    <row r="872">
      <c r="F872" s="60"/>
      <c r="G872" s="60"/>
      <c r="H872" s="60"/>
    </row>
    <row r="873">
      <c r="F873" s="60"/>
      <c r="G873" s="60"/>
      <c r="H873" s="60"/>
    </row>
    <row r="874">
      <c r="F874" s="60"/>
      <c r="G874" s="60"/>
      <c r="H874" s="60"/>
    </row>
    <row r="875">
      <c r="F875" s="60"/>
      <c r="G875" s="60"/>
      <c r="H875" s="60"/>
    </row>
    <row r="876">
      <c r="F876" s="60"/>
      <c r="G876" s="60"/>
      <c r="H876" s="60"/>
    </row>
    <row r="877">
      <c r="F877" s="60"/>
      <c r="G877" s="60"/>
      <c r="H877" s="60"/>
    </row>
    <row r="878">
      <c r="F878" s="60"/>
      <c r="G878" s="60"/>
      <c r="H878" s="60"/>
    </row>
    <row r="879">
      <c r="F879" s="60"/>
      <c r="G879" s="60"/>
      <c r="H879" s="60"/>
    </row>
    <row r="880">
      <c r="F880" s="60"/>
      <c r="G880" s="60"/>
      <c r="H880" s="60"/>
    </row>
    <row r="881">
      <c r="F881" s="60"/>
      <c r="G881" s="60"/>
      <c r="H881" s="60"/>
    </row>
    <row r="882">
      <c r="F882" s="60"/>
      <c r="G882" s="60"/>
      <c r="H882" s="60"/>
    </row>
    <row r="883">
      <c r="F883" s="60"/>
      <c r="G883" s="60"/>
      <c r="H883" s="60"/>
    </row>
    <row r="884">
      <c r="F884" s="60"/>
      <c r="G884" s="60"/>
      <c r="H884" s="60"/>
    </row>
    <row r="885">
      <c r="F885" s="60"/>
      <c r="G885" s="60"/>
      <c r="H885" s="60"/>
    </row>
    <row r="886">
      <c r="F886" s="60"/>
      <c r="G886" s="60"/>
      <c r="H886" s="60"/>
    </row>
    <row r="887">
      <c r="F887" s="60"/>
      <c r="G887" s="60"/>
      <c r="H887" s="60"/>
    </row>
    <row r="888">
      <c r="F888" s="60"/>
      <c r="G888" s="60"/>
      <c r="H888" s="60"/>
    </row>
    <row r="889">
      <c r="F889" s="60"/>
      <c r="G889" s="60"/>
      <c r="H889" s="60"/>
    </row>
    <row r="890">
      <c r="F890" s="60"/>
      <c r="G890" s="60"/>
      <c r="H890" s="60"/>
    </row>
    <row r="891">
      <c r="F891" s="60"/>
      <c r="G891" s="60"/>
      <c r="H891" s="60"/>
    </row>
    <row r="892">
      <c r="F892" s="60"/>
      <c r="G892" s="60"/>
      <c r="H892" s="60"/>
    </row>
    <row r="893">
      <c r="F893" s="60"/>
      <c r="G893" s="60"/>
      <c r="H893" s="60"/>
    </row>
    <row r="894">
      <c r="F894" s="60"/>
      <c r="G894" s="60"/>
      <c r="H894" s="60"/>
    </row>
    <row r="895">
      <c r="F895" s="60"/>
      <c r="G895" s="60"/>
      <c r="H895" s="60"/>
    </row>
    <row r="896">
      <c r="F896" s="60"/>
      <c r="G896" s="60"/>
      <c r="H896" s="60"/>
    </row>
    <row r="897">
      <c r="F897" s="60"/>
      <c r="G897" s="60"/>
      <c r="H897" s="60"/>
    </row>
    <row r="898">
      <c r="F898" s="60"/>
      <c r="G898" s="60"/>
      <c r="H898" s="60"/>
    </row>
    <row r="899">
      <c r="F899" s="60"/>
      <c r="G899" s="60"/>
      <c r="H899" s="60"/>
    </row>
    <row r="900">
      <c r="F900" s="60"/>
      <c r="G900" s="60"/>
      <c r="H900" s="60"/>
    </row>
    <row r="901">
      <c r="F901" s="60"/>
      <c r="G901" s="60"/>
      <c r="H901" s="60"/>
    </row>
    <row r="902">
      <c r="F902" s="60"/>
      <c r="G902" s="60"/>
      <c r="H902" s="60"/>
    </row>
    <row r="903">
      <c r="F903" s="60"/>
      <c r="G903" s="60"/>
      <c r="H903" s="60"/>
    </row>
    <row r="904">
      <c r="F904" s="60"/>
      <c r="G904" s="60"/>
      <c r="H904" s="60"/>
    </row>
    <row r="905">
      <c r="F905" s="60"/>
      <c r="G905" s="60"/>
      <c r="H905" s="60"/>
    </row>
    <row r="906">
      <c r="F906" s="60"/>
      <c r="G906" s="60"/>
      <c r="H906" s="60"/>
    </row>
    <row r="907">
      <c r="F907" s="60"/>
      <c r="G907" s="60"/>
      <c r="H907" s="60"/>
    </row>
    <row r="908">
      <c r="F908" s="60"/>
      <c r="G908" s="60"/>
      <c r="H908" s="60"/>
    </row>
    <row r="909">
      <c r="F909" s="60"/>
      <c r="G909" s="60"/>
      <c r="H909" s="60"/>
    </row>
    <row r="910">
      <c r="F910" s="60"/>
      <c r="G910" s="60"/>
      <c r="H910" s="60"/>
    </row>
    <row r="911">
      <c r="F911" s="60"/>
      <c r="G911" s="60"/>
      <c r="H911" s="60"/>
    </row>
    <row r="912">
      <c r="F912" s="60"/>
      <c r="G912" s="60"/>
      <c r="H912" s="60"/>
    </row>
    <row r="913">
      <c r="F913" s="60"/>
      <c r="G913" s="60"/>
      <c r="H913" s="60"/>
    </row>
    <row r="914">
      <c r="F914" s="60"/>
      <c r="G914" s="60"/>
      <c r="H914" s="60"/>
    </row>
    <row r="915">
      <c r="F915" s="60"/>
      <c r="G915" s="60"/>
      <c r="H915" s="60"/>
    </row>
    <row r="916">
      <c r="F916" s="60"/>
      <c r="G916" s="60"/>
      <c r="H916" s="60"/>
    </row>
    <row r="917">
      <c r="F917" s="60"/>
      <c r="G917" s="60"/>
      <c r="H917" s="60"/>
    </row>
    <row r="918">
      <c r="F918" s="60"/>
      <c r="G918" s="60"/>
      <c r="H918" s="60"/>
    </row>
    <row r="919">
      <c r="F919" s="60"/>
      <c r="G919" s="60"/>
      <c r="H919" s="60"/>
    </row>
    <row r="920">
      <c r="F920" s="60"/>
      <c r="G920" s="60"/>
      <c r="H920" s="60"/>
    </row>
    <row r="921">
      <c r="F921" s="60"/>
      <c r="G921" s="60"/>
      <c r="H921" s="60"/>
    </row>
    <row r="922">
      <c r="F922" s="60"/>
      <c r="G922" s="60"/>
      <c r="H922" s="60"/>
    </row>
    <row r="923">
      <c r="F923" s="60"/>
      <c r="G923" s="60"/>
      <c r="H923" s="60"/>
    </row>
    <row r="924">
      <c r="F924" s="60"/>
      <c r="G924" s="60"/>
      <c r="H924" s="60"/>
    </row>
    <row r="925">
      <c r="F925" s="60"/>
      <c r="G925" s="60"/>
      <c r="H925" s="60"/>
    </row>
    <row r="926">
      <c r="F926" s="60"/>
      <c r="G926" s="60"/>
      <c r="H926" s="60"/>
    </row>
    <row r="927">
      <c r="F927" s="60"/>
      <c r="G927" s="60"/>
      <c r="H927" s="60"/>
    </row>
    <row r="928">
      <c r="F928" s="60"/>
      <c r="G928" s="60"/>
      <c r="H928" s="60"/>
    </row>
    <row r="929">
      <c r="F929" s="60"/>
      <c r="G929" s="60"/>
      <c r="H929" s="60"/>
    </row>
    <row r="930">
      <c r="F930" s="60"/>
      <c r="G930" s="60"/>
      <c r="H930" s="60"/>
    </row>
    <row r="931">
      <c r="F931" s="60"/>
      <c r="G931" s="60"/>
      <c r="H931" s="60"/>
    </row>
    <row r="932">
      <c r="F932" s="60"/>
      <c r="G932" s="60"/>
      <c r="H932" s="60"/>
    </row>
    <row r="933">
      <c r="F933" s="60"/>
      <c r="G933" s="60"/>
      <c r="H933" s="60"/>
    </row>
    <row r="934">
      <c r="F934" s="60"/>
      <c r="G934" s="60"/>
      <c r="H934" s="60"/>
    </row>
    <row r="935">
      <c r="F935" s="60"/>
      <c r="G935" s="60"/>
      <c r="H935" s="60"/>
    </row>
    <row r="936">
      <c r="F936" s="60"/>
      <c r="G936" s="60"/>
      <c r="H936" s="60"/>
    </row>
    <row r="937">
      <c r="F937" s="60"/>
      <c r="G937" s="60"/>
      <c r="H937" s="60"/>
    </row>
    <row r="938">
      <c r="F938" s="60"/>
      <c r="G938" s="60"/>
      <c r="H938" s="60"/>
    </row>
    <row r="939">
      <c r="F939" s="60"/>
      <c r="G939" s="60"/>
      <c r="H939" s="60"/>
    </row>
    <row r="940">
      <c r="F940" s="60"/>
      <c r="G940" s="60"/>
      <c r="H940" s="60"/>
    </row>
    <row r="941">
      <c r="F941" s="60"/>
      <c r="G941" s="60"/>
      <c r="H941" s="60"/>
    </row>
    <row r="942">
      <c r="F942" s="60"/>
      <c r="G942" s="60"/>
      <c r="H942" s="60"/>
    </row>
    <row r="943">
      <c r="F943" s="60"/>
      <c r="G943" s="60"/>
      <c r="H943" s="60"/>
    </row>
    <row r="944">
      <c r="F944" s="60"/>
      <c r="G944" s="60"/>
      <c r="H944" s="60"/>
    </row>
    <row r="945">
      <c r="F945" s="60"/>
      <c r="G945" s="60"/>
      <c r="H945" s="60"/>
    </row>
    <row r="946">
      <c r="F946" s="60"/>
      <c r="G946" s="60"/>
      <c r="H946" s="60"/>
    </row>
    <row r="947">
      <c r="F947" s="60"/>
      <c r="G947" s="60"/>
      <c r="H947" s="60"/>
    </row>
    <row r="948">
      <c r="F948" s="60"/>
      <c r="G948" s="60"/>
      <c r="H948" s="60"/>
    </row>
    <row r="949">
      <c r="F949" s="60"/>
      <c r="G949" s="60"/>
      <c r="H949" s="60"/>
    </row>
    <row r="950">
      <c r="F950" s="60"/>
      <c r="G950" s="60"/>
      <c r="H950" s="60"/>
    </row>
    <row r="951">
      <c r="F951" s="60"/>
      <c r="G951" s="60"/>
      <c r="H951" s="60"/>
    </row>
    <row r="952">
      <c r="F952" s="60"/>
      <c r="G952" s="60"/>
      <c r="H952" s="60"/>
    </row>
    <row r="953">
      <c r="F953" s="60"/>
      <c r="G953" s="60"/>
      <c r="H953" s="60"/>
    </row>
    <row r="954">
      <c r="F954" s="60"/>
      <c r="G954" s="60"/>
      <c r="H954" s="60"/>
    </row>
    <row r="955">
      <c r="F955" s="60"/>
      <c r="G955" s="60"/>
      <c r="H955" s="60"/>
    </row>
    <row r="956">
      <c r="F956" s="60"/>
      <c r="G956" s="60"/>
      <c r="H956" s="60"/>
    </row>
    <row r="957">
      <c r="F957" s="60"/>
      <c r="G957" s="60"/>
      <c r="H957" s="60"/>
    </row>
    <row r="958">
      <c r="F958" s="60"/>
      <c r="G958" s="60"/>
      <c r="H958" s="60"/>
    </row>
    <row r="959">
      <c r="F959" s="60"/>
      <c r="G959" s="60"/>
      <c r="H959" s="60"/>
    </row>
    <row r="960">
      <c r="F960" s="60"/>
      <c r="G960" s="60"/>
      <c r="H960" s="60"/>
    </row>
    <row r="961">
      <c r="F961" s="60"/>
      <c r="G961" s="60"/>
      <c r="H961" s="60"/>
    </row>
    <row r="962">
      <c r="F962" s="60"/>
      <c r="G962" s="60"/>
      <c r="H962" s="60"/>
    </row>
    <row r="963">
      <c r="F963" s="60"/>
      <c r="G963" s="60"/>
      <c r="H963" s="60"/>
    </row>
    <row r="964">
      <c r="F964" s="60"/>
      <c r="G964" s="60"/>
      <c r="H964" s="60"/>
    </row>
    <row r="965">
      <c r="F965" s="60"/>
      <c r="G965" s="60"/>
      <c r="H965" s="60"/>
    </row>
    <row r="966">
      <c r="F966" s="60"/>
      <c r="G966" s="60"/>
      <c r="H966" s="60"/>
    </row>
    <row r="967">
      <c r="F967" s="60"/>
      <c r="G967" s="60"/>
      <c r="H967" s="60"/>
    </row>
    <row r="968">
      <c r="F968" s="60"/>
      <c r="G968" s="60"/>
      <c r="H968" s="60"/>
    </row>
    <row r="969">
      <c r="F969" s="60"/>
      <c r="G969" s="60"/>
      <c r="H969" s="60"/>
    </row>
    <row r="970">
      <c r="F970" s="60"/>
      <c r="G970" s="60"/>
      <c r="H970" s="60"/>
    </row>
    <row r="971">
      <c r="F971" s="60"/>
      <c r="G971" s="60"/>
      <c r="H971" s="60"/>
    </row>
    <row r="972">
      <c r="F972" s="60"/>
      <c r="G972" s="60"/>
      <c r="H972" s="60"/>
    </row>
    <row r="973">
      <c r="F973" s="60"/>
      <c r="G973" s="60"/>
      <c r="H973" s="60"/>
    </row>
    <row r="974">
      <c r="F974" s="60"/>
      <c r="G974" s="60"/>
      <c r="H974" s="60"/>
    </row>
    <row r="975">
      <c r="F975" s="60"/>
      <c r="G975" s="60"/>
      <c r="H975" s="60"/>
    </row>
    <row r="976">
      <c r="F976" s="60"/>
      <c r="G976" s="60"/>
      <c r="H976" s="60"/>
    </row>
    <row r="977">
      <c r="F977" s="60"/>
      <c r="G977" s="60"/>
      <c r="H977" s="60"/>
    </row>
    <row r="978">
      <c r="F978" s="60"/>
      <c r="G978" s="60"/>
      <c r="H978" s="60"/>
    </row>
    <row r="979">
      <c r="F979" s="60"/>
      <c r="G979" s="60"/>
      <c r="H979" s="60"/>
    </row>
    <row r="980">
      <c r="F980" s="60"/>
      <c r="G980" s="60"/>
      <c r="H980" s="60"/>
    </row>
    <row r="981">
      <c r="F981" s="60"/>
      <c r="G981" s="60"/>
      <c r="H981" s="60"/>
    </row>
    <row r="982">
      <c r="F982" s="60"/>
      <c r="G982" s="60"/>
      <c r="H982" s="60"/>
    </row>
    <row r="983">
      <c r="F983" s="60"/>
      <c r="G983" s="60"/>
      <c r="H983" s="60"/>
    </row>
    <row r="984">
      <c r="F984" s="60"/>
      <c r="G984" s="60"/>
      <c r="H984" s="60"/>
    </row>
    <row r="985">
      <c r="F985" s="60"/>
      <c r="G985" s="60"/>
      <c r="H985" s="60"/>
    </row>
    <row r="986">
      <c r="F986" s="60"/>
      <c r="G986" s="60"/>
      <c r="H986" s="60"/>
    </row>
    <row r="987">
      <c r="F987" s="60"/>
      <c r="G987" s="60"/>
      <c r="H987" s="60"/>
    </row>
    <row r="988">
      <c r="F988" s="60"/>
      <c r="G988" s="60"/>
      <c r="H988" s="60"/>
    </row>
    <row r="989">
      <c r="F989" s="60"/>
      <c r="G989" s="60"/>
      <c r="H989" s="60"/>
    </row>
    <row r="990">
      <c r="F990" s="60"/>
      <c r="G990" s="60"/>
      <c r="H990" s="60"/>
    </row>
    <row r="991">
      <c r="F991" s="60"/>
      <c r="G991" s="60"/>
      <c r="H991" s="60"/>
    </row>
    <row r="992">
      <c r="F992" s="60"/>
      <c r="G992" s="60"/>
      <c r="H992" s="60"/>
    </row>
    <row r="993">
      <c r="F993" s="60"/>
      <c r="G993" s="60"/>
      <c r="H993" s="60"/>
    </row>
    <row r="994">
      <c r="F994" s="60"/>
      <c r="G994" s="60"/>
      <c r="H994" s="60"/>
    </row>
    <row r="995">
      <c r="F995" s="60"/>
      <c r="G995" s="60"/>
      <c r="H995" s="60"/>
    </row>
    <row r="996">
      <c r="F996" s="60"/>
      <c r="G996" s="60"/>
      <c r="H996" s="60"/>
    </row>
    <row r="997">
      <c r="F997" s="60"/>
      <c r="G997" s="60"/>
      <c r="H997" s="60"/>
    </row>
    <row r="998">
      <c r="F998" s="60"/>
      <c r="G998" s="60"/>
      <c r="H998" s="60"/>
    </row>
    <row r="999">
      <c r="F999" s="60"/>
      <c r="G999" s="60"/>
      <c r="H999" s="60"/>
    </row>
    <row r="1000">
      <c r="F1000" s="60"/>
      <c r="G1000" s="60"/>
      <c r="H1000" s="60"/>
    </row>
    <row r="1001">
      <c r="F1001" s="60"/>
      <c r="G1001" s="60"/>
      <c r="H1001" s="60"/>
    </row>
    <row r="1002">
      <c r="F1002" s="60"/>
      <c r="G1002" s="60"/>
      <c r="H1002" s="60"/>
    </row>
    <row r="1003">
      <c r="F1003" s="60"/>
      <c r="G1003" s="60"/>
      <c r="H1003" s="60"/>
    </row>
    <row r="1004">
      <c r="F1004" s="60"/>
      <c r="G1004" s="60"/>
      <c r="H1004" s="60"/>
    </row>
  </sheetData>
  <conditionalFormatting sqref="F17">
    <cfRule type="notContainsBlanks" dxfId="4" priority="1">
      <formula>LEN(TRIM(F17))&gt;0</formula>
    </cfRule>
  </conditionalFormatting>
  <conditionalFormatting sqref="D2:F32 H2:H32 J2:Y32 AE2:AE32">
    <cfRule type="expression" dxfId="5" priority="2">
      <formula>SUM( $N2:$Y2)&gt;0</formula>
    </cfRule>
  </conditionalFormatting>
  <conditionalFormatting sqref="AE11">
    <cfRule type="notContainsBlanks" dxfId="6" priority="3">
      <formula>LEN(TRIM(AE11))&gt;0</formula>
    </cfRule>
  </conditionalFormatting>
  <conditionalFormatting sqref="AD2:AD32">
    <cfRule type="colorScale" priority="4">
      <colorScale>
        <cfvo type="min"/>
        <cfvo type="max"/>
        <color rgb="FF999999"/>
        <color rgb="FFFFFFFF"/>
      </colorScale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13"/>
    <col customWidth="1" min="2" max="2" width="7.63"/>
    <col customWidth="1" min="3" max="3" width="6.63"/>
    <col customWidth="1" min="4" max="4" width="13.25"/>
    <col customWidth="1" min="5" max="5" width="9.0"/>
    <col customWidth="1" min="6" max="7" width="9.25"/>
    <col customWidth="1" min="8" max="8" width="8.88"/>
    <col customWidth="1" min="9" max="9" width="8.63"/>
    <col customWidth="1" min="10" max="10" width="5.63"/>
    <col customWidth="1" min="11" max="11" width="6.25"/>
    <col customWidth="1" min="12" max="12" width="6.13"/>
    <col customWidth="1" min="13" max="13" width="21.5"/>
    <col customWidth="1" min="14" max="14" width="7.88"/>
    <col customWidth="1" min="15" max="15" width="8.0"/>
    <col customWidth="1" min="16" max="16" width="8.63"/>
    <col customWidth="1" min="17" max="17" width="8.5"/>
    <col customWidth="1" min="18" max="18" width="7.88"/>
    <col customWidth="1" min="19" max="19" width="8.88"/>
    <col customWidth="1" min="20" max="20" width="9.25"/>
    <col customWidth="1" min="21" max="21" width="8.75"/>
    <col customWidth="1" min="22" max="22" width="9.0"/>
    <col customWidth="1" min="23" max="23" width="7.88"/>
    <col customWidth="1" min="24" max="24" width="7.5"/>
    <col customWidth="1" min="25" max="25" width="6.63"/>
    <col customWidth="1" min="26" max="26" width="5.63"/>
    <col customWidth="1" min="27" max="27" width="5.75"/>
    <col customWidth="1" min="28" max="28" width="12.13"/>
    <col customWidth="1" min="29" max="29" width="14.63"/>
    <col customWidth="1" hidden="1" min="30" max="30" width="6.38"/>
    <col customWidth="1" min="31" max="31" width="50.38"/>
  </cols>
  <sheetData>
    <row r="1">
      <c r="A1" s="3" t="s">
        <v>74</v>
      </c>
      <c r="B1" s="3" t="s">
        <v>1</v>
      </c>
      <c r="C1" s="3" t="s">
        <v>2</v>
      </c>
      <c r="D1" s="3" t="s">
        <v>3</v>
      </c>
      <c r="E1" s="61" t="s">
        <v>4</v>
      </c>
      <c r="F1" s="3" t="s">
        <v>5</v>
      </c>
      <c r="G1" s="3" t="s">
        <v>6</v>
      </c>
      <c r="H1" s="3" t="s">
        <v>7</v>
      </c>
      <c r="I1" s="61" t="s">
        <v>75</v>
      </c>
      <c r="J1" s="61" t="s">
        <v>9</v>
      </c>
      <c r="K1" s="61" t="s">
        <v>76</v>
      </c>
      <c r="L1" s="61" t="s">
        <v>77</v>
      </c>
      <c r="M1" s="3" t="s">
        <v>12</v>
      </c>
      <c r="N1" s="62" t="s">
        <v>13</v>
      </c>
      <c r="O1" s="62" t="s">
        <v>14</v>
      </c>
      <c r="P1" s="62" t="s">
        <v>78</v>
      </c>
      <c r="Q1" s="62" t="s">
        <v>79</v>
      </c>
      <c r="R1" s="62" t="s">
        <v>80</v>
      </c>
      <c r="S1" s="62" t="s">
        <v>81</v>
      </c>
      <c r="T1" s="62" t="s">
        <v>82</v>
      </c>
      <c r="U1" s="62" t="s">
        <v>83</v>
      </c>
      <c r="V1" s="62" t="s">
        <v>84</v>
      </c>
      <c r="W1" s="62" t="s">
        <v>85</v>
      </c>
      <c r="X1" s="62" t="s">
        <v>86</v>
      </c>
      <c r="Y1" s="62" t="s">
        <v>87</v>
      </c>
      <c r="Z1" s="61" t="s">
        <v>88</v>
      </c>
      <c r="AA1" s="61" t="s">
        <v>89</v>
      </c>
      <c r="AB1" s="61" t="s">
        <v>27</v>
      </c>
      <c r="AC1" s="61" t="s">
        <v>28</v>
      </c>
      <c r="AD1" s="62" t="s">
        <v>29</v>
      </c>
      <c r="AE1" s="61" t="s">
        <v>30</v>
      </c>
      <c r="AF1" s="63"/>
      <c r="AG1" s="63"/>
      <c r="AH1" s="63"/>
      <c r="AI1" s="63"/>
      <c r="AJ1" s="63"/>
      <c r="AK1" s="63"/>
      <c r="AL1" s="64"/>
      <c r="AM1" s="64"/>
      <c r="AN1" s="64"/>
      <c r="AO1" s="64"/>
      <c r="AP1" s="64"/>
      <c r="AQ1" s="64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</row>
    <row r="2">
      <c r="A2" s="17">
        <v>43556.0</v>
      </c>
      <c r="B2" s="6">
        <v>1939.0</v>
      </c>
      <c r="C2" s="6">
        <v>2009.0</v>
      </c>
      <c r="D2" s="66" t="str">
        <f>choose(weekday(A2),"Fred/Phil", "Jane/Murr", "Tom","Sue/Anne","Shawn/Orems","Jeff", "Rob")</f>
        <v>Jane/Murr</v>
      </c>
      <c r="E2" s="7" t="s">
        <v>40</v>
      </c>
      <c r="F2" s="24">
        <v>0.8125</v>
      </c>
      <c r="G2" s="67">
        <v>43556.0</v>
      </c>
      <c r="H2" s="9">
        <v>0.8854166666666666</v>
      </c>
      <c r="I2" s="11">
        <f t="shared" ref="I2:I31" si="1">iferror(24*( DATEDIF(A2,G2,"D")+TIMEVALUE(H2)-TIMEVALUE(F2)),0)</f>
        <v>1.75</v>
      </c>
      <c r="J2" s="7">
        <v>3.25</v>
      </c>
      <c r="K2" s="7">
        <v>63.4</v>
      </c>
      <c r="L2" s="7">
        <v>60.0</v>
      </c>
      <c r="M2" s="7" t="s">
        <v>90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2.0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13">
        <f t="shared" ref="Z2:Z31" si="2">sum(N2:Q2)</f>
        <v>0</v>
      </c>
      <c r="AA2" s="13">
        <f t="shared" ref="AA2:AA31" si="3">sum(R2:V2)</f>
        <v>2</v>
      </c>
      <c r="AB2" s="14">
        <f t="shared" ref="AB2:AB31" si="4">sum(N2:O2)</f>
        <v>0</v>
      </c>
      <c r="AC2" s="14">
        <f t="shared" ref="AC2:AC31" si="5">sum(R2:S2,V2)</f>
        <v>2</v>
      </c>
      <c r="AD2" s="15">
        <v>0.15</v>
      </c>
      <c r="AE2" s="68" t="s">
        <v>91</v>
      </c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</row>
    <row r="3">
      <c r="A3" s="17">
        <v>43557.0</v>
      </c>
      <c r="B3" s="6">
        <v>1940.0</v>
      </c>
      <c r="C3" s="6">
        <v>2010.0</v>
      </c>
      <c r="D3" s="66" t="s">
        <v>92</v>
      </c>
      <c r="E3" s="7" t="s">
        <v>46</v>
      </c>
      <c r="F3" s="24">
        <v>0.8125</v>
      </c>
      <c r="G3" s="67">
        <v>43557.0</v>
      </c>
      <c r="H3" s="19">
        <v>0.9583333333333334</v>
      </c>
      <c r="I3" s="11">
        <f t="shared" si="1"/>
        <v>3.5</v>
      </c>
      <c r="J3" s="21">
        <v>16.75</v>
      </c>
      <c r="K3" s="21">
        <v>56.0</v>
      </c>
      <c r="L3" s="21">
        <v>52.0</v>
      </c>
      <c r="M3" s="21"/>
      <c r="N3" s="21">
        <v>0.0</v>
      </c>
      <c r="O3" s="21">
        <v>0.0</v>
      </c>
      <c r="P3" s="21">
        <v>0.0</v>
      </c>
      <c r="Q3" s="21">
        <v>0.0</v>
      </c>
      <c r="R3" s="21">
        <v>17.0</v>
      </c>
      <c r="S3" s="21">
        <v>279.0</v>
      </c>
      <c r="T3" s="21">
        <v>0.0</v>
      </c>
      <c r="U3" s="21">
        <v>0.0</v>
      </c>
      <c r="V3" s="21">
        <v>2.0</v>
      </c>
      <c r="W3" s="21">
        <v>0.0</v>
      </c>
      <c r="X3" s="21">
        <v>0.0</v>
      </c>
      <c r="Y3" s="21">
        <v>0.0</v>
      </c>
      <c r="Z3" s="13">
        <f t="shared" si="2"/>
        <v>0</v>
      </c>
      <c r="AA3" s="13">
        <f t="shared" si="3"/>
        <v>298</v>
      </c>
      <c r="AB3" s="14">
        <f t="shared" si="4"/>
        <v>0</v>
      </c>
      <c r="AC3" s="14">
        <f t="shared" si="5"/>
        <v>298</v>
      </c>
      <c r="AD3" s="15">
        <v>0.09</v>
      </c>
      <c r="AE3" s="70" t="s">
        <v>93</v>
      </c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</row>
    <row r="4">
      <c r="A4" s="17">
        <v>43558.0</v>
      </c>
      <c r="B4" s="6">
        <v>1941.0</v>
      </c>
      <c r="C4" s="6">
        <v>2011.0</v>
      </c>
      <c r="D4" s="66" t="str">
        <f t="shared" ref="D4:D31" si="6">choose(weekday(A4),"Fred/Phil", "Jane/Murr", "Tom","Sue/Anne","Shawn/Orems","Jeff", "Rob")</f>
        <v>Sue/Anne</v>
      </c>
      <c r="E4" s="7" t="s">
        <v>40</v>
      </c>
      <c r="F4" s="24">
        <v>0.8125</v>
      </c>
      <c r="G4" s="67">
        <v>43558.0</v>
      </c>
      <c r="H4" s="9">
        <v>0.875</v>
      </c>
      <c r="I4" s="11">
        <f t="shared" si="1"/>
        <v>1.5</v>
      </c>
      <c r="J4" s="7">
        <v>2.65</v>
      </c>
      <c r="K4" s="7">
        <v>49.0</v>
      </c>
      <c r="L4" s="7">
        <v>47.0</v>
      </c>
      <c r="M4" s="7" t="s">
        <v>94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13">
        <f t="shared" si="2"/>
        <v>0</v>
      </c>
      <c r="AA4" s="13">
        <f t="shared" si="3"/>
        <v>0</v>
      </c>
      <c r="AB4" s="14">
        <f t="shared" si="4"/>
        <v>0</v>
      </c>
      <c r="AC4" s="14">
        <f t="shared" si="5"/>
        <v>0</v>
      </c>
      <c r="AD4" s="15">
        <v>0.04</v>
      </c>
      <c r="AE4" s="68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</row>
    <row r="5">
      <c r="A5" s="25">
        <v>43559.0</v>
      </c>
      <c r="B5" s="6">
        <v>1943.0</v>
      </c>
      <c r="C5" s="6">
        <v>2013.0</v>
      </c>
      <c r="D5" s="66" t="str">
        <f t="shared" si="6"/>
        <v>Shawn/Orems</v>
      </c>
      <c r="E5" s="7" t="s">
        <v>40</v>
      </c>
      <c r="F5" s="24">
        <v>0.8229166666666666</v>
      </c>
      <c r="G5" s="67">
        <v>43559.0</v>
      </c>
      <c r="H5" s="19">
        <v>0.9583333333333334</v>
      </c>
      <c r="I5" s="11">
        <f t="shared" si="1"/>
        <v>3.25</v>
      </c>
      <c r="J5" s="21">
        <v>10.5</v>
      </c>
      <c r="K5" s="21">
        <v>54.0</v>
      </c>
      <c r="L5" s="21">
        <v>52.0</v>
      </c>
      <c r="M5" s="21" t="s">
        <v>95</v>
      </c>
      <c r="N5" s="21">
        <v>0.0</v>
      </c>
      <c r="O5" s="21">
        <v>0.0</v>
      </c>
      <c r="P5" s="21">
        <v>0.0</v>
      </c>
      <c r="Q5" s="21">
        <v>0.0</v>
      </c>
      <c r="R5" s="21">
        <v>0.0</v>
      </c>
      <c r="S5" s="21">
        <v>10.0</v>
      </c>
      <c r="T5" s="21">
        <v>0.0</v>
      </c>
      <c r="U5" s="21">
        <v>0.0</v>
      </c>
      <c r="V5" s="21">
        <v>3.0</v>
      </c>
      <c r="W5" s="21">
        <v>0.0</v>
      </c>
      <c r="X5" s="21">
        <v>0.0</v>
      </c>
      <c r="Y5" s="21">
        <v>0.0</v>
      </c>
      <c r="Z5" s="13">
        <f t="shared" si="2"/>
        <v>0</v>
      </c>
      <c r="AA5" s="13">
        <f t="shared" si="3"/>
        <v>13</v>
      </c>
      <c r="AB5" s="14">
        <f t="shared" si="4"/>
        <v>0</v>
      </c>
      <c r="AC5" s="14">
        <f t="shared" si="5"/>
        <v>13</v>
      </c>
      <c r="AD5" s="15">
        <v>0.01</v>
      </c>
      <c r="AE5" s="70" t="s">
        <v>96</v>
      </c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</row>
    <row r="6">
      <c r="A6" s="72">
        <v>43560.0</v>
      </c>
      <c r="B6" s="73">
        <v>1944.0</v>
      </c>
      <c r="C6" s="73">
        <v>2014.0</v>
      </c>
      <c r="D6" s="74" t="str">
        <f t="shared" si="6"/>
        <v>Jeff</v>
      </c>
      <c r="E6" s="75" t="s">
        <v>40</v>
      </c>
      <c r="F6" s="76">
        <v>0.7916666666666666</v>
      </c>
      <c r="G6" s="77">
        <v>43561.0</v>
      </c>
      <c r="H6" s="78">
        <v>0.0</v>
      </c>
      <c r="I6" s="79">
        <f t="shared" si="1"/>
        <v>5</v>
      </c>
      <c r="J6" s="75">
        <v>21.5</v>
      </c>
      <c r="K6" s="75">
        <v>48.6</v>
      </c>
      <c r="L6" s="75">
        <v>45.0</v>
      </c>
      <c r="M6" s="80" t="s">
        <v>97</v>
      </c>
      <c r="N6" s="75">
        <v>0.0</v>
      </c>
      <c r="O6" s="75">
        <v>0.0</v>
      </c>
      <c r="P6" s="75">
        <v>0.0</v>
      </c>
      <c r="Q6" s="75">
        <v>0.0</v>
      </c>
      <c r="R6" s="75">
        <v>0.0</v>
      </c>
      <c r="S6" s="75">
        <v>2.0</v>
      </c>
      <c r="T6" s="75">
        <v>0.0</v>
      </c>
      <c r="U6" s="75">
        <v>0.0</v>
      </c>
      <c r="V6" s="75">
        <v>0.0</v>
      </c>
      <c r="W6" s="75">
        <v>0.0</v>
      </c>
      <c r="X6" s="75">
        <v>0.0</v>
      </c>
      <c r="Y6" s="75">
        <v>0.0</v>
      </c>
      <c r="Z6" s="81">
        <f t="shared" si="2"/>
        <v>0</v>
      </c>
      <c r="AA6" s="81">
        <f t="shared" si="3"/>
        <v>2</v>
      </c>
      <c r="AB6" s="82">
        <f t="shared" si="4"/>
        <v>0</v>
      </c>
      <c r="AC6" s="82">
        <f t="shared" si="5"/>
        <v>2</v>
      </c>
      <c r="AD6" s="83">
        <v>0.0</v>
      </c>
      <c r="AE6" s="80" t="s">
        <v>98</v>
      </c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</row>
    <row r="7">
      <c r="A7" s="25">
        <v>43561.0</v>
      </c>
      <c r="B7" s="6">
        <v>1945.0</v>
      </c>
      <c r="C7" s="6">
        <v>2015.0</v>
      </c>
      <c r="D7" s="66" t="str">
        <f t="shared" si="6"/>
        <v>Rob</v>
      </c>
      <c r="E7" s="7" t="s">
        <v>46</v>
      </c>
      <c r="F7" s="24">
        <v>0.8229166666666666</v>
      </c>
      <c r="G7" s="67">
        <v>43561.0</v>
      </c>
      <c r="H7" s="19">
        <v>0.8541666666666666</v>
      </c>
      <c r="I7" s="11">
        <f t="shared" si="1"/>
        <v>0.75</v>
      </c>
      <c r="J7" s="21">
        <v>3.75</v>
      </c>
      <c r="K7" s="21">
        <v>51.0</v>
      </c>
      <c r="L7" s="21">
        <v>50.0</v>
      </c>
      <c r="M7" s="70" t="s">
        <v>99</v>
      </c>
      <c r="N7" s="21">
        <v>0.0</v>
      </c>
      <c r="O7" s="21">
        <v>0.0</v>
      </c>
      <c r="P7" s="21">
        <v>0.0</v>
      </c>
      <c r="Q7" s="21">
        <v>0.0</v>
      </c>
      <c r="R7" s="21">
        <v>0.0</v>
      </c>
      <c r="S7" s="21">
        <v>0.0</v>
      </c>
      <c r="T7" s="21">
        <v>0.0</v>
      </c>
      <c r="U7" s="21">
        <v>0.0</v>
      </c>
      <c r="V7" s="21">
        <v>0.0</v>
      </c>
      <c r="W7" s="21">
        <v>0.0</v>
      </c>
      <c r="X7" s="21">
        <v>0.0</v>
      </c>
      <c r="Y7" s="21">
        <v>0.0</v>
      </c>
      <c r="Z7" s="13">
        <f t="shared" si="2"/>
        <v>0</v>
      </c>
      <c r="AA7" s="13">
        <f t="shared" si="3"/>
        <v>0</v>
      </c>
      <c r="AB7" s="14">
        <f t="shared" si="4"/>
        <v>0</v>
      </c>
      <c r="AC7" s="14">
        <f t="shared" si="5"/>
        <v>0</v>
      </c>
      <c r="AD7" s="15">
        <v>0.01</v>
      </c>
      <c r="AE7" s="70" t="s">
        <v>100</v>
      </c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</row>
    <row r="8">
      <c r="A8" s="23">
        <v>43562.0</v>
      </c>
      <c r="B8" s="6">
        <v>1946.0</v>
      </c>
      <c r="C8" s="6">
        <v>2017.0</v>
      </c>
      <c r="D8" s="66" t="str">
        <f t="shared" si="6"/>
        <v>Fred/Phil</v>
      </c>
      <c r="E8" s="7" t="s">
        <v>40</v>
      </c>
      <c r="F8" s="24">
        <v>0.8125</v>
      </c>
      <c r="G8" s="67">
        <v>43562.0</v>
      </c>
      <c r="H8" s="9">
        <v>0.875</v>
      </c>
      <c r="I8" s="11">
        <f t="shared" si="1"/>
        <v>1.5</v>
      </c>
      <c r="J8" s="7">
        <v>3.0</v>
      </c>
      <c r="K8" s="7">
        <v>50.0</v>
      </c>
      <c r="L8" s="7">
        <v>47.0</v>
      </c>
      <c r="M8" s="68" t="s">
        <v>101</v>
      </c>
      <c r="N8" s="7">
        <v>0.0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0.0</v>
      </c>
      <c r="Y8" s="7">
        <v>2.0</v>
      </c>
      <c r="Z8" s="13">
        <f t="shared" si="2"/>
        <v>0</v>
      </c>
      <c r="AA8" s="13">
        <f t="shared" si="3"/>
        <v>0</v>
      </c>
      <c r="AB8" s="14">
        <f t="shared" si="4"/>
        <v>0</v>
      </c>
      <c r="AC8" s="14">
        <f t="shared" si="5"/>
        <v>0</v>
      </c>
      <c r="AD8" s="15">
        <v>0.04</v>
      </c>
      <c r="AE8" s="68" t="s">
        <v>102</v>
      </c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</row>
    <row r="9">
      <c r="A9" s="23">
        <v>43563.0</v>
      </c>
      <c r="B9" s="6">
        <v>1948.0</v>
      </c>
      <c r="C9" s="6">
        <v>2018.0</v>
      </c>
      <c r="D9" s="66" t="str">
        <f t="shared" si="6"/>
        <v>Jane/Murr</v>
      </c>
      <c r="E9" s="7" t="s">
        <v>40</v>
      </c>
      <c r="F9" s="24">
        <v>0.8229166666666666</v>
      </c>
      <c r="G9" s="67">
        <v>43563.0</v>
      </c>
      <c r="H9" s="19">
        <v>0.8854166666666666</v>
      </c>
      <c r="I9" s="11">
        <f t="shared" si="1"/>
        <v>1.5</v>
      </c>
      <c r="J9" s="21">
        <v>1.5</v>
      </c>
      <c r="K9" s="21">
        <v>54.0</v>
      </c>
      <c r="L9" s="21">
        <v>53.0</v>
      </c>
      <c r="M9" s="70" t="s">
        <v>103</v>
      </c>
      <c r="N9" s="21">
        <v>0.0</v>
      </c>
      <c r="O9" s="21">
        <v>0.0</v>
      </c>
      <c r="P9" s="21">
        <v>0.0</v>
      </c>
      <c r="Q9" s="21">
        <v>0.0</v>
      </c>
      <c r="R9" s="21">
        <v>0.0</v>
      </c>
      <c r="S9" s="21">
        <v>1.0</v>
      </c>
      <c r="T9" s="21">
        <v>0.0</v>
      </c>
      <c r="U9" s="21">
        <v>0.0</v>
      </c>
      <c r="V9" s="21">
        <v>0.0</v>
      </c>
      <c r="W9" s="21">
        <v>0.0</v>
      </c>
      <c r="X9" s="21">
        <v>0.0</v>
      </c>
      <c r="Y9" s="21">
        <v>0.0</v>
      </c>
      <c r="Z9" s="13">
        <f t="shared" si="2"/>
        <v>0</v>
      </c>
      <c r="AA9" s="13">
        <f t="shared" si="3"/>
        <v>1</v>
      </c>
      <c r="AB9" s="14">
        <f t="shared" si="4"/>
        <v>0</v>
      </c>
      <c r="AC9" s="14">
        <f t="shared" si="5"/>
        <v>1</v>
      </c>
      <c r="AD9" s="15">
        <v>0.09</v>
      </c>
      <c r="AE9" s="70" t="s">
        <v>104</v>
      </c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</row>
    <row r="10">
      <c r="A10" s="23">
        <v>43564.0</v>
      </c>
      <c r="B10" s="6">
        <v>1949.0</v>
      </c>
      <c r="C10" s="6">
        <v>2020.0</v>
      </c>
      <c r="D10" s="66" t="str">
        <f t="shared" si="6"/>
        <v>Tom</v>
      </c>
      <c r="E10" s="7" t="s">
        <v>33</v>
      </c>
      <c r="F10" s="24">
        <v>0.7916666666666666</v>
      </c>
      <c r="G10" s="67">
        <v>43564.0</v>
      </c>
      <c r="H10" s="9">
        <v>0.7916666666666666</v>
      </c>
      <c r="I10" s="11">
        <f t="shared" si="1"/>
        <v>0</v>
      </c>
      <c r="J10" s="7">
        <v>0.0</v>
      </c>
      <c r="K10" s="7">
        <v>55.0</v>
      </c>
      <c r="L10" s="7">
        <v>55.0</v>
      </c>
      <c r="M10" s="68" t="s">
        <v>105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13">
        <f t="shared" si="2"/>
        <v>0</v>
      </c>
      <c r="AA10" s="13">
        <f t="shared" si="3"/>
        <v>0</v>
      </c>
      <c r="AB10" s="14">
        <f t="shared" si="4"/>
        <v>0</v>
      </c>
      <c r="AC10" s="14">
        <f t="shared" si="5"/>
        <v>0</v>
      </c>
      <c r="AD10" s="15">
        <v>0.16</v>
      </c>
      <c r="AE10" s="68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</row>
    <row r="11">
      <c r="A11" s="23">
        <v>43565.0</v>
      </c>
      <c r="B11" s="6">
        <v>1950.0</v>
      </c>
      <c r="C11" s="6">
        <v>2021.0</v>
      </c>
      <c r="D11" s="66" t="str">
        <f t="shared" si="6"/>
        <v>Sue/Anne</v>
      </c>
      <c r="E11" s="7"/>
      <c r="F11" s="7"/>
      <c r="G11" s="67">
        <v>43565.0</v>
      </c>
      <c r="H11" s="86"/>
      <c r="I11" s="11">
        <f t="shared" si="1"/>
        <v>0</v>
      </c>
      <c r="J11" s="87"/>
      <c r="K11" s="87"/>
      <c r="L11" s="87"/>
      <c r="M11" s="88"/>
      <c r="N11" s="21">
        <v>0.0</v>
      </c>
      <c r="O11" s="21">
        <v>0.0</v>
      </c>
      <c r="P11" s="21">
        <v>0.0</v>
      </c>
      <c r="Q11" s="21">
        <v>0.0</v>
      </c>
      <c r="R11" s="21">
        <v>0.0</v>
      </c>
      <c r="S11" s="21">
        <v>0.0</v>
      </c>
      <c r="T11" s="21">
        <v>0.0</v>
      </c>
      <c r="U11" s="21">
        <v>0.0</v>
      </c>
      <c r="V11" s="21">
        <v>0.0</v>
      </c>
      <c r="W11" s="21">
        <v>0.0</v>
      </c>
      <c r="X11" s="21">
        <v>0.0</v>
      </c>
      <c r="Y11" s="21">
        <v>0.0</v>
      </c>
      <c r="Z11" s="13">
        <f t="shared" si="2"/>
        <v>0</v>
      </c>
      <c r="AA11" s="13">
        <f t="shared" si="3"/>
        <v>0</v>
      </c>
      <c r="AB11" s="14">
        <f t="shared" si="4"/>
        <v>0</v>
      </c>
      <c r="AC11" s="14">
        <f t="shared" si="5"/>
        <v>0</v>
      </c>
      <c r="AD11" s="15">
        <v>0.24</v>
      </c>
      <c r="AE11" s="88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  <c r="BM11" s="90"/>
      <c r="BN11" s="90"/>
    </row>
    <row r="12">
      <c r="A12" s="5">
        <v>43566.0</v>
      </c>
      <c r="B12" s="6">
        <v>1952.0</v>
      </c>
      <c r="C12" s="6">
        <v>2022.0</v>
      </c>
      <c r="D12" s="66" t="str">
        <f t="shared" si="6"/>
        <v>Shawn/Orems</v>
      </c>
      <c r="E12" s="7" t="s">
        <v>40</v>
      </c>
      <c r="F12" s="24">
        <v>0.8402777777777778</v>
      </c>
      <c r="G12" s="67">
        <v>43566.0</v>
      </c>
      <c r="H12" s="9">
        <v>0.8472222222222222</v>
      </c>
      <c r="I12" s="11">
        <f t="shared" si="1"/>
        <v>0.1666666667</v>
      </c>
      <c r="J12" s="7" t="s">
        <v>106</v>
      </c>
      <c r="K12" s="7">
        <v>52.0</v>
      </c>
      <c r="L12" s="7">
        <v>52.0</v>
      </c>
      <c r="M12" s="68" t="s">
        <v>107</v>
      </c>
      <c r="N12" s="7">
        <v>0.0</v>
      </c>
      <c r="O12" s="7">
        <v>0.0</v>
      </c>
      <c r="P12" s="7">
        <v>0.0</v>
      </c>
      <c r="Q12" s="7">
        <v>0.0</v>
      </c>
      <c r="R12" s="7">
        <v>0.0</v>
      </c>
      <c r="S12" s="7">
        <v>0.0</v>
      </c>
      <c r="T12" s="7">
        <v>0.0</v>
      </c>
      <c r="U12" s="7">
        <v>0.0</v>
      </c>
      <c r="V12" s="7">
        <v>0.0</v>
      </c>
      <c r="W12" s="7">
        <v>0.0</v>
      </c>
      <c r="X12" s="7">
        <v>0.0</v>
      </c>
      <c r="Y12" s="7">
        <v>0.0</v>
      </c>
      <c r="Z12" s="13">
        <f t="shared" si="2"/>
        <v>0</v>
      </c>
      <c r="AA12" s="13">
        <f t="shared" si="3"/>
        <v>0</v>
      </c>
      <c r="AB12" s="14">
        <f t="shared" si="4"/>
        <v>0</v>
      </c>
      <c r="AC12" s="14">
        <f t="shared" si="5"/>
        <v>0</v>
      </c>
      <c r="AD12" s="15">
        <v>0.34</v>
      </c>
      <c r="AE12" s="68" t="s">
        <v>108</v>
      </c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</row>
    <row r="13">
      <c r="A13" s="5">
        <v>43567.0</v>
      </c>
      <c r="B13" s="6">
        <v>1953.0</v>
      </c>
      <c r="C13" s="6">
        <v>2024.0</v>
      </c>
      <c r="D13" s="66" t="str">
        <f t="shared" si="6"/>
        <v>Jeff</v>
      </c>
      <c r="E13" s="7" t="s">
        <v>40</v>
      </c>
      <c r="F13" s="24">
        <v>0.8506944444444444</v>
      </c>
      <c r="G13" s="67">
        <v>43567.0</v>
      </c>
      <c r="H13" s="19">
        <v>0.8645833333333334</v>
      </c>
      <c r="I13" s="11">
        <f t="shared" si="1"/>
        <v>0.3333333333</v>
      </c>
      <c r="J13" s="21">
        <v>0.33</v>
      </c>
      <c r="K13" s="21">
        <v>53.0</v>
      </c>
      <c r="L13" s="21">
        <v>53.0</v>
      </c>
      <c r="M13" s="70" t="s">
        <v>109</v>
      </c>
      <c r="N13" s="21">
        <v>0.0</v>
      </c>
      <c r="O13" s="21">
        <v>0.0</v>
      </c>
      <c r="P13" s="21">
        <v>0.0</v>
      </c>
      <c r="Q13" s="21">
        <v>0.0</v>
      </c>
      <c r="R13" s="21">
        <v>0.0</v>
      </c>
      <c r="S13" s="21">
        <v>0.0</v>
      </c>
      <c r="T13" s="21">
        <v>0.0</v>
      </c>
      <c r="U13" s="21">
        <v>0.0</v>
      </c>
      <c r="V13" s="21">
        <v>0.0</v>
      </c>
      <c r="W13" s="21">
        <v>0.0</v>
      </c>
      <c r="X13" s="21">
        <v>0.0</v>
      </c>
      <c r="Y13" s="21">
        <v>0.0</v>
      </c>
      <c r="Z13" s="13">
        <f t="shared" si="2"/>
        <v>0</v>
      </c>
      <c r="AA13" s="13">
        <f t="shared" si="3"/>
        <v>0</v>
      </c>
      <c r="AB13" s="14">
        <f t="shared" si="4"/>
        <v>0</v>
      </c>
      <c r="AC13" s="14">
        <f t="shared" si="5"/>
        <v>0</v>
      </c>
      <c r="AD13" s="15">
        <v>0.45</v>
      </c>
      <c r="AE13" s="70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</row>
    <row r="14">
      <c r="A14" s="5">
        <v>43568.0</v>
      </c>
      <c r="B14" s="6">
        <v>1954.0</v>
      </c>
      <c r="C14" s="6">
        <v>2025.0</v>
      </c>
      <c r="D14" s="66" t="str">
        <f t="shared" si="6"/>
        <v>Rob</v>
      </c>
      <c r="E14" s="7"/>
      <c r="F14" s="7"/>
      <c r="G14" s="67">
        <v>43568.0</v>
      </c>
      <c r="H14" s="9"/>
      <c r="I14" s="11">
        <f t="shared" si="1"/>
        <v>0</v>
      </c>
      <c r="J14" s="7"/>
      <c r="K14" s="7"/>
      <c r="L14" s="7"/>
      <c r="M14" s="68"/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13">
        <f t="shared" si="2"/>
        <v>0</v>
      </c>
      <c r="AA14" s="13">
        <f t="shared" si="3"/>
        <v>0</v>
      </c>
      <c r="AB14" s="14">
        <f t="shared" si="4"/>
        <v>0</v>
      </c>
      <c r="AC14" s="14">
        <f t="shared" si="5"/>
        <v>0</v>
      </c>
      <c r="AD14" s="15">
        <v>0.56</v>
      </c>
      <c r="AE14" s="68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</row>
    <row r="15">
      <c r="A15" s="5">
        <v>43569.0</v>
      </c>
      <c r="B15" s="6">
        <v>1956.0</v>
      </c>
      <c r="C15" s="6">
        <v>2026.0</v>
      </c>
      <c r="D15" s="66" t="str">
        <f t="shared" si="6"/>
        <v>Fred/Phil</v>
      </c>
      <c r="E15" s="7"/>
      <c r="F15" s="7"/>
      <c r="G15" s="67">
        <v>43569.0</v>
      </c>
      <c r="H15" s="19"/>
      <c r="I15" s="11">
        <f t="shared" si="1"/>
        <v>0</v>
      </c>
      <c r="J15" s="21"/>
      <c r="K15" s="21"/>
      <c r="L15" s="21"/>
      <c r="M15" s="70"/>
      <c r="N15" s="21">
        <v>0.0</v>
      </c>
      <c r="O15" s="21">
        <v>0.0</v>
      </c>
      <c r="P15" s="21">
        <v>0.0</v>
      </c>
      <c r="Q15" s="21">
        <v>0.0</v>
      </c>
      <c r="R15" s="21">
        <v>0.0</v>
      </c>
      <c r="S15" s="21">
        <v>0.0</v>
      </c>
      <c r="T15" s="21">
        <v>0.0</v>
      </c>
      <c r="U15" s="21">
        <v>0.0</v>
      </c>
      <c r="V15" s="21">
        <v>0.0</v>
      </c>
      <c r="W15" s="21">
        <v>0.0</v>
      </c>
      <c r="X15" s="21">
        <v>0.0</v>
      </c>
      <c r="Y15" s="21">
        <v>0.0</v>
      </c>
      <c r="Z15" s="13">
        <f t="shared" si="2"/>
        <v>0</v>
      </c>
      <c r="AA15" s="13">
        <f t="shared" si="3"/>
        <v>0</v>
      </c>
      <c r="AB15" s="14">
        <f t="shared" si="4"/>
        <v>0</v>
      </c>
      <c r="AC15" s="14">
        <f t="shared" si="5"/>
        <v>0</v>
      </c>
      <c r="AD15" s="15">
        <v>0.67</v>
      </c>
      <c r="AE15" s="70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</row>
    <row r="16">
      <c r="A16" s="27">
        <v>43570.0</v>
      </c>
      <c r="B16" s="6">
        <v>1957.0</v>
      </c>
      <c r="C16" s="6">
        <v>2028.0</v>
      </c>
      <c r="D16" s="66" t="str">
        <f t="shared" si="6"/>
        <v>Jane/Murr</v>
      </c>
      <c r="E16" s="7"/>
      <c r="F16" s="7"/>
      <c r="G16" s="67">
        <v>43570.0</v>
      </c>
      <c r="H16" s="9"/>
      <c r="I16" s="11">
        <f t="shared" si="1"/>
        <v>0</v>
      </c>
      <c r="J16" s="7"/>
      <c r="K16" s="7"/>
      <c r="L16" s="7"/>
      <c r="M16" s="68"/>
      <c r="N16" s="7">
        <v>0.0</v>
      </c>
      <c r="O16" s="7">
        <v>0.0</v>
      </c>
      <c r="P16" s="7">
        <v>0.0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13">
        <f t="shared" si="2"/>
        <v>0</v>
      </c>
      <c r="AA16" s="13">
        <f t="shared" si="3"/>
        <v>0</v>
      </c>
      <c r="AB16" s="14">
        <f t="shared" si="4"/>
        <v>0</v>
      </c>
      <c r="AC16" s="14">
        <f t="shared" si="5"/>
        <v>0</v>
      </c>
      <c r="AD16" s="15">
        <v>0.78</v>
      </c>
      <c r="AE16" s="68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</row>
    <row r="17">
      <c r="A17" s="27">
        <v>43571.0</v>
      </c>
      <c r="B17" s="6">
        <v>1958.0</v>
      </c>
      <c r="C17" s="6">
        <v>2029.0</v>
      </c>
      <c r="D17" s="66" t="str">
        <f t="shared" si="6"/>
        <v>Tom</v>
      </c>
      <c r="E17" s="7"/>
      <c r="F17" s="7"/>
      <c r="G17" s="67">
        <v>43571.0</v>
      </c>
      <c r="H17" s="19"/>
      <c r="I17" s="11">
        <f t="shared" si="1"/>
        <v>0</v>
      </c>
      <c r="J17" s="21"/>
      <c r="K17" s="21"/>
      <c r="L17" s="21"/>
      <c r="M17" s="70"/>
      <c r="N17" s="21">
        <v>0.0</v>
      </c>
      <c r="O17" s="21">
        <v>0.0</v>
      </c>
      <c r="P17" s="21">
        <v>0.0</v>
      </c>
      <c r="Q17" s="21">
        <v>0.0</v>
      </c>
      <c r="R17" s="21">
        <v>0.0</v>
      </c>
      <c r="S17" s="21">
        <v>0.0</v>
      </c>
      <c r="T17" s="21">
        <v>0.0</v>
      </c>
      <c r="U17" s="21">
        <v>0.0</v>
      </c>
      <c r="V17" s="21">
        <v>0.0</v>
      </c>
      <c r="W17" s="21">
        <v>0.0</v>
      </c>
      <c r="X17" s="21">
        <v>0.0</v>
      </c>
      <c r="Y17" s="21">
        <v>0.0</v>
      </c>
      <c r="Z17" s="13">
        <f t="shared" si="2"/>
        <v>0</v>
      </c>
      <c r="AA17" s="13">
        <f t="shared" si="3"/>
        <v>0</v>
      </c>
      <c r="AB17" s="14">
        <f t="shared" si="4"/>
        <v>0</v>
      </c>
      <c r="AC17" s="14">
        <f t="shared" si="5"/>
        <v>0</v>
      </c>
      <c r="AD17" s="15">
        <v>0.87</v>
      </c>
      <c r="AE17" s="70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</row>
    <row r="18">
      <c r="A18" s="27">
        <v>43572.0</v>
      </c>
      <c r="B18" s="6">
        <v>1959.0</v>
      </c>
      <c r="C18" s="6">
        <v>2031.0</v>
      </c>
      <c r="D18" s="66" t="str">
        <f t="shared" si="6"/>
        <v>Sue/Anne</v>
      </c>
      <c r="E18" s="7"/>
      <c r="F18" s="7"/>
      <c r="G18" s="67">
        <v>43572.0</v>
      </c>
      <c r="H18" s="9"/>
      <c r="I18" s="11">
        <f t="shared" si="1"/>
        <v>0</v>
      </c>
      <c r="J18" s="7"/>
      <c r="K18" s="7"/>
      <c r="L18" s="7"/>
      <c r="M18" s="68"/>
      <c r="N18" s="7">
        <v>0.0</v>
      </c>
      <c r="O18" s="7">
        <v>0.0</v>
      </c>
      <c r="P18" s="7">
        <v>0.0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0.0</v>
      </c>
      <c r="W18" s="7">
        <v>0.0</v>
      </c>
      <c r="X18" s="7">
        <v>0.0</v>
      </c>
      <c r="Y18" s="7">
        <v>0.0</v>
      </c>
      <c r="Z18" s="13">
        <f t="shared" si="2"/>
        <v>0</v>
      </c>
      <c r="AA18" s="13">
        <f t="shared" si="3"/>
        <v>0</v>
      </c>
      <c r="AB18" s="14">
        <f t="shared" si="4"/>
        <v>0</v>
      </c>
      <c r="AC18" s="14">
        <f t="shared" si="5"/>
        <v>0</v>
      </c>
      <c r="AD18" s="15">
        <v>0.94</v>
      </c>
      <c r="AE18" s="68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</row>
    <row r="19">
      <c r="A19" s="30">
        <v>43573.0</v>
      </c>
      <c r="B19" s="6">
        <v>2001.0</v>
      </c>
      <c r="C19" s="6">
        <v>2032.0</v>
      </c>
      <c r="D19" s="66" t="str">
        <f t="shared" si="6"/>
        <v>Shawn/Orems</v>
      </c>
      <c r="E19" s="7"/>
      <c r="F19" s="7"/>
      <c r="G19" s="67">
        <v>43573.0</v>
      </c>
      <c r="H19" s="19"/>
      <c r="I19" s="11">
        <f t="shared" si="1"/>
        <v>0</v>
      </c>
      <c r="J19" s="21"/>
      <c r="K19" s="21"/>
      <c r="L19" s="21"/>
      <c r="M19" s="70"/>
      <c r="N19" s="21">
        <v>0.0</v>
      </c>
      <c r="O19" s="21">
        <v>0.0</v>
      </c>
      <c r="P19" s="21">
        <v>0.0</v>
      </c>
      <c r="Q19" s="21">
        <v>0.0</v>
      </c>
      <c r="R19" s="21">
        <v>0.0</v>
      </c>
      <c r="S19" s="21">
        <v>0.0</v>
      </c>
      <c r="T19" s="21">
        <v>0.0</v>
      </c>
      <c r="U19" s="21">
        <v>0.0</v>
      </c>
      <c r="V19" s="21">
        <v>0.0</v>
      </c>
      <c r="W19" s="21">
        <v>0.0</v>
      </c>
      <c r="X19" s="21">
        <v>0.0</v>
      </c>
      <c r="Y19" s="21">
        <v>0.0</v>
      </c>
      <c r="Z19" s="13">
        <f t="shared" si="2"/>
        <v>0</v>
      </c>
      <c r="AA19" s="13">
        <f t="shared" si="3"/>
        <v>0</v>
      </c>
      <c r="AB19" s="14">
        <f t="shared" si="4"/>
        <v>0</v>
      </c>
      <c r="AC19" s="14">
        <f t="shared" si="5"/>
        <v>0</v>
      </c>
      <c r="AD19" s="15">
        <v>0.98</v>
      </c>
      <c r="AE19" s="70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</row>
    <row r="20">
      <c r="A20" s="30">
        <v>43574.0</v>
      </c>
      <c r="B20" s="6">
        <v>2002.0</v>
      </c>
      <c r="C20" s="6">
        <v>2033.0</v>
      </c>
      <c r="D20" s="66" t="str">
        <f t="shared" si="6"/>
        <v>Jeff</v>
      </c>
      <c r="E20" s="7"/>
      <c r="F20" s="7"/>
      <c r="G20" s="67">
        <v>43574.0</v>
      </c>
      <c r="H20" s="92"/>
      <c r="I20" s="11">
        <f t="shared" si="1"/>
        <v>0</v>
      </c>
      <c r="J20" s="7"/>
      <c r="K20" s="7"/>
      <c r="L20" s="7"/>
      <c r="M20" s="68"/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13">
        <f t="shared" si="2"/>
        <v>0</v>
      </c>
      <c r="AA20" s="13">
        <f t="shared" si="3"/>
        <v>0</v>
      </c>
      <c r="AB20" s="14">
        <f t="shared" si="4"/>
        <v>0</v>
      </c>
      <c r="AC20" s="14">
        <f t="shared" si="5"/>
        <v>0</v>
      </c>
      <c r="AD20" s="15">
        <v>1.0</v>
      </c>
      <c r="AE20" s="68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</row>
    <row r="21">
      <c r="A21" s="30">
        <v>43575.0</v>
      </c>
      <c r="B21" s="6">
        <v>2003.0</v>
      </c>
      <c r="C21" s="6">
        <v>2035.0</v>
      </c>
      <c r="D21" s="66" t="str">
        <f t="shared" si="6"/>
        <v>Rob</v>
      </c>
      <c r="E21" s="7"/>
      <c r="F21" s="7"/>
      <c r="G21" s="67">
        <v>43575.0</v>
      </c>
      <c r="H21" s="19"/>
      <c r="I21" s="11">
        <f t="shared" si="1"/>
        <v>0</v>
      </c>
      <c r="J21" s="21"/>
      <c r="K21" s="21"/>
      <c r="L21" s="21"/>
      <c r="M21" s="70"/>
      <c r="N21" s="21">
        <v>0.0</v>
      </c>
      <c r="O21" s="21">
        <v>0.0</v>
      </c>
      <c r="P21" s="21">
        <v>0.0</v>
      </c>
      <c r="Q21" s="21">
        <v>0.0</v>
      </c>
      <c r="R21" s="21">
        <v>0.0</v>
      </c>
      <c r="S21" s="21">
        <v>0.0</v>
      </c>
      <c r="T21" s="21">
        <v>0.0</v>
      </c>
      <c r="U21" s="21">
        <v>0.0</v>
      </c>
      <c r="V21" s="21">
        <v>0.0</v>
      </c>
      <c r="W21" s="21">
        <v>0.0</v>
      </c>
      <c r="X21" s="21">
        <v>0.0</v>
      </c>
      <c r="Y21" s="21">
        <v>0.0</v>
      </c>
      <c r="Z21" s="13">
        <f t="shared" si="2"/>
        <v>0</v>
      </c>
      <c r="AA21" s="13">
        <f t="shared" si="3"/>
        <v>0</v>
      </c>
      <c r="AB21" s="14">
        <f t="shared" si="4"/>
        <v>0</v>
      </c>
      <c r="AC21" s="14">
        <f t="shared" si="5"/>
        <v>0</v>
      </c>
      <c r="AD21" s="15">
        <v>0.99</v>
      </c>
      <c r="AE21" s="70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</row>
    <row r="22">
      <c r="A22" s="27">
        <v>43576.0</v>
      </c>
      <c r="B22" s="6">
        <v>2005.0</v>
      </c>
      <c r="C22" s="6">
        <v>2036.0</v>
      </c>
      <c r="D22" s="66" t="str">
        <f t="shared" si="6"/>
        <v>Fred/Phil</v>
      </c>
      <c r="E22" s="7"/>
      <c r="F22" s="7"/>
      <c r="G22" s="67">
        <v>43576.0</v>
      </c>
      <c r="H22" s="9"/>
      <c r="I22" s="11">
        <f t="shared" si="1"/>
        <v>0</v>
      </c>
      <c r="J22" s="7"/>
      <c r="K22" s="7"/>
      <c r="L22" s="7"/>
      <c r="M22" s="68"/>
      <c r="N22" s="7">
        <v>0.0</v>
      </c>
      <c r="O22" s="7">
        <v>0.0</v>
      </c>
      <c r="P22" s="7">
        <v>0.0</v>
      </c>
      <c r="Q22" s="7">
        <v>0.0</v>
      </c>
      <c r="R22" s="7">
        <v>0.0</v>
      </c>
      <c r="S22" s="7">
        <v>0.0</v>
      </c>
      <c r="T22" s="7">
        <v>0.0</v>
      </c>
      <c r="U22" s="7">
        <v>0.0</v>
      </c>
      <c r="V22" s="7">
        <v>0.0</v>
      </c>
      <c r="W22" s="7">
        <v>0.0</v>
      </c>
      <c r="X22" s="7">
        <v>0.0</v>
      </c>
      <c r="Y22" s="7">
        <v>0.0</v>
      </c>
      <c r="Z22" s="13">
        <f t="shared" si="2"/>
        <v>0</v>
      </c>
      <c r="AA22" s="13">
        <f t="shared" si="3"/>
        <v>0</v>
      </c>
      <c r="AB22" s="14">
        <f t="shared" si="4"/>
        <v>0</v>
      </c>
      <c r="AC22" s="14">
        <f t="shared" si="5"/>
        <v>0</v>
      </c>
      <c r="AD22" s="15">
        <v>0.95</v>
      </c>
      <c r="AE22" s="68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</row>
    <row r="23">
      <c r="A23" s="27">
        <v>43577.0</v>
      </c>
      <c r="B23" s="6">
        <v>2006.0</v>
      </c>
      <c r="C23" s="6">
        <v>2038.0</v>
      </c>
      <c r="D23" s="66" t="str">
        <f t="shared" si="6"/>
        <v>Jane/Murr</v>
      </c>
      <c r="E23" s="7"/>
      <c r="F23" s="7"/>
      <c r="G23" s="67">
        <v>43577.0</v>
      </c>
      <c r="H23" s="19"/>
      <c r="I23" s="11">
        <f t="shared" si="1"/>
        <v>0</v>
      </c>
      <c r="J23" s="21"/>
      <c r="K23" s="21"/>
      <c r="L23" s="21"/>
      <c r="M23" s="70"/>
      <c r="N23" s="21">
        <v>0.0</v>
      </c>
      <c r="O23" s="21">
        <v>0.0</v>
      </c>
      <c r="P23" s="21">
        <v>0.0</v>
      </c>
      <c r="Q23" s="21">
        <v>0.0</v>
      </c>
      <c r="R23" s="21">
        <v>0.0</v>
      </c>
      <c r="S23" s="21">
        <v>0.0</v>
      </c>
      <c r="T23" s="21">
        <v>0.0</v>
      </c>
      <c r="U23" s="21">
        <v>0.0</v>
      </c>
      <c r="V23" s="21">
        <v>0.0</v>
      </c>
      <c r="W23" s="21">
        <v>0.0</v>
      </c>
      <c r="X23" s="21">
        <v>0.0</v>
      </c>
      <c r="Y23" s="21">
        <v>0.0</v>
      </c>
      <c r="Z23" s="13">
        <f t="shared" si="2"/>
        <v>0</v>
      </c>
      <c r="AA23" s="13">
        <f t="shared" si="3"/>
        <v>0</v>
      </c>
      <c r="AB23" s="14">
        <f t="shared" si="4"/>
        <v>0</v>
      </c>
      <c r="AC23" s="14">
        <f t="shared" si="5"/>
        <v>0</v>
      </c>
      <c r="AD23" s="15">
        <v>0.9</v>
      </c>
      <c r="AE23" s="70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</row>
    <row r="24">
      <c r="A24" s="27">
        <v>43578.0</v>
      </c>
      <c r="B24" s="6">
        <v>2007.0</v>
      </c>
      <c r="C24" s="6">
        <v>2039.0</v>
      </c>
      <c r="D24" s="66" t="str">
        <f t="shared" si="6"/>
        <v>Tom</v>
      </c>
      <c r="E24" s="7"/>
      <c r="F24" s="7"/>
      <c r="G24" s="67">
        <v>43578.0</v>
      </c>
      <c r="H24" s="9"/>
      <c r="I24" s="11">
        <f t="shared" si="1"/>
        <v>0</v>
      </c>
      <c r="J24" s="7"/>
      <c r="K24" s="7"/>
      <c r="L24" s="7"/>
      <c r="M24" s="68"/>
      <c r="N24" s="7">
        <v>0.0</v>
      </c>
      <c r="O24" s="7">
        <v>0.0</v>
      </c>
      <c r="P24" s="7">
        <v>0.0</v>
      </c>
      <c r="Q24" s="7">
        <v>0.0</v>
      </c>
      <c r="R24" s="7">
        <v>0.0</v>
      </c>
      <c r="S24" s="7">
        <v>0.0</v>
      </c>
      <c r="T24" s="7">
        <v>0.0</v>
      </c>
      <c r="U24" s="7">
        <v>0.0</v>
      </c>
      <c r="V24" s="7">
        <v>0.0</v>
      </c>
      <c r="W24" s="7">
        <v>0.0</v>
      </c>
      <c r="X24" s="7">
        <v>0.0</v>
      </c>
      <c r="Y24" s="7">
        <v>0.0</v>
      </c>
      <c r="Z24" s="13">
        <f t="shared" si="2"/>
        <v>0</v>
      </c>
      <c r="AA24" s="13">
        <f t="shared" si="3"/>
        <v>0</v>
      </c>
      <c r="AB24" s="14">
        <f t="shared" si="4"/>
        <v>0</v>
      </c>
      <c r="AC24" s="14">
        <f t="shared" si="5"/>
        <v>0</v>
      </c>
      <c r="AD24" s="15">
        <v>0.83</v>
      </c>
      <c r="AE24" s="68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</row>
    <row r="25">
      <c r="A25" s="26">
        <v>43579.0</v>
      </c>
      <c r="B25" s="6">
        <v>2008.0</v>
      </c>
      <c r="C25" s="6">
        <v>2040.0</v>
      </c>
      <c r="D25" s="66" t="str">
        <f t="shared" si="6"/>
        <v>Sue/Anne</v>
      </c>
      <c r="E25" s="7"/>
      <c r="F25" s="7"/>
      <c r="G25" s="67">
        <v>43579.0</v>
      </c>
      <c r="H25" s="19"/>
      <c r="I25" s="11">
        <f t="shared" si="1"/>
        <v>0</v>
      </c>
      <c r="J25" s="21"/>
      <c r="K25" s="21"/>
      <c r="L25" s="21"/>
      <c r="M25" s="70"/>
      <c r="N25" s="21">
        <v>0.0</v>
      </c>
      <c r="O25" s="21">
        <v>0.0</v>
      </c>
      <c r="P25" s="21">
        <v>0.0</v>
      </c>
      <c r="Q25" s="21">
        <v>0.0</v>
      </c>
      <c r="R25" s="21">
        <v>0.0</v>
      </c>
      <c r="S25" s="21">
        <v>0.0</v>
      </c>
      <c r="T25" s="21">
        <v>0.0</v>
      </c>
      <c r="U25" s="21">
        <v>0.0</v>
      </c>
      <c r="V25" s="21">
        <v>0.0</v>
      </c>
      <c r="W25" s="21">
        <v>0.0</v>
      </c>
      <c r="X25" s="21">
        <v>0.0</v>
      </c>
      <c r="Y25" s="21">
        <v>0.0</v>
      </c>
      <c r="Z25" s="13">
        <f t="shared" si="2"/>
        <v>0</v>
      </c>
      <c r="AA25" s="13">
        <f t="shared" si="3"/>
        <v>0</v>
      </c>
      <c r="AB25" s="14">
        <f t="shared" si="4"/>
        <v>0</v>
      </c>
      <c r="AC25" s="14">
        <f t="shared" si="5"/>
        <v>0</v>
      </c>
      <c r="AD25" s="15">
        <v>0.74</v>
      </c>
      <c r="AE25" s="70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</row>
    <row r="26">
      <c r="A26" s="26">
        <v>43580.0</v>
      </c>
      <c r="B26" s="6">
        <v>2010.0</v>
      </c>
      <c r="C26" s="6">
        <v>2042.0</v>
      </c>
      <c r="D26" s="66" t="str">
        <f t="shared" si="6"/>
        <v>Shawn/Orems</v>
      </c>
      <c r="E26" s="7"/>
      <c r="F26" s="7"/>
      <c r="G26" s="67">
        <v>43580.0</v>
      </c>
      <c r="H26" s="9"/>
      <c r="I26" s="11">
        <f t="shared" si="1"/>
        <v>0</v>
      </c>
      <c r="J26" s="7"/>
      <c r="K26" s="7"/>
      <c r="L26" s="7"/>
      <c r="M26" s="68"/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0.0</v>
      </c>
      <c r="U26" s="7">
        <v>0.0</v>
      </c>
      <c r="V26" s="7">
        <v>0.0</v>
      </c>
      <c r="W26" s="7">
        <v>0.0</v>
      </c>
      <c r="X26" s="7">
        <v>0.0</v>
      </c>
      <c r="Y26" s="7">
        <v>0.0</v>
      </c>
      <c r="Z26" s="13">
        <f t="shared" si="2"/>
        <v>0</v>
      </c>
      <c r="AA26" s="13">
        <f t="shared" si="3"/>
        <v>0</v>
      </c>
      <c r="AB26" s="14">
        <f t="shared" si="4"/>
        <v>0</v>
      </c>
      <c r="AC26" s="14">
        <f t="shared" si="5"/>
        <v>0</v>
      </c>
      <c r="AD26" s="15">
        <v>0.65</v>
      </c>
      <c r="AE26" s="93"/>
      <c r="AF26" s="93"/>
      <c r="AG26" s="93"/>
      <c r="AH26" s="93"/>
      <c r="AI26" s="93"/>
      <c r="AJ26" s="93"/>
      <c r="AK26" s="93"/>
      <c r="AL26" s="93"/>
      <c r="AM26" s="93"/>
      <c r="AN26" s="94"/>
      <c r="AO26" s="94"/>
      <c r="AP26" s="94"/>
      <c r="AQ26" s="94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</row>
    <row r="27">
      <c r="A27" s="26">
        <v>43581.0</v>
      </c>
      <c r="B27" s="6">
        <v>2011.0</v>
      </c>
      <c r="C27" s="6">
        <v>2043.0</v>
      </c>
      <c r="D27" s="66" t="str">
        <f t="shared" si="6"/>
        <v>Jeff</v>
      </c>
      <c r="E27" s="7"/>
      <c r="F27" s="7"/>
      <c r="G27" s="67">
        <v>43581.0</v>
      </c>
      <c r="H27" s="19"/>
      <c r="I27" s="11">
        <f t="shared" si="1"/>
        <v>0</v>
      </c>
      <c r="J27" s="21"/>
      <c r="K27" s="21"/>
      <c r="L27" s="21"/>
      <c r="M27" s="70"/>
      <c r="N27" s="21">
        <v>0.0</v>
      </c>
      <c r="O27" s="21">
        <v>0.0</v>
      </c>
      <c r="P27" s="21">
        <v>0.0</v>
      </c>
      <c r="Q27" s="21">
        <v>0.0</v>
      </c>
      <c r="R27" s="21">
        <v>0.0</v>
      </c>
      <c r="S27" s="21">
        <v>0.0</v>
      </c>
      <c r="T27" s="21">
        <v>0.0</v>
      </c>
      <c r="U27" s="21">
        <v>0.0</v>
      </c>
      <c r="V27" s="21">
        <v>0.0</v>
      </c>
      <c r="W27" s="21">
        <v>0.0</v>
      </c>
      <c r="X27" s="21">
        <v>0.0</v>
      </c>
      <c r="Y27" s="21">
        <v>0.0</v>
      </c>
      <c r="Z27" s="13">
        <f t="shared" si="2"/>
        <v>0</v>
      </c>
      <c r="AA27" s="13">
        <f t="shared" si="3"/>
        <v>0</v>
      </c>
      <c r="AB27" s="14">
        <f t="shared" si="4"/>
        <v>0</v>
      </c>
      <c r="AC27" s="14">
        <f t="shared" si="5"/>
        <v>0</v>
      </c>
      <c r="AD27" s="15">
        <v>0.56</v>
      </c>
      <c r="AE27" s="70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70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</row>
    <row r="28">
      <c r="A28" s="26">
        <v>43582.0</v>
      </c>
      <c r="B28" s="6">
        <v>2012.0</v>
      </c>
      <c r="C28" s="6">
        <v>2045.0</v>
      </c>
      <c r="D28" s="66" t="str">
        <f t="shared" si="6"/>
        <v>Rob</v>
      </c>
      <c r="E28" s="7"/>
      <c r="F28" s="7"/>
      <c r="G28" s="67">
        <v>43582.0</v>
      </c>
      <c r="H28" s="9"/>
      <c r="I28" s="11">
        <f t="shared" si="1"/>
        <v>0</v>
      </c>
      <c r="J28" s="7"/>
      <c r="K28" s="7"/>
      <c r="L28" s="7"/>
      <c r="M28" s="68"/>
      <c r="N28" s="7">
        <v>0.0</v>
      </c>
      <c r="O28" s="7">
        <v>0.0</v>
      </c>
      <c r="P28" s="7">
        <v>0.0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7">
        <v>0.0</v>
      </c>
      <c r="Y28" s="7">
        <v>0.0</v>
      </c>
      <c r="Z28" s="13">
        <f t="shared" si="2"/>
        <v>0</v>
      </c>
      <c r="AA28" s="13">
        <f t="shared" si="3"/>
        <v>0</v>
      </c>
      <c r="AB28" s="14">
        <f t="shared" si="4"/>
        <v>0</v>
      </c>
      <c r="AC28" s="14">
        <f t="shared" si="5"/>
        <v>0</v>
      </c>
      <c r="AD28" s="15">
        <v>0.46</v>
      </c>
      <c r="AE28" s="68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68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</row>
    <row r="29">
      <c r="A29" s="26">
        <v>43583.0</v>
      </c>
      <c r="B29" s="6">
        <v>2014.0</v>
      </c>
      <c r="C29" s="6">
        <v>2046.0</v>
      </c>
      <c r="D29" s="66" t="str">
        <f t="shared" si="6"/>
        <v>Fred/Phil</v>
      </c>
      <c r="E29" s="7"/>
      <c r="F29" s="7"/>
      <c r="G29" s="67">
        <v>43583.0</v>
      </c>
      <c r="H29" s="95"/>
      <c r="I29" s="11">
        <f t="shared" si="1"/>
        <v>0</v>
      </c>
      <c r="J29" s="96"/>
      <c r="K29" s="21"/>
      <c r="L29" s="21"/>
      <c r="M29" s="70"/>
      <c r="N29" s="21">
        <v>0.0</v>
      </c>
      <c r="O29" s="21">
        <v>0.0</v>
      </c>
      <c r="P29" s="21">
        <v>0.0</v>
      </c>
      <c r="Q29" s="21">
        <v>0.0</v>
      </c>
      <c r="R29" s="21">
        <v>0.0</v>
      </c>
      <c r="S29" s="21">
        <v>0.0</v>
      </c>
      <c r="T29" s="21">
        <v>0.0</v>
      </c>
      <c r="U29" s="21">
        <v>0.0</v>
      </c>
      <c r="V29" s="21">
        <v>0.0</v>
      </c>
      <c r="W29" s="21">
        <v>0.0</v>
      </c>
      <c r="X29" s="21">
        <v>0.0</v>
      </c>
      <c r="Y29" s="21">
        <v>0.0</v>
      </c>
      <c r="Z29" s="13">
        <f t="shared" si="2"/>
        <v>0</v>
      </c>
      <c r="AA29" s="13">
        <f t="shared" si="3"/>
        <v>0</v>
      </c>
      <c r="AB29" s="14">
        <f t="shared" si="4"/>
        <v>0</v>
      </c>
      <c r="AC29" s="14">
        <f t="shared" si="5"/>
        <v>0</v>
      </c>
      <c r="AD29" s="15">
        <v>0.37</v>
      </c>
      <c r="AE29" s="70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70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</row>
    <row r="30">
      <c r="A30" s="5">
        <v>43584.0</v>
      </c>
      <c r="B30" s="6">
        <v>2015.0</v>
      </c>
      <c r="C30" s="6">
        <v>2047.0</v>
      </c>
      <c r="D30" s="66" t="str">
        <f t="shared" si="6"/>
        <v>Jane/Murr</v>
      </c>
      <c r="E30" s="7"/>
      <c r="F30" s="7"/>
      <c r="G30" s="67">
        <v>43584.0</v>
      </c>
      <c r="H30" s="9"/>
      <c r="I30" s="11">
        <f t="shared" si="1"/>
        <v>0</v>
      </c>
      <c r="J30" s="97"/>
      <c r="K30" s="7"/>
      <c r="L30" s="7"/>
      <c r="M30" s="68"/>
      <c r="N30" s="7">
        <v>0.0</v>
      </c>
      <c r="O30" s="7">
        <v>0.0</v>
      </c>
      <c r="P30" s="7">
        <v>0.0</v>
      </c>
      <c r="Q30" s="7">
        <v>0.0</v>
      </c>
      <c r="R30" s="7">
        <v>0.0</v>
      </c>
      <c r="S30" s="7">
        <v>0.0</v>
      </c>
      <c r="T30" s="7">
        <v>0.0</v>
      </c>
      <c r="U30" s="7">
        <v>0.0</v>
      </c>
      <c r="V30" s="7">
        <v>0.0</v>
      </c>
      <c r="W30" s="7">
        <v>0.0</v>
      </c>
      <c r="X30" s="7">
        <v>0.0</v>
      </c>
      <c r="Y30" s="7">
        <v>0.0</v>
      </c>
      <c r="Z30" s="13">
        <f t="shared" si="2"/>
        <v>0</v>
      </c>
      <c r="AA30" s="13">
        <f t="shared" si="3"/>
        <v>0</v>
      </c>
      <c r="AB30" s="14">
        <f t="shared" si="4"/>
        <v>0</v>
      </c>
      <c r="AC30" s="14">
        <f t="shared" si="5"/>
        <v>0</v>
      </c>
      <c r="AD30" s="15">
        <v>0.28</v>
      </c>
      <c r="AE30" s="68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68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</row>
    <row r="31">
      <c r="A31" s="23">
        <v>43585.0</v>
      </c>
      <c r="B31" s="6">
        <v>2016.0</v>
      </c>
      <c r="C31" s="6">
        <v>2049.0</v>
      </c>
      <c r="D31" s="66" t="str">
        <f t="shared" si="6"/>
        <v>Tom</v>
      </c>
      <c r="E31" s="7"/>
      <c r="F31" s="7"/>
      <c r="G31" s="67">
        <v>43585.0</v>
      </c>
      <c r="H31" s="19"/>
      <c r="I31" s="11">
        <f t="shared" si="1"/>
        <v>0</v>
      </c>
      <c r="J31" s="96"/>
      <c r="K31" s="21"/>
      <c r="L31" s="21"/>
      <c r="M31" s="70"/>
      <c r="N31" s="21">
        <v>0.0</v>
      </c>
      <c r="O31" s="21">
        <v>0.0</v>
      </c>
      <c r="P31" s="21">
        <v>0.0</v>
      </c>
      <c r="Q31" s="21">
        <v>0.0</v>
      </c>
      <c r="R31" s="21">
        <v>0.0</v>
      </c>
      <c r="S31" s="21">
        <v>0.0</v>
      </c>
      <c r="T31" s="21">
        <v>0.0</v>
      </c>
      <c r="U31" s="21">
        <v>0.0</v>
      </c>
      <c r="V31" s="21">
        <v>0.0</v>
      </c>
      <c r="W31" s="21">
        <v>0.0</v>
      </c>
      <c r="X31" s="21">
        <v>0.0</v>
      </c>
      <c r="Y31" s="21">
        <v>0.0</v>
      </c>
      <c r="Z31" s="13">
        <f t="shared" si="2"/>
        <v>0</v>
      </c>
      <c r="AA31" s="13">
        <f t="shared" si="3"/>
        <v>0</v>
      </c>
      <c r="AB31" s="14">
        <f t="shared" si="4"/>
        <v>0</v>
      </c>
      <c r="AC31" s="14">
        <f t="shared" si="5"/>
        <v>0</v>
      </c>
      <c r="AD31" s="15">
        <v>0.2</v>
      </c>
      <c r="AE31" s="70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70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</row>
    <row r="32">
      <c r="A32" s="98" t="s">
        <v>110</v>
      </c>
      <c r="B32" s="6" t="s">
        <v>111</v>
      </c>
      <c r="C32" s="6" t="s">
        <v>111</v>
      </c>
      <c r="D32" s="66"/>
      <c r="E32" s="6"/>
      <c r="F32" s="99"/>
      <c r="G32" s="99"/>
      <c r="H32" s="99"/>
      <c r="I32" s="100">
        <f>H32-F32</f>
        <v>0</v>
      </c>
      <c r="J32" s="101"/>
      <c r="K32" s="6"/>
      <c r="L32" s="6"/>
      <c r="M32" s="102"/>
      <c r="N32" s="66" t="s">
        <v>112</v>
      </c>
      <c r="O32" s="66" t="s">
        <v>112</v>
      </c>
      <c r="P32" s="66" t="s">
        <v>112</v>
      </c>
      <c r="Q32" s="66" t="s">
        <v>112</v>
      </c>
      <c r="R32" s="66" t="s">
        <v>112</v>
      </c>
      <c r="S32" s="66" t="s">
        <v>112</v>
      </c>
      <c r="T32" s="66" t="s">
        <v>112</v>
      </c>
      <c r="U32" s="66" t="s">
        <v>112</v>
      </c>
      <c r="V32" s="66" t="s">
        <v>112</v>
      </c>
      <c r="W32" s="66" t="s">
        <v>112</v>
      </c>
      <c r="X32" s="66" t="s">
        <v>112</v>
      </c>
      <c r="Y32" s="66" t="s">
        <v>112</v>
      </c>
      <c r="Z32" s="13" t="s">
        <v>112</v>
      </c>
      <c r="AA32" s="13" t="s">
        <v>112</v>
      </c>
      <c r="AB32" s="13" t="s">
        <v>112</v>
      </c>
      <c r="AC32" s="13" t="s">
        <v>112</v>
      </c>
      <c r="AD32" s="15" t="s">
        <v>111</v>
      </c>
      <c r="AE32" s="102"/>
      <c r="AF32" s="7"/>
      <c r="AG32" s="7"/>
      <c r="AH32" s="7"/>
      <c r="AI32" s="7"/>
      <c r="AJ32" s="7"/>
      <c r="AK32" s="7"/>
      <c r="AL32" s="66"/>
      <c r="AM32" s="66"/>
      <c r="AN32" s="21"/>
      <c r="AO32" s="21"/>
      <c r="AP32" s="21"/>
      <c r="AQ32" s="102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</row>
    <row r="33">
      <c r="A33" s="103"/>
      <c r="B33" s="103"/>
      <c r="C33" s="104"/>
      <c r="D33" s="105" t="s">
        <v>66</v>
      </c>
      <c r="F33" s="104"/>
      <c r="G33" s="104"/>
      <c r="H33" s="104"/>
      <c r="I33" s="106">
        <f>SUM(I3:I32)</f>
        <v>17.5</v>
      </c>
      <c r="J33" s="107">
        <f>SUM(J2:J32)</f>
        <v>63.23</v>
      </c>
      <c r="K33" s="104"/>
      <c r="L33" s="104"/>
      <c r="M33" s="91"/>
      <c r="N33" s="14">
        <f t="shared" ref="N33:Y33" si="7">sum(N2:N32)</f>
        <v>0</v>
      </c>
      <c r="O33" s="14">
        <f t="shared" si="7"/>
        <v>0</v>
      </c>
      <c r="P33" s="14">
        <f t="shared" si="7"/>
        <v>0</v>
      </c>
      <c r="Q33" s="13">
        <f t="shared" si="7"/>
        <v>0</v>
      </c>
      <c r="R33" s="13">
        <f t="shared" si="7"/>
        <v>17</v>
      </c>
      <c r="S33" s="108">
        <f t="shared" si="7"/>
        <v>294</v>
      </c>
      <c r="T33" s="108">
        <f t="shared" si="7"/>
        <v>0</v>
      </c>
      <c r="U33" s="108">
        <f t="shared" si="7"/>
        <v>0</v>
      </c>
      <c r="V33" s="108">
        <f t="shared" si="7"/>
        <v>5</v>
      </c>
      <c r="W33" s="13">
        <f t="shared" si="7"/>
        <v>0</v>
      </c>
      <c r="X33" s="13">
        <f t="shared" si="7"/>
        <v>0</v>
      </c>
      <c r="Y33" s="109">
        <f t="shared" si="7"/>
        <v>2</v>
      </c>
      <c r="Z33" s="13">
        <f t="shared" ref="Z33:AA33" si="8">SUM(Z2:Z32)</f>
        <v>0</v>
      </c>
      <c r="AA33" s="13">
        <f t="shared" si="8"/>
        <v>316</v>
      </c>
      <c r="AB33" s="110">
        <f t="shared" ref="AB33:AC33" si="9">sum(AB2:AB32)</f>
        <v>0</v>
      </c>
      <c r="AC33" s="110">
        <f t="shared" si="9"/>
        <v>316</v>
      </c>
      <c r="AD33" s="68"/>
      <c r="AE33" s="68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68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</row>
    <row r="34">
      <c r="A34" s="16"/>
      <c r="B34" s="104"/>
      <c r="C34" s="104"/>
      <c r="D34" s="111" t="s">
        <v>67</v>
      </c>
      <c r="F34" s="112"/>
      <c r="G34" s="112"/>
      <c r="H34" s="6"/>
      <c r="I34" s="113">
        <f>'November 2018'!I$34+'December 2018'!I$33+'January 2019'!I$33+'February 2019'!I$33+'March 2019'!I$33+'April 2019'!I$33</f>
        <v>145.8102778</v>
      </c>
      <c r="J34" s="113">
        <f>'November 2018'!J$34+'December 2018'!J$33+'January 2019'!J$33+'February 2019'!J$33+'March 2019'!J$33+'April 2019'!J$33</f>
        <v>558.9616667</v>
      </c>
      <c r="K34" s="104"/>
      <c r="L34" s="104"/>
      <c r="M34" s="104"/>
      <c r="N34" s="114">
        <f>'November 2018'!N$34+'December 2018'!N$33+'January 2019'!N$33+'February 2019'!N$33+'March 2019'!N$33+'April 2019'!N$33</f>
        <v>90</v>
      </c>
      <c r="O34" s="114">
        <f>'November 2018'!O$34+'December 2018'!O$33+'January 2019'!O$33+'February 2019'!O$33+'March 2019'!O$33+'April 2019'!O$33</f>
        <v>1134</v>
      </c>
      <c r="P34" s="114">
        <f>'November 2018'!P$34+'December 2018'!P$33+'January 2019'!P$33+'February 2019'!P$33+'March 2019'!P$33+'April 2019'!P$33</f>
        <v>3</v>
      </c>
      <c r="Q34" s="114">
        <f>'November 2018'!Q$34+'December 2018'!Q$33+'January 2019'!Q$33+'February 2019'!Q$33+'March 2019'!Q$33+'April 2019'!Q$33</f>
        <v>4</v>
      </c>
      <c r="R34" s="114">
        <f>'November 2018'!R$34+'December 2018'!R$33+'January 2019'!R$33+'February 2019'!R$33+'March 2019'!R$33+'April 2019'!R$33</f>
        <v>124</v>
      </c>
      <c r="S34" s="114">
        <f>'November 2018'!S$34+'December 2018'!S$33+'January 2019'!S$33+'February 2019'!S$33+'March 2019'!S$33+'April 2019'!S$33</f>
        <v>791</v>
      </c>
      <c r="T34" s="114">
        <f>'November 2018'!T$34+'December 2018'!T$33+'January 2019'!T$33+'February 2019'!T$33+'March 2019'!T$33+'April 2019'!T$33</f>
        <v>6</v>
      </c>
      <c r="U34" s="114">
        <f>'November 2018'!U$34+'December 2018'!U$33+'January 2019'!U$33+'February 2019'!U$33+'March 2019'!U$33+'April 2019'!U$33</f>
        <v>17</v>
      </c>
      <c r="V34" s="114">
        <f>'November 2018'!V$34+'December 2018'!V$33+'January 2019'!V$33+'February 2019'!V$33+'March 2019'!V$33+'April 2019'!V$33</f>
        <v>6</v>
      </c>
      <c r="W34" s="114">
        <f>'November 2018'!W$34+'December 2018'!W$33+'January 2019'!W$33+'February 2019'!W$33+'March 2019'!W$33+'April 2019'!W$33</f>
        <v>4</v>
      </c>
      <c r="X34" s="114">
        <f>'November 2018'!X$34+'December 2018'!X$33+'January 2019'!X$33+'February 2019'!X$33+'March 2019'!X$33+'April 2019'!X$33</f>
        <v>24</v>
      </c>
      <c r="Y34" s="114">
        <f>'November 2018'!Y$34+'December 2018'!Y$33+'January 2019'!Y$33+'February 2019'!Y$33+'March 2019'!Y$33+'April 2019'!Y$33</f>
        <v>7</v>
      </c>
      <c r="Z34" s="114">
        <f>'November 2018'!Z$34+'December 2018'!Z$33+'January 2019'!Z$33+'February 2019'!Z$33+'March 2019'!Z$33+'April 2019'!Z$33</f>
        <v>1231</v>
      </c>
      <c r="AA34" s="114">
        <f>'November 2018'!AA$34+'December 2018'!AA$33+'January 2019'!AA$33+'February 2019'!AA$33+'March 2019'!AA$33+'April 2019'!AA$33</f>
        <v>944</v>
      </c>
      <c r="AB34" s="115">
        <f>'November 2018'!AB34+'December 2018'!AB33+'January 2019'!AB33+'February 2019'!AB33+'March 2019'!AB33+'April 2019'!AB33</f>
        <v>1224</v>
      </c>
      <c r="AC34" s="115">
        <f>'November 2018'!AC34+'December 2018'!AC33+'January 2019'!AC33+'February 2019'!AC33+'March 2019'!AC33+'April 2019'!AC33</f>
        <v>921</v>
      </c>
      <c r="AD34" s="68"/>
      <c r="AE34" s="68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68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</row>
    <row r="35">
      <c r="A35" s="16"/>
      <c r="B35" s="16"/>
      <c r="C35" s="16"/>
      <c r="D35" s="111" t="s">
        <v>68</v>
      </c>
      <c r="F35" s="112"/>
      <c r="G35" s="112"/>
      <c r="H35" s="6"/>
      <c r="I35" s="113">
        <f>'November 2018'!I$34+'December 2018'!I$33+'January 2019'!I$33+'February 2019'!I$33+'March 2019'!I$33+'April 2019'!I$33</f>
        <v>145.8102778</v>
      </c>
      <c r="J35" s="113">
        <f>'November 2018'!J34+'December 2018'!J33+'January 2019'!J33+'February 2019'!J33+'March 2019'!J33+'April 2019'!J33</f>
        <v>558.9616667</v>
      </c>
      <c r="K35" s="104"/>
      <c r="L35" s="104"/>
      <c r="M35" s="104"/>
      <c r="N35" s="114">
        <f>'November 2018'!N34+'December 2018'!N33+'January 2019'!N33+'February 2019'!N33+'March 2019'!N33+'April 2019'!N33</f>
        <v>90</v>
      </c>
      <c r="O35" s="114">
        <f>'November 2018'!O34+'December 2018'!O33+'January 2019'!O33+'February 2019'!O33+'March 2019'!O33+'April 2019'!O33</f>
        <v>1134</v>
      </c>
      <c r="P35" s="114">
        <f>'November 2018'!P34+'December 2018'!P33+'January 2019'!P33+'February 2019'!P33+'March 2019'!P33+'April 2019'!P33</f>
        <v>3</v>
      </c>
      <c r="Q35" s="114">
        <f>'November 2018'!Q34+'December 2018'!Q33+'January 2019'!Q33+'February 2019'!Q33+'March 2019'!Q33+'April 2019'!Q33</f>
        <v>4</v>
      </c>
      <c r="R35" s="114">
        <f>'November 2018'!R34+'December 2018'!R33+'January 2019'!R33+'February 2019'!R33+'March 2019'!R33+'April 2019'!R33</f>
        <v>124</v>
      </c>
      <c r="S35" s="114">
        <f>'November 2018'!S34+'December 2018'!S33+'January 2019'!S33+'February 2019'!S33+'March 2019'!S33+'April 2019'!S33</f>
        <v>791</v>
      </c>
      <c r="T35" s="114">
        <f>'November 2018'!T34+'December 2018'!T33+'January 2019'!T33+'February 2019'!T33+'March 2019'!T33+'April 2019'!T33</f>
        <v>6</v>
      </c>
      <c r="U35" s="114">
        <f>'November 2018'!U34+'December 2018'!U33+'January 2019'!U33+'February 2019'!U33+'March 2019'!U33+'April 2019'!U33</f>
        <v>17</v>
      </c>
      <c r="V35" s="114">
        <f>'November 2018'!V34+'December 2018'!V33+'January 2019'!V33+'February 2019'!V33+'March 2019'!V33+'April 2019'!V33</f>
        <v>6</v>
      </c>
      <c r="W35" s="114">
        <f>'November 2018'!W34+'December 2018'!W33+'January 2019'!W33+'February 2019'!W33+'March 2019'!W33+'April 2019'!W33</f>
        <v>4</v>
      </c>
      <c r="X35" s="114">
        <f>'November 2018'!X34+'December 2018'!X33+'January 2019'!X33+'February 2019'!X33+'March 2019'!X33+'April 2019'!X33</f>
        <v>24</v>
      </c>
      <c r="Y35" s="114">
        <f>'November 2018'!Y34+'December 2018'!Y33+'January 2019'!Y33+'February 2019'!Y33+'March 2019'!Y33+'April 2019'!Y33</f>
        <v>7</v>
      </c>
      <c r="Z35" s="114">
        <f>'November 2018'!Z34+'December 2018'!Z33+'January 2019'!Z33+'February 2019'!Z33+'March 2019'!Z33+'April 2019'!Z33</f>
        <v>1231</v>
      </c>
      <c r="AA35" s="114">
        <f>'November 2018'!AA34+'December 2018'!AA33+'January 2019'!AA33+'February 2019'!AA33+'March 2019'!AA33+'April 2019'!AA33</f>
        <v>944</v>
      </c>
      <c r="AB35" s="114">
        <f>'November 2018'!AB34+'December 2018'!AB33+'January 2019'!AB33+'February 2019'!AB33+'March 2019'!AB33+'April 2019'!AB33</f>
        <v>1224</v>
      </c>
      <c r="AC35" s="114">
        <f>'November 2018'!AC34+'December 2018'!AC33+'January 2019'!AC33+'February 2019'!AC33+'March 2019'!AC33+'April 2019'!AC33</f>
        <v>921</v>
      </c>
      <c r="AD35" s="80"/>
      <c r="AE35" s="116">
        <f t="shared" ref="AE35:AE40" si="10">Z35+AA35</f>
        <v>2175</v>
      </c>
      <c r="AF35" s="117">
        <f t="shared" ref="AF35:AF40" si="11">(AA35-Z35)/Z35</f>
        <v>-0.2331437855</v>
      </c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80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</row>
    <row r="36">
      <c r="A36" s="40"/>
      <c r="B36" s="40"/>
      <c r="C36" s="40"/>
      <c r="D36" s="33" t="s">
        <v>69</v>
      </c>
      <c r="F36" s="40"/>
      <c r="G36" s="40"/>
      <c r="H36" s="40"/>
      <c r="I36" s="40"/>
      <c r="J36" s="40"/>
      <c r="K36" s="40"/>
      <c r="L36" s="40"/>
      <c r="M36" s="40"/>
      <c r="N36" s="118">
        <v>135.0</v>
      </c>
      <c r="O36" s="119">
        <v>281.0</v>
      </c>
      <c r="P36" s="119">
        <v>7.0</v>
      </c>
      <c r="Q36" s="118">
        <v>10.0</v>
      </c>
      <c r="R36" s="118">
        <v>104.0</v>
      </c>
      <c r="S36" s="118">
        <v>165.0</v>
      </c>
      <c r="T36" s="118">
        <v>9.0</v>
      </c>
      <c r="U36" s="120">
        <v>7.0</v>
      </c>
      <c r="V36" s="48"/>
      <c r="W36" s="47"/>
      <c r="X36" s="47"/>
      <c r="Y36" s="49"/>
      <c r="Z36" s="46">
        <v>433.0</v>
      </c>
      <c r="AA36" s="46">
        <v>297.0</v>
      </c>
      <c r="AB36" s="121">
        <f>sum(N36:O36)</f>
        <v>416</v>
      </c>
      <c r="AC36" s="122">
        <f t="shared" ref="AC36:AC37" si="12">sum(R36:S36)</f>
        <v>269</v>
      </c>
      <c r="AD36" s="49"/>
      <c r="AE36" s="80">
        <f t="shared" si="10"/>
        <v>730</v>
      </c>
      <c r="AF36" s="117">
        <f t="shared" si="11"/>
        <v>-0.3140877598</v>
      </c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9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50"/>
      <c r="BM36" s="50"/>
      <c r="BN36" s="50"/>
    </row>
    <row r="37">
      <c r="A37" s="104"/>
      <c r="B37" s="104"/>
      <c r="C37" s="104"/>
      <c r="D37" s="105" t="s">
        <v>70</v>
      </c>
      <c r="F37" s="104"/>
      <c r="G37" s="104"/>
      <c r="H37" s="104"/>
      <c r="I37" s="104"/>
      <c r="J37" s="104"/>
      <c r="K37" s="104"/>
      <c r="L37" s="104"/>
      <c r="M37" s="104"/>
      <c r="N37" s="122">
        <v>465.0</v>
      </c>
      <c r="O37" s="122">
        <v>340.0</v>
      </c>
      <c r="P37" s="122">
        <v>24.0</v>
      </c>
      <c r="Q37" s="122">
        <v>5.0</v>
      </c>
      <c r="R37" s="122">
        <v>387.0</v>
      </c>
      <c r="S37" s="122">
        <v>343.0</v>
      </c>
      <c r="T37" s="122">
        <v>16.0</v>
      </c>
      <c r="U37" s="122">
        <v>5.0</v>
      </c>
      <c r="V37" s="123"/>
      <c r="W37" s="124"/>
      <c r="X37" s="124"/>
      <c r="Y37" s="125"/>
      <c r="Z37" s="126">
        <v>834.0</v>
      </c>
      <c r="AA37" s="126">
        <v>751.0</v>
      </c>
      <c r="AB37" s="126">
        <v>805.0</v>
      </c>
      <c r="AC37" s="122">
        <f t="shared" si="12"/>
        <v>730</v>
      </c>
      <c r="AD37" s="125"/>
      <c r="AE37" s="80">
        <f t="shared" si="10"/>
        <v>1585</v>
      </c>
      <c r="AF37" s="117">
        <f t="shared" si="11"/>
        <v>-0.09952038369</v>
      </c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5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6"/>
      <c r="BM37" s="16"/>
      <c r="BN37" s="16"/>
    </row>
    <row r="38">
      <c r="A38" s="104"/>
      <c r="B38" s="104"/>
      <c r="C38" s="104"/>
      <c r="D38" s="105" t="s">
        <v>71</v>
      </c>
      <c r="F38" s="104"/>
      <c r="G38" s="104"/>
      <c r="H38" s="104"/>
      <c r="I38" s="104"/>
      <c r="J38" s="104"/>
      <c r="K38" s="104"/>
      <c r="L38" s="104"/>
      <c r="M38" s="104"/>
      <c r="N38" s="128"/>
      <c r="O38" s="129"/>
      <c r="P38" s="129"/>
      <c r="Q38" s="127"/>
      <c r="R38" s="127"/>
      <c r="S38" s="127"/>
      <c r="T38" s="127"/>
      <c r="U38" s="124"/>
      <c r="V38" s="123"/>
      <c r="W38" s="124"/>
      <c r="X38" s="124"/>
      <c r="Y38" s="125"/>
      <c r="Z38" s="127">
        <v>688.0</v>
      </c>
      <c r="AA38" s="127">
        <v>1040.0</v>
      </c>
      <c r="AB38" s="127"/>
      <c r="AC38" s="125"/>
      <c r="AD38" s="125"/>
      <c r="AE38" s="80">
        <f t="shared" si="10"/>
        <v>1728</v>
      </c>
      <c r="AF38" s="117">
        <f t="shared" si="11"/>
        <v>0.511627907</v>
      </c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5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6"/>
      <c r="BM38" s="16"/>
      <c r="BN38" s="16"/>
    </row>
    <row r="39">
      <c r="A39" s="104"/>
      <c r="B39" s="104"/>
      <c r="C39" s="104"/>
      <c r="D39" s="105" t="s">
        <v>72</v>
      </c>
      <c r="F39" s="104"/>
      <c r="G39" s="104"/>
      <c r="H39" s="104"/>
      <c r="I39" s="104"/>
      <c r="J39" s="104"/>
      <c r="K39" s="104"/>
      <c r="L39" s="104"/>
      <c r="M39" s="130"/>
      <c r="N39" s="131"/>
      <c r="O39" s="132"/>
      <c r="P39" s="132"/>
      <c r="Q39" s="133"/>
      <c r="R39" s="133"/>
      <c r="S39" s="134"/>
      <c r="T39" s="134"/>
      <c r="U39" s="135"/>
      <c r="V39" s="136"/>
      <c r="W39" s="133"/>
      <c r="X39" s="133"/>
      <c r="Y39" s="137"/>
      <c r="Z39" s="133">
        <v>695.0</v>
      </c>
      <c r="AA39" s="133">
        <v>750.0</v>
      </c>
      <c r="AB39" s="133"/>
      <c r="AC39" s="137"/>
      <c r="AD39" s="137"/>
      <c r="AE39" s="80">
        <f t="shared" si="10"/>
        <v>1445</v>
      </c>
      <c r="AF39" s="117">
        <f t="shared" si="11"/>
        <v>0.07913669065</v>
      </c>
      <c r="AG39" s="105"/>
      <c r="AH39" s="105"/>
      <c r="AI39" s="105"/>
      <c r="AJ39" s="105"/>
      <c r="AK39" s="105"/>
      <c r="AL39" s="133"/>
      <c r="AM39" s="133"/>
      <c r="AN39" s="138"/>
      <c r="AO39" s="138"/>
      <c r="AP39" s="138"/>
      <c r="AQ39" s="137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6"/>
      <c r="BM39" s="16"/>
      <c r="BN39" s="16"/>
    </row>
    <row r="40">
      <c r="A40" s="104"/>
      <c r="B40" s="104"/>
      <c r="C40" s="104"/>
      <c r="D40" s="105" t="s">
        <v>73</v>
      </c>
      <c r="F40" s="104"/>
      <c r="G40" s="104"/>
      <c r="H40" s="104"/>
      <c r="I40" s="104"/>
      <c r="J40" s="104"/>
      <c r="K40" s="104"/>
      <c r="L40" s="104"/>
      <c r="M40" s="130"/>
      <c r="N40" s="131"/>
      <c r="O40" s="132"/>
      <c r="P40" s="132"/>
      <c r="Q40" s="133"/>
      <c r="R40" s="133"/>
      <c r="S40" s="134"/>
      <c r="T40" s="134"/>
      <c r="U40" s="135"/>
      <c r="V40" s="136"/>
      <c r="W40" s="133"/>
      <c r="X40" s="133"/>
      <c r="Y40" s="137"/>
      <c r="Z40" s="133">
        <v>580.0</v>
      </c>
      <c r="AA40" s="133">
        <v>572.0</v>
      </c>
      <c r="AB40" s="133"/>
      <c r="AC40" s="137"/>
      <c r="AD40" s="137"/>
      <c r="AE40" s="80">
        <f t="shared" si="10"/>
        <v>1152</v>
      </c>
      <c r="AF40" s="117">
        <f t="shared" si="11"/>
        <v>-0.01379310345</v>
      </c>
      <c r="AG40" s="105"/>
      <c r="AH40" s="105"/>
      <c r="AI40" s="105"/>
      <c r="AJ40" s="105"/>
      <c r="AK40" s="105"/>
      <c r="AL40" s="133"/>
      <c r="AM40" s="133"/>
      <c r="AN40" s="138"/>
      <c r="AO40" s="138"/>
      <c r="AP40" s="138"/>
      <c r="AQ40" s="137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6"/>
      <c r="BM40" s="16"/>
      <c r="BN40" s="16"/>
    </row>
    <row r="41">
      <c r="A41" s="16"/>
      <c r="B41" s="104"/>
      <c r="C41" s="104"/>
      <c r="D41" s="130"/>
      <c r="E41" s="16"/>
      <c r="F41" s="16"/>
      <c r="G41" s="16"/>
      <c r="H41" s="16"/>
      <c r="I41" s="16"/>
      <c r="J41" s="16"/>
      <c r="K41" s="16"/>
      <c r="L41" s="104"/>
      <c r="M41" s="130"/>
      <c r="N41" s="139"/>
      <c r="O41" s="140"/>
      <c r="P41" s="140"/>
      <c r="Q41" s="66"/>
      <c r="R41" s="66"/>
      <c r="S41" s="141"/>
      <c r="T41" s="141"/>
      <c r="U41" s="142"/>
      <c r="V41" s="101"/>
      <c r="W41" s="66"/>
      <c r="X41" s="66"/>
      <c r="Y41" s="102"/>
      <c r="Z41" s="66"/>
      <c r="AA41" s="66"/>
      <c r="AB41" s="66"/>
      <c r="AC41" s="102"/>
      <c r="AD41" s="102"/>
      <c r="AE41" s="102"/>
      <c r="AF41" s="7"/>
      <c r="AG41" s="7"/>
      <c r="AH41" s="7"/>
      <c r="AI41" s="7"/>
      <c r="AJ41" s="7"/>
      <c r="AK41" s="7"/>
      <c r="AL41" s="66"/>
      <c r="AM41" s="66"/>
      <c r="AN41" s="21"/>
      <c r="AO41" s="21"/>
      <c r="AP41" s="21"/>
      <c r="AQ41" s="102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</row>
    <row r="42">
      <c r="A42" s="16"/>
      <c r="B42" s="104"/>
      <c r="C42" s="104"/>
      <c r="D42" s="130"/>
      <c r="E42" s="16"/>
      <c r="F42" s="16"/>
      <c r="G42" s="16"/>
      <c r="H42" s="16"/>
      <c r="I42" s="16"/>
      <c r="J42" s="16"/>
      <c r="K42" s="16"/>
      <c r="L42" s="104"/>
      <c r="M42" s="130"/>
      <c r="N42" s="139"/>
      <c r="O42" s="140"/>
      <c r="P42" s="140"/>
      <c r="Q42" s="66"/>
      <c r="R42" s="66"/>
      <c r="S42" s="141"/>
      <c r="T42" s="141"/>
      <c r="U42" s="142"/>
      <c r="V42" s="101"/>
      <c r="W42" s="66"/>
      <c r="X42" s="66"/>
      <c r="Y42" s="102"/>
      <c r="Z42" s="66"/>
      <c r="AA42" s="66"/>
      <c r="AB42" s="66"/>
      <c r="AC42" s="102"/>
      <c r="AD42" s="102"/>
      <c r="AE42" s="102"/>
      <c r="AF42" s="7"/>
      <c r="AG42" s="7"/>
      <c r="AH42" s="7"/>
      <c r="AI42" s="7"/>
      <c r="AJ42" s="7"/>
      <c r="AK42" s="7"/>
      <c r="AL42" s="66"/>
      <c r="AM42" s="66"/>
      <c r="AN42" s="21"/>
      <c r="AO42" s="21"/>
      <c r="AP42" s="21"/>
      <c r="AQ42" s="102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</row>
    <row r="43">
      <c r="A43" s="16"/>
      <c r="B43" s="104"/>
      <c r="C43" s="104"/>
      <c r="D43" s="130"/>
      <c r="E43" s="16"/>
      <c r="F43" s="16"/>
      <c r="G43" s="16"/>
      <c r="H43" s="16"/>
      <c r="I43" s="16"/>
      <c r="J43" s="16"/>
      <c r="K43" s="16"/>
      <c r="L43" s="104"/>
      <c r="M43" s="130"/>
      <c r="N43" s="139"/>
      <c r="O43" s="140"/>
      <c r="P43" s="140"/>
      <c r="Q43" s="66"/>
      <c r="R43" s="66"/>
      <c r="S43" s="141"/>
      <c r="T43" s="141"/>
      <c r="U43" s="142"/>
      <c r="V43" s="101"/>
      <c r="W43" s="66"/>
      <c r="X43" s="66"/>
      <c r="Y43" s="102"/>
      <c r="Z43" s="126"/>
      <c r="AA43" s="126"/>
      <c r="AB43" s="126"/>
      <c r="AC43" s="126"/>
      <c r="AD43" s="102"/>
      <c r="AE43" s="102"/>
      <c r="AF43" s="7"/>
      <c r="AG43" s="7"/>
      <c r="AH43" s="7"/>
      <c r="AI43" s="7"/>
      <c r="AJ43" s="7"/>
      <c r="AK43" s="7"/>
      <c r="AL43" s="66"/>
      <c r="AM43" s="66"/>
      <c r="AN43" s="21"/>
      <c r="AO43" s="21"/>
      <c r="AP43" s="21"/>
      <c r="AQ43" s="102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39"/>
      <c r="O44" s="140"/>
      <c r="P44" s="140"/>
      <c r="Q44" s="66"/>
      <c r="R44" s="66"/>
      <c r="S44" s="141"/>
      <c r="T44" s="141"/>
      <c r="U44" s="66"/>
      <c r="V44" s="101"/>
      <c r="W44" s="66"/>
      <c r="X44" s="66"/>
      <c r="Y44" s="102"/>
      <c r="Z44" s="143"/>
      <c r="AA44" s="143"/>
      <c r="AB44" s="66"/>
      <c r="AC44" s="102"/>
      <c r="AD44" s="102"/>
      <c r="AE44" s="102"/>
      <c r="AF44" s="7"/>
      <c r="AG44" s="7"/>
      <c r="AH44" s="7"/>
      <c r="AI44" s="7"/>
      <c r="AJ44" s="7"/>
      <c r="AK44" s="7"/>
      <c r="AL44" s="66"/>
      <c r="AM44" s="66"/>
      <c r="AN44" s="21"/>
      <c r="AO44" s="21"/>
      <c r="AP44" s="21"/>
      <c r="AQ44" s="102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39"/>
      <c r="O45" s="140"/>
      <c r="P45" s="140"/>
      <c r="Q45" s="66"/>
      <c r="R45" s="66"/>
      <c r="S45" s="141"/>
      <c r="T45" s="141"/>
      <c r="U45" s="66"/>
      <c r="V45" s="66"/>
      <c r="W45" s="66"/>
      <c r="X45" s="66"/>
      <c r="Y45" s="102"/>
      <c r="Z45" s="46"/>
      <c r="AA45" s="46"/>
      <c r="AB45" s="66"/>
      <c r="AC45" s="102"/>
      <c r="AD45" s="102"/>
      <c r="AE45" s="102"/>
      <c r="AF45" s="7"/>
      <c r="AG45" s="7"/>
      <c r="AH45" s="7"/>
      <c r="AI45" s="7"/>
      <c r="AJ45" s="7"/>
      <c r="AK45" s="7"/>
      <c r="AL45" s="66"/>
      <c r="AM45" s="66"/>
      <c r="AN45" s="21"/>
      <c r="AO45" s="21"/>
      <c r="AP45" s="21"/>
      <c r="AQ45" s="102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39"/>
      <c r="O46" s="140"/>
      <c r="P46" s="140"/>
      <c r="Q46" s="66"/>
      <c r="R46" s="66"/>
      <c r="S46" s="141"/>
      <c r="T46" s="6"/>
      <c r="U46" s="142"/>
      <c r="V46" s="101"/>
      <c r="W46" s="66"/>
      <c r="X46" s="66"/>
      <c r="Y46" s="102"/>
      <c r="Z46" s="127"/>
      <c r="AA46" s="127"/>
      <c r="AB46" s="66"/>
      <c r="AC46" s="102"/>
      <c r="AD46" s="102"/>
      <c r="AE46" s="102"/>
      <c r="AF46" s="7"/>
      <c r="AG46" s="7"/>
      <c r="AH46" s="7"/>
      <c r="AI46" s="7"/>
      <c r="AJ46" s="7"/>
      <c r="AK46" s="7"/>
      <c r="AL46" s="66"/>
      <c r="AM46" s="66"/>
      <c r="AN46" s="21"/>
      <c r="AO46" s="21"/>
      <c r="AP46" s="21"/>
      <c r="AQ46" s="102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39"/>
      <c r="O47" s="140"/>
      <c r="P47" s="140"/>
      <c r="Q47" s="66"/>
      <c r="R47" s="66"/>
      <c r="S47" s="141"/>
      <c r="T47" s="141"/>
      <c r="U47" s="66"/>
      <c r="V47" s="101"/>
      <c r="W47" s="66"/>
      <c r="X47" s="66"/>
      <c r="Y47" s="102"/>
      <c r="Z47" s="127"/>
      <c r="AA47" s="127"/>
      <c r="AB47" s="66"/>
      <c r="AC47" s="102"/>
      <c r="AD47" s="102"/>
      <c r="AE47" s="102"/>
      <c r="AF47" s="7"/>
      <c r="AG47" s="7"/>
      <c r="AH47" s="7"/>
      <c r="AI47" s="7"/>
      <c r="AJ47" s="7"/>
      <c r="AK47" s="7"/>
      <c r="AL47" s="66"/>
      <c r="AM47" s="66"/>
      <c r="AN47" s="21"/>
      <c r="AO47" s="21"/>
      <c r="AP47" s="21"/>
      <c r="AQ47" s="102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39"/>
      <c r="O48" s="140"/>
      <c r="P48" s="140"/>
      <c r="Q48" s="66"/>
      <c r="R48" s="66"/>
      <c r="S48" s="141"/>
      <c r="T48" s="141"/>
      <c r="U48" s="66"/>
      <c r="V48" s="101"/>
      <c r="W48" s="66"/>
      <c r="X48" s="66"/>
      <c r="Y48" s="102"/>
      <c r="Z48" s="133"/>
      <c r="AA48" s="133"/>
      <c r="AB48" s="66"/>
      <c r="AC48" s="102"/>
      <c r="AD48" s="102"/>
      <c r="AE48" s="102"/>
      <c r="AF48" s="7"/>
      <c r="AG48" s="7"/>
      <c r="AH48" s="7"/>
      <c r="AI48" s="7"/>
      <c r="AJ48" s="7"/>
      <c r="AK48" s="7"/>
      <c r="AL48" s="66"/>
      <c r="AM48" s="66"/>
      <c r="AN48" s="21"/>
      <c r="AO48" s="21"/>
      <c r="AP48" s="21"/>
      <c r="AQ48" s="102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39"/>
      <c r="O49" s="140"/>
      <c r="P49" s="140"/>
      <c r="Q49" s="66"/>
      <c r="R49" s="66"/>
      <c r="S49" s="141"/>
      <c r="T49" s="141"/>
      <c r="U49" s="142"/>
      <c r="V49" s="101"/>
      <c r="W49" s="66"/>
      <c r="X49" s="66"/>
      <c r="Y49" s="102"/>
      <c r="Z49" s="133"/>
      <c r="AA49" s="133"/>
      <c r="AB49" s="66"/>
      <c r="AC49" s="102"/>
      <c r="AD49" s="102"/>
      <c r="AE49" s="102"/>
      <c r="AF49" s="7"/>
      <c r="AG49" s="7"/>
      <c r="AH49" s="7"/>
      <c r="AI49" s="7"/>
      <c r="AJ49" s="7"/>
      <c r="AK49" s="7"/>
      <c r="AL49" s="66"/>
      <c r="AM49" s="66"/>
      <c r="AN49" s="21"/>
      <c r="AO49" s="21"/>
      <c r="AP49" s="21"/>
      <c r="AQ49" s="102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</row>
    <row r="50">
      <c r="A50" s="16"/>
      <c r="B50" s="16"/>
      <c r="C50" s="16"/>
      <c r="D50" s="16"/>
      <c r="E50" s="6"/>
      <c r="F50" s="6"/>
      <c r="G50" s="6"/>
      <c r="H50" s="6"/>
      <c r="I50" s="6"/>
      <c r="J50" s="16"/>
      <c r="K50" s="16"/>
      <c r="L50" s="16"/>
      <c r="M50" s="16"/>
      <c r="N50" s="139"/>
      <c r="O50" s="140"/>
      <c r="P50" s="140"/>
      <c r="Q50" s="66"/>
      <c r="R50" s="66"/>
      <c r="S50" s="141"/>
      <c r="T50" s="144"/>
      <c r="U50" s="66"/>
      <c r="V50" s="101"/>
      <c r="W50" s="66"/>
      <c r="X50" s="66"/>
      <c r="Y50" s="102"/>
      <c r="Z50" s="66"/>
      <c r="AA50" s="66"/>
      <c r="AB50" s="66"/>
      <c r="AC50" s="102"/>
      <c r="AD50" s="102"/>
      <c r="AE50" s="102"/>
      <c r="AF50" s="7"/>
      <c r="AG50" s="7"/>
      <c r="AH50" s="7"/>
      <c r="AI50" s="7"/>
      <c r="AJ50" s="7"/>
      <c r="AK50" s="7"/>
      <c r="AL50" s="66"/>
      <c r="AM50" s="66"/>
      <c r="AN50" s="21"/>
      <c r="AO50" s="21"/>
      <c r="AP50" s="21"/>
      <c r="AQ50" s="102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</row>
    <row r="51">
      <c r="A51" s="16"/>
      <c r="B51" s="16"/>
      <c r="C51" s="16"/>
      <c r="D51" s="16"/>
      <c r="E51" s="6"/>
      <c r="F51" s="6"/>
      <c r="G51" s="6"/>
      <c r="H51" s="6"/>
      <c r="I51" s="6"/>
      <c r="J51" s="16"/>
      <c r="K51" s="16"/>
      <c r="L51" s="16"/>
      <c r="M51" s="16"/>
      <c r="N51" s="139"/>
      <c r="O51" s="140"/>
      <c r="P51" s="140"/>
      <c r="Q51" s="66"/>
      <c r="R51" s="66"/>
      <c r="S51" s="141"/>
      <c r="T51" s="141"/>
      <c r="U51" s="142"/>
      <c r="V51" s="101"/>
      <c r="W51" s="66"/>
      <c r="X51" s="66"/>
      <c r="Y51" s="102"/>
      <c r="Z51" s="66"/>
      <c r="AA51" s="66"/>
      <c r="AB51" s="66"/>
      <c r="AC51" s="102"/>
      <c r="AD51" s="102"/>
      <c r="AE51" s="102"/>
      <c r="AF51" s="7"/>
      <c r="AG51" s="7"/>
      <c r="AH51" s="7"/>
      <c r="AI51" s="7"/>
      <c r="AJ51" s="7"/>
      <c r="AK51" s="7"/>
      <c r="AL51" s="66"/>
      <c r="AM51" s="66"/>
      <c r="AN51" s="21"/>
      <c r="AO51" s="21"/>
      <c r="AP51" s="21"/>
      <c r="AQ51" s="102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</row>
    <row r="52">
      <c r="A52" s="16"/>
      <c r="B52" s="16"/>
      <c r="C52" s="16"/>
      <c r="D52" s="16"/>
      <c r="E52" s="6"/>
      <c r="F52" s="6"/>
      <c r="G52" s="6"/>
      <c r="H52" s="6"/>
      <c r="I52" s="6"/>
      <c r="J52" s="16"/>
      <c r="K52" s="16"/>
      <c r="L52" s="16"/>
      <c r="M52" s="16"/>
      <c r="N52" s="139"/>
      <c r="O52" s="140"/>
      <c r="P52" s="140"/>
      <c r="Q52" s="66"/>
      <c r="R52" s="66"/>
      <c r="S52" s="141"/>
      <c r="T52" s="141"/>
      <c r="U52" s="142"/>
      <c r="V52" s="101"/>
      <c r="W52" s="66"/>
      <c r="X52" s="66"/>
      <c r="Y52" s="102"/>
      <c r="Z52" s="66"/>
      <c r="AA52" s="66"/>
      <c r="AB52" s="66"/>
      <c r="AC52" s="102"/>
      <c r="AD52" s="102"/>
      <c r="AE52" s="102"/>
      <c r="AF52" s="7"/>
      <c r="AG52" s="7"/>
      <c r="AH52" s="7"/>
      <c r="AI52" s="7"/>
      <c r="AJ52" s="7"/>
      <c r="AK52" s="7"/>
      <c r="AL52" s="66"/>
      <c r="AM52" s="66"/>
      <c r="AN52" s="21"/>
      <c r="AO52" s="21"/>
      <c r="AP52" s="21"/>
      <c r="AQ52" s="145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</row>
    <row r="53">
      <c r="A53" s="16"/>
      <c r="B53" s="16"/>
      <c r="C53" s="16"/>
      <c r="D53" s="16"/>
      <c r="E53" s="6"/>
      <c r="F53" s="6"/>
      <c r="G53" s="6"/>
      <c r="H53" s="6"/>
      <c r="I53" s="6"/>
      <c r="J53" s="16"/>
      <c r="K53" s="16"/>
      <c r="L53" s="16"/>
      <c r="M53" s="16"/>
      <c r="N53" s="139"/>
      <c r="O53" s="140"/>
      <c r="P53" s="140"/>
      <c r="Q53" s="66"/>
      <c r="R53" s="66"/>
      <c r="S53" s="141"/>
      <c r="T53" s="141"/>
      <c r="U53" s="142"/>
      <c r="V53" s="101"/>
      <c r="W53" s="66"/>
      <c r="X53" s="66"/>
      <c r="Y53" s="102"/>
      <c r="Z53" s="66"/>
      <c r="AA53" s="66"/>
      <c r="AB53" s="66"/>
      <c r="AC53" s="102"/>
      <c r="AD53" s="102"/>
      <c r="AE53" s="102"/>
      <c r="AF53" s="7"/>
      <c r="AG53" s="7"/>
      <c r="AH53" s="7"/>
      <c r="AI53" s="7"/>
      <c r="AJ53" s="7"/>
      <c r="AK53" s="7"/>
      <c r="AL53" s="66"/>
      <c r="AM53" s="66"/>
      <c r="AN53" s="21"/>
      <c r="AO53" s="21"/>
      <c r="AP53" s="21"/>
      <c r="AQ53" s="102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</row>
    <row r="54">
      <c r="A54" s="16"/>
      <c r="B54" s="16"/>
      <c r="C54" s="16"/>
      <c r="D54" s="16"/>
      <c r="E54" s="6"/>
      <c r="F54" s="6"/>
      <c r="G54" s="6"/>
      <c r="H54" s="6"/>
      <c r="I54" s="6"/>
      <c r="J54" s="16"/>
      <c r="K54" s="16"/>
      <c r="L54" s="16"/>
      <c r="M54" s="16"/>
      <c r="N54" s="139"/>
      <c r="O54" s="140"/>
      <c r="P54" s="140"/>
      <c r="Q54" s="66"/>
      <c r="R54" s="66"/>
      <c r="S54" s="141"/>
      <c r="T54" s="141"/>
      <c r="U54" s="142"/>
      <c r="V54" s="101"/>
      <c r="W54" s="66"/>
      <c r="X54" s="66"/>
      <c r="Y54" s="102"/>
      <c r="Z54" s="66"/>
      <c r="AA54" s="66"/>
      <c r="AB54" s="66"/>
      <c r="AC54" s="102"/>
      <c r="AD54" s="102"/>
      <c r="AE54" s="102"/>
      <c r="AF54" s="7"/>
      <c r="AG54" s="7"/>
      <c r="AH54" s="7"/>
      <c r="AI54" s="7"/>
      <c r="AJ54" s="7"/>
      <c r="AK54" s="7"/>
      <c r="AL54" s="66"/>
      <c r="AM54" s="66"/>
      <c r="AN54" s="21"/>
      <c r="AO54" s="21"/>
      <c r="AP54" s="21"/>
      <c r="AQ54" s="102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</row>
    <row r="55">
      <c r="A55" s="16"/>
      <c r="B55" s="16"/>
      <c r="C55" s="16"/>
      <c r="D55" s="16"/>
      <c r="E55" s="6"/>
      <c r="F55" s="6"/>
      <c r="G55" s="6"/>
      <c r="H55" s="6"/>
      <c r="I55" s="6"/>
      <c r="J55" s="16"/>
      <c r="K55" s="16"/>
      <c r="L55" s="16"/>
      <c r="M55" s="16"/>
      <c r="N55" s="139"/>
      <c r="O55" s="140"/>
      <c r="P55" s="140"/>
      <c r="Q55" s="66"/>
      <c r="R55" s="66"/>
      <c r="S55" s="6"/>
      <c r="T55" s="6"/>
      <c r="U55" s="142"/>
      <c r="V55" s="101"/>
      <c r="W55" s="66"/>
      <c r="X55" s="66"/>
      <c r="Y55" s="102"/>
      <c r="Z55" s="66"/>
      <c r="AA55" s="66"/>
      <c r="AB55" s="66"/>
      <c r="AC55" s="102"/>
      <c r="AD55" s="102"/>
      <c r="AE55" s="102"/>
      <c r="AF55" s="7"/>
      <c r="AG55" s="7"/>
      <c r="AH55" s="7"/>
      <c r="AI55" s="7"/>
      <c r="AJ55" s="7"/>
      <c r="AK55" s="7"/>
      <c r="AL55" s="66"/>
      <c r="AM55" s="66"/>
      <c r="AN55" s="21"/>
      <c r="AO55" s="21"/>
      <c r="AP55" s="21"/>
      <c r="AQ55" s="145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</row>
    <row r="56">
      <c r="A56" s="16"/>
      <c r="B56" s="16"/>
      <c r="C56" s="16"/>
      <c r="D56" s="16"/>
      <c r="E56" s="6"/>
      <c r="F56" s="6"/>
      <c r="G56" s="6"/>
      <c r="H56" s="6"/>
      <c r="I56" s="6"/>
      <c r="J56" s="16"/>
      <c r="K56" s="16"/>
      <c r="L56" s="16"/>
      <c r="M56" s="16"/>
      <c r="N56" s="139"/>
      <c r="O56" s="140"/>
      <c r="P56" s="140"/>
      <c r="Q56" s="66"/>
      <c r="R56" s="66"/>
      <c r="S56" s="6"/>
      <c r="T56" s="6"/>
      <c r="U56" s="142"/>
      <c r="V56" s="101"/>
      <c r="W56" s="66"/>
      <c r="X56" s="66"/>
      <c r="Y56" s="102"/>
      <c r="Z56" s="66"/>
      <c r="AA56" s="66"/>
      <c r="AB56" s="66"/>
      <c r="AC56" s="102"/>
      <c r="AD56" s="102"/>
      <c r="AE56" s="102"/>
      <c r="AF56" s="7"/>
      <c r="AG56" s="7"/>
      <c r="AH56" s="7"/>
      <c r="AI56" s="7"/>
      <c r="AJ56" s="7"/>
      <c r="AK56" s="7"/>
      <c r="AL56" s="66"/>
      <c r="AM56" s="66"/>
      <c r="AN56" s="21"/>
      <c r="AO56" s="21"/>
      <c r="AP56" s="21"/>
      <c r="AQ56" s="145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</row>
    <row r="57">
      <c r="A57" s="16"/>
      <c r="B57" s="16"/>
      <c r="C57" s="16"/>
      <c r="D57" s="16"/>
      <c r="E57" s="6"/>
      <c r="F57" s="6"/>
      <c r="G57" s="6"/>
      <c r="H57" s="6"/>
      <c r="I57" s="6"/>
      <c r="J57" s="16"/>
      <c r="K57" s="16"/>
      <c r="L57" s="16"/>
      <c r="M57" s="16"/>
      <c r="N57" s="139"/>
      <c r="O57" s="140"/>
      <c r="P57" s="140"/>
      <c r="Q57" s="66"/>
      <c r="R57" s="66"/>
      <c r="S57" s="6"/>
      <c r="T57" s="6"/>
      <c r="U57" s="142"/>
      <c r="V57" s="101"/>
      <c r="W57" s="66"/>
      <c r="X57" s="66"/>
      <c r="Y57" s="145"/>
      <c r="Z57" s="66"/>
      <c r="AA57" s="66"/>
      <c r="AB57" s="66"/>
      <c r="AC57" s="102"/>
      <c r="AD57" s="102"/>
      <c r="AE57" s="102"/>
      <c r="AF57" s="7"/>
      <c r="AG57" s="7"/>
      <c r="AH57" s="7"/>
      <c r="AI57" s="7"/>
      <c r="AJ57" s="7"/>
      <c r="AK57" s="7"/>
      <c r="AL57" s="66"/>
      <c r="AM57" s="66"/>
      <c r="AN57" s="21"/>
      <c r="AO57" s="21"/>
      <c r="AP57" s="21"/>
      <c r="AQ57" s="145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</row>
    <row r="58">
      <c r="A58" s="16"/>
      <c r="B58" s="16"/>
      <c r="C58" s="16"/>
      <c r="D58" s="16"/>
      <c r="E58" s="6"/>
      <c r="F58" s="6"/>
      <c r="G58" s="6"/>
      <c r="H58" s="6"/>
      <c r="I58" s="6"/>
      <c r="J58" s="16"/>
      <c r="K58" s="16"/>
      <c r="L58" s="16"/>
      <c r="M58" s="16"/>
      <c r="N58" s="139"/>
      <c r="O58" s="146"/>
      <c r="P58" s="146"/>
      <c r="Q58" s="66"/>
      <c r="R58" s="6"/>
      <c r="S58" s="6"/>
      <c r="T58" s="6"/>
      <c r="U58" s="142"/>
      <c r="V58" s="101"/>
      <c r="W58" s="66"/>
      <c r="X58" s="66"/>
      <c r="Y58" s="145"/>
      <c r="Z58" s="66"/>
      <c r="AA58" s="66"/>
      <c r="AB58" s="66"/>
      <c r="AC58" s="102"/>
      <c r="AD58" s="102"/>
      <c r="AE58" s="102"/>
      <c r="AF58" s="7"/>
      <c r="AG58" s="7"/>
      <c r="AH58" s="7"/>
      <c r="AI58" s="7"/>
      <c r="AJ58" s="7"/>
      <c r="AK58" s="7"/>
      <c r="AL58" s="66"/>
      <c r="AM58" s="66"/>
      <c r="AN58" s="21"/>
      <c r="AO58" s="21"/>
      <c r="AP58" s="21"/>
      <c r="AQ58" s="145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</row>
    <row r="59">
      <c r="A59" s="16"/>
      <c r="B59" s="16"/>
      <c r="C59" s="16"/>
      <c r="D59" s="16"/>
      <c r="E59" s="6"/>
      <c r="F59" s="6"/>
      <c r="G59" s="6"/>
      <c r="H59" s="6"/>
      <c r="I59" s="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91"/>
      <c r="Z59" s="16"/>
      <c r="AA59" s="16"/>
      <c r="AB59" s="16"/>
      <c r="AC59" s="91"/>
      <c r="AD59" s="91"/>
      <c r="AE59" s="91"/>
      <c r="AF59" s="16"/>
      <c r="AG59" s="16"/>
      <c r="AH59" s="16"/>
      <c r="AI59" s="16"/>
      <c r="AJ59" s="16"/>
      <c r="AK59" s="16"/>
      <c r="AL59" s="16"/>
      <c r="AM59" s="147"/>
      <c r="AN59" s="16"/>
      <c r="AO59" s="16"/>
      <c r="AP59" s="104"/>
      <c r="AQ59" s="91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</row>
    <row r="60">
      <c r="A60" s="16"/>
      <c r="B60" s="16"/>
      <c r="C60" s="16"/>
      <c r="D60" s="16"/>
      <c r="E60" s="6"/>
      <c r="F60" s="6"/>
      <c r="G60" s="6"/>
      <c r="H60" s="6"/>
      <c r="I60" s="6"/>
      <c r="J60" s="16"/>
      <c r="K60" s="16"/>
      <c r="L60" s="16"/>
      <c r="M60" s="16"/>
      <c r="N60" s="103"/>
      <c r="O60" s="103"/>
      <c r="P60" s="104"/>
      <c r="Q60" s="104"/>
      <c r="R60" s="105"/>
      <c r="S60" s="104"/>
      <c r="T60" s="104"/>
      <c r="U60" s="148"/>
      <c r="V60" s="149"/>
      <c r="W60" s="104"/>
      <c r="X60" s="104"/>
      <c r="Y60" s="91"/>
      <c r="Z60" s="150"/>
      <c r="AA60" s="150"/>
      <c r="AB60" s="150"/>
      <c r="AC60" s="151"/>
      <c r="AD60" s="151"/>
      <c r="AE60" s="151"/>
      <c r="AF60" s="152"/>
      <c r="AG60" s="152"/>
      <c r="AH60" s="152"/>
      <c r="AI60" s="152"/>
      <c r="AJ60" s="152"/>
      <c r="AK60" s="152"/>
      <c r="AL60" s="150"/>
      <c r="AM60" s="150"/>
      <c r="AN60" s="104"/>
      <c r="AO60" s="104"/>
      <c r="AP60" s="104"/>
      <c r="AQ60" s="91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</row>
    <row r="61">
      <c r="A61" s="16"/>
      <c r="B61" s="16"/>
      <c r="C61" s="16"/>
      <c r="D61" s="16"/>
      <c r="E61" s="6"/>
      <c r="F61" s="6"/>
      <c r="G61" s="6"/>
      <c r="H61" s="6"/>
      <c r="I61" s="6"/>
      <c r="J61" s="16"/>
      <c r="K61" s="16"/>
      <c r="L61" s="16"/>
      <c r="M61" s="16"/>
      <c r="N61" s="16"/>
      <c r="O61" s="104"/>
      <c r="P61" s="104"/>
      <c r="Q61" s="104"/>
      <c r="R61" s="105"/>
      <c r="S61" s="104"/>
      <c r="T61" s="104"/>
      <c r="U61" s="104"/>
      <c r="V61" s="149"/>
      <c r="W61" s="104"/>
      <c r="X61" s="104"/>
      <c r="Y61" s="16"/>
      <c r="Z61" s="16"/>
      <c r="AA61" s="16"/>
      <c r="AB61" s="104"/>
      <c r="AC61" s="153"/>
      <c r="AD61" s="153"/>
      <c r="AE61" s="153"/>
      <c r="AF61" s="104"/>
      <c r="AG61" s="104"/>
      <c r="AH61" s="104"/>
      <c r="AI61" s="104"/>
      <c r="AJ61" s="105"/>
      <c r="AK61" s="104"/>
      <c r="AL61" s="104"/>
      <c r="AM61" s="147"/>
      <c r="AN61" s="152"/>
      <c r="AO61" s="154"/>
      <c r="AP61" s="152"/>
      <c r="AQ61" s="91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</row>
    <row r="62">
      <c r="A62" s="16"/>
      <c r="B62" s="16"/>
      <c r="C62" s="16"/>
      <c r="D62" s="16"/>
      <c r="E62" s="6"/>
      <c r="F62" s="6"/>
      <c r="G62" s="6"/>
      <c r="H62" s="6"/>
      <c r="I62" s="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91"/>
      <c r="Z62" s="16"/>
      <c r="AA62" s="16"/>
      <c r="AB62" s="16"/>
      <c r="AC62" s="91"/>
      <c r="AD62" s="91"/>
      <c r="AE62" s="91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</row>
    <row r="63">
      <c r="A63" s="16"/>
      <c r="B63" s="16"/>
      <c r="C63" s="16"/>
      <c r="D63" s="16"/>
      <c r="E63" s="6"/>
      <c r="F63" s="6"/>
      <c r="G63" s="6"/>
      <c r="H63" s="6"/>
      <c r="I63" s="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91"/>
      <c r="Z63" s="16"/>
      <c r="AA63" s="16"/>
      <c r="AB63" s="16"/>
      <c r="AC63" s="91"/>
      <c r="AD63" s="91"/>
      <c r="AE63" s="91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</row>
    <row r="64">
      <c r="A64" s="16"/>
      <c r="B64" s="16"/>
      <c r="C64" s="16"/>
      <c r="D64" s="16"/>
      <c r="E64" s="6"/>
      <c r="F64" s="6"/>
      <c r="G64" s="6"/>
      <c r="H64" s="6"/>
      <c r="I64" s="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91"/>
      <c r="Z64" s="16"/>
      <c r="AA64" s="16"/>
      <c r="AB64" s="16"/>
      <c r="AC64" s="91"/>
      <c r="AD64" s="91"/>
      <c r="AE64" s="91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</row>
    <row r="65">
      <c r="A65" s="16"/>
      <c r="B65" s="16"/>
      <c r="C65" s="16"/>
      <c r="D65" s="16"/>
      <c r="E65" s="6"/>
      <c r="F65" s="6"/>
      <c r="G65" s="6"/>
      <c r="H65" s="6"/>
      <c r="I65" s="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91"/>
      <c r="Z65" s="16"/>
      <c r="AA65" s="16"/>
      <c r="AB65" s="16"/>
      <c r="AC65" s="91"/>
      <c r="AD65" s="91"/>
      <c r="AE65" s="91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</row>
    <row r="66">
      <c r="A66" s="16"/>
      <c r="B66" s="16"/>
      <c r="C66" s="16"/>
      <c r="D66" s="16"/>
      <c r="E66" s="6"/>
      <c r="F66" s="6"/>
      <c r="G66" s="6"/>
      <c r="H66" s="6"/>
      <c r="I66" s="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91"/>
      <c r="Z66" s="16"/>
      <c r="AA66" s="16"/>
      <c r="AB66" s="16"/>
      <c r="AC66" s="91"/>
      <c r="AD66" s="91"/>
      <c r="AE66" s="91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</row>
    <row r="67">
      <c r="A67" s="16"/>
      <c r="B67" s="16"/>
      <c r="C67" s="16"/>
      <c r="D67" s="16"/>
      <c r="E67" s="6"/>
      <c r="F67" s="6"/>
      <c r="G67" s="6"/>
      <c r="H67" s="6"/>
      <c r="I67" s="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91"/>
      <c r="Z67" s="16"/>
      <c r="AA67" s="16"/>
      <c r="AB67" s="16"/>
      <c r="AC67" s="91"/>
      <c r="AD67" s="91"/>
      <c r="AE67" s="91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</row>
    <row r="68">
      <c r="A68" s="16"/>
      <c r="B68" s="16"/>
      <c r="C68" s="16"/>
      <c r="D68" s="16"/>
      <c r="E68" s="6"/>
      <c r="F68" s="6"/>
      <c r="G68" s="6"/>
      <c r="H68" s="6"/>
      <c r="I68" s="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91"/>
      <c r="Z68" s="16"/>
      <c r="AA68" s="16"/>
      <c r="AB68" s="16"/>
      <c r="AC68" s="91"/>
      <c r="AD68" s="91"/>
      <c r="AE68" s="91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</row>
    <row r="69">
      <c r="A69" s="16"/>
      <c r="B69" s="16"/>
      <c r="C69" s="16"/>
      <c r="D69" s="16"/>
      <c r="E69" s="6"/>
      <c r="F69" s="6"/>
      <c r="G69" s="6"/>
      <c r="H69" s="6"/>
      <c r="I69" s="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91"/>
      <c r="Z69" s="16"/>
      <c r="AA69" s="16"/>
      <c r="AB69" s="16"/>
      <c r="AC69" s="91"/>
      <c r="AD69" s="91"/>
      <c r="AE69" s="91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</row>
    <row r="70">
      <c r="A70" s="16"/>
      <c r="B70" s="16"/>
      <c r="C70" s="16"/>
      <c r="D70" s="16"/>
      <c r="E70" s="6"/>
      <c r="F70" s="6"/>
      <c r="G70" s="6"/>
      <c r="H70" s="6"/>
      <c r="I70" s="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91"/>
      <c r="Z70" s="16"/>
      <c r="AA70" s="16"/>
      <c r="AB70" s="16"/>
      <c r="AC70" s="91"/>
      <c r="AD70" s="91"/>
      <c r="AE70" s="91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</row>
    <row r="71">
      <c r="A71" s="16"/>
      <c r="B71" s="16"/>
      <c r="C71" s="16"/>
      <c r="D71" s="16"/>
      <c r="E71" s="6"/>
      <c r="F71" s="6"/>
      <c r="G71" s="6"/>
      <c r="H71" s="6"/>
      <c r="I71" s="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91"/>
      <c r="Z71" s="16"/>
      <c r="AA71" s="16"/>
      <c r="AB71" s="16"/>
      <c r="AC71" s="91"/>
      <c r="AD71" s="91"/>
      <c r="AE71" s="91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</row>
    <row r="72">
      <c r="A72" s="16"/>
      <c r="B72" s="16"/>
      <c r="C72" s="16"/>
      <c r="D72" s="16"/>
      <c r="E72" s="6"/>
      <c r="F72" s="6"/>
      <c r="G72" s="6"/>
      <c r="H72" s="6"/>
      <c r="I72" s="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91"/>
      <c r="Z72" s="16"/>
      <c r="AA72" s="16"/>
      <c r="AB72" s="16"/>
      <c r="AC72" s="91"/>
      <c r="AD72" s="91"/>
      <c r="AE72" s="91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</row>
    <row r="73">
      <c r="A73" s="16"/>
      <c r="B73" s="16"/>
      <c r="C73" s="16"/>
      <c r="D73" s="16"/>
      <c r="E73" s="6"/>
      <c r="F73" s="6"/>
      <c r="G73" s="6"/>
      <c r="H73" s="6"/>
      <c r="I73" s="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91"/>
      <c r="Z73" s="16"/>
      <c r="AA73" s="16"/>
      <c r="AB73" s="16"/>
      <c r="AC73" s="91"/>
      <c r="AD73" s="91"/>
      <c r="AE73" s="91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</row>
    <row r="74">
      <c r="A74" s="16"/>
      <c r="B74" s="16"/>
      <c r="C74" s="16"/>
      <c r="D74" s="16"/>
      <c r="E74" s="6"/>
      <c r="F74" s="6"/>
      <c r="G74" s="6"/>
      <c r="H74" s="6"/>
      <c r="I74" s="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91"/>
      <c r="Z74" s="16"/>
      <c r="AA74" s="16"/>
      <c r="AB74" s="16"/>
      <c r="AC74" s="91"/>
      <c r="AD74" s="91"/>
      <c r="AE74" s="91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</row>
    <row r="75">
      <c r="A75" s="16"/>
      <c r="B75" s="16"/>
      <c r="C75" s="16"/>
      <c r="D75" s="16"/>
      <c r="E75" s="6"/>
      <c r="F75" s="6"/>
      <c r="G75" s="6"/>
      <c r="H75" s="6"/>
      <c r="I75" s="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91"/>
      <c r="Z75" s="16"/>
      <c r="AA75" s="16"/>
      <c r="AB75" s="16"/>
      <c r="AC75" s="91"/>
      <c r="AD75" s="91"/>
      <c r="AE75" s="91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</row>
    <row r="76">
      <c r="A76" s="16"/>
      <c r="B76" s="16"/>
      <c r="C76" s="16"/>
      <c r="D76" s="16"/>
      <c r="E76" s="6"/>
      <c r="F76" s="6"/>
      <c r="G76" s="6"/>
      <c r="H76" s="6"/>
      <c r="I76" s="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91"/>
      <c r="Z76" s="16"/>
      <c r="AA76" s="16"/>
      <c r="AB76" s="16"/>
      <c r="AC76" s="91"/>
      <c r="AD76" s="91"/>
      <c r="AE76" s="91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</row>
    <row r="77">
      <c r="A77" s="16"/>
      <c r="B77" s="16"/>
      <c r="C77" s="16"/>
      <c r="D77" s="16"/>
      <c r="E77" s="6"/>
      <c r="F77" s="6"/>
      <c r="G77" s="6"/>
      <c r="H77" s="6"/>
      <c r="I77" s="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91"/>
      <c r="Z77" s="16"/>
      <c r="AA77" s="16"/>
      <c r="AB77" s="16"/>
      <c r="AC77" s="91"/>
      <c r="AD77" s="91"/>
      <c r="AE77" s="91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</row>
    <row r="78">
      <c r="A78" s="16"/>
      <c r="B78" s="16"/>
      <c r="C78" s="16"/>
      <c r="D78" s="16"/>
      <c r="E78" s="6"/>
      <c r="F78" s="6"/>
      <c r="G78" s="6"/>
      <c r="H78" s="6"/>
      <c r="I78" s="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91"/>
      <c r="Z78" s="16"/>
      <c r="AA78" s="16"/>
      <c r="AB78" s="16"/>
      <c r="AC78" s="91"/>
      <c r="AD78" s="91"/>
      <c r="AE78" s="91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</row>
    <row r="79">
      <c r="A79" s="16"/>
      <c r="B79" s="16"/>
      <c r="C79" s="16"/>
      <c r="D79" s="16"/>
      <c r="E79" s="6"/>
      <c r="F79" s="6"/>
      <c r="G79" s="6"/>
      <c r="H79" s="6"/>
      <c r="I79" s="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91"/>
      <c r="Z79" s="16"/>
      <c r="AA79" s="16"/>
      <c r="AB79" s="16"/>
      <c r="AC79" s="91"/>
      <c r="AD79" s="91"/>
      <c r="AE79" s="91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91"/>
      <c r="Z80" s="16"/>
      <c r="AA80" s="16"/>
      <c r="AB80" s="16"/>
      <c r="AC80" s="91"/>
      <c r="AD80" s="91"/>
      <c r="AE80" s="91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91"/>
      <c r="Z81" s="16"/>
      <c r="AA81" s="16"/>
      <c r="AB81" s="16"/>
      <c r="AC81" s="91"/>
      <c r="AD81" s="91"/>
      <c r="AE81" s="91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91"/>
      <c r="Z82" s="16"/>
      <c r="AA82" s="16"/>
      <c r="AB82" s="16"/>
      <c r="AC82" s="91"/>
      <c r="AD82" s="91"/>
      <c r="AE82" s="91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91"/>
      <c r="Z83" s="16"/>
      <c r="AA83" s="16"/>
      <c r="AB83" s="16"/>
      <c r="AC83" s="91"/>
      <c r="AD83" s="91"/>
      <c r="AE83" s="91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91"/>
      <c r="Z84" s="16"/>
      <c r="AA84" s="16"/>
      <c r="AB84" s="16"/>
      <c r="AC84" s="91"/>
      <c r="AD84" s="91"/>
      <c r="AE84" s="91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91"/>
      <c r="Z85" s="16"/>
      <c r="AA85" s="16"/>
      <c r="AB85" s="16"/>
      <c r="AC85" s="91"/>
      <c r="AD85" s="91"/>
      <c r="AE85" s="91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91"/>
      <c r="Z86" s="16"/>
      <c r="AA86" s="16"/>
      <c r="AB86" s="16"/>
      <c r="AC86" s="91"/>
      <c r="AD86" s="91"/>
      <c r="AE86" s="91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91"/>
      <c r="Z87" s="16"/>
      <c r="AA87" s="16"/>
      <c r="AB87" s="16"/>
      <c r="AC87" s="91"/>
      <c r="AD87" s="91"/>
      <c r="AE87" s="91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91"/>
      <c r="Z88" s="16"/>
      <c r="AA88" s="16"/>
      <c r="AB88" s="16"/>
      <c r="AC88" s="91"/>
      <c r="AD88" s="91"/>
      <c r="AE88" s="91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91"/>
      <c r="Z89" s="16"/>
      <c r="AA89" s="16"/>
      <c r="AB89" s="16"/>
      <c r="AC89" s="91"/>
      <c r="AD89" s="91"/>
      <c r="AE89" s="91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91"/>
      <c r="Z90" s="16"/>
      <c r="AA90" s="16"/>
      <c r="AB90" s="16"/>
      <c r="AC90" s="91"/>
      <c r="AD90" s="91"/>
      <c r="AE90" s="91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91"/>
      <c r="Z91" s="16"/>
      <c r="AA91" s="16"/>
      <c r="AB91" s="16"/>
      <c r="AC91" s="91"/>
      <c r="AD91" s="91"/>
      <c r="AE91" s="91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91"/>
      <c r="Z92" s="16"/>
      <c r="AA92" s="16"/>
      <c r="AB92" s="16"/>
      <c r="AC92" s="91"/>
      <c r="AD92" s="91"/>
      <c r="AE92" s="91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91"/>
      <c r="Z93" s="16"/>
      <c r="AA93" s="16"/>
      <c r="AB93" s="16"/>
      <c r="AC93" s="91"/>
      <c r="AD93" s="91"/>
      <c r="AE93" s="91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91"/>
      <c r="Z94" s="16"/>
      <c r="AA94" s="16"/>
      <c r="AB94" s="16"/>
      <c r="AC94" s="91"/>
      <c r="AD94" s="91"/>
      <c r="AE94" s="91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91"/>
      <c r="Z95" s="16"/>
      <c r="AA95" s="16"/>
      <c r="AB95" s="16"/>
      <c r="AC95" s="91"/>
      <c r="AD95" s="91"/>
      <c r="AE95" s="91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91"/>
      <c r="Z96" s="16"/>
      <c r="AA96" s="16"/>
      <c r="AB96" s="16"/>
      <c r="AC96" s="91"/>
      <c r="AD96" s="91"/>
      <c r="AE96" s="91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91"/>
      <c r="Z97" s="16"/>
      <c r="AA97" s="16"/>
      <c r="AB97" s="16"/>
      <c r="AC97" s="91"/>
      <c r="AD97" s="91"/>
      <c r="AE97" s="91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91"/>
      <c r="Z98" s="16"/>
      <c r="AA98" s="16"/>
      <c r="AB98" s="16"/>
      <c r="AC98" s="91"/>
      <c r="AD98" s="91"/>
      <c r="AE98" s="91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91"/>
      <c r="Z99" s="16"/>
      <c r="AA99" s="16"/>
      <c r="AB99" s="16"/>
      <c r="AC99" s="91"/>
      <c r="AD99" s="91"/>
      <c r="AE99" s="91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91"/>
      <c r="Z100" s="16"/>
      <c r="AA100" s="16"/>
      <c r="AB100" s="16"/>
      <c r="AC100" s="91"/>
      <c r="AD100" s="91"/>
      <c r="AE100" s="91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91"/>
      <c r="Z101" s="16"/>
      <c r="AA101" s="16"/>
      <c r="AB101" s="16"/>
      <c r="AC101" s="91"/>
      <c r="AD101" s="91"/>
      <c r="AE101" s="91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91"/>
      <c r="Z102" s="16"/>
      <c r="AA102" s="16"/>
      <c r="AB102" s="16"/>
      <c r="AC102" s="91"/>
      <c r="AD102" s="91"/>
      <c r="AE102" s="91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91"/>
      <c r="Z103" s="16"/>
      <c r="AA103" s="16"/>
      <c r="AB103" s="16"/>
      <c r="AC103" s="91"/>
      <c r="AD103" s="91"/>
      <c r="AE103" s="91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91"/>
      <c r="Z104" s="16"/>
      <c r="AA104" s="16"/>
      <c r="AB104" s="16"/>
      <c r="AC104" s="91"/>
      <c r="AD104" s="91"/>
      <c r="AE104" s="91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91"/>
      <c r="Z105" s="16"/>
      <c r="AA105" s="16"/>
      <c r="AB105" s="16"/>
      <c r="AC105" s="91"/>
      <c r="AD105" s="91"/>
      <c r="AE105" s="91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91"/>
      <c r="Z106" s="16"/>
      <c r="AA106" s="16"/>
      <c r="AB106" s="16"/>
      <c r="AC106" s="91"/>
      <c r="AD106" s="91"/>
      <c r="AE106" s="91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91"/>
      <c r="Z107" s="16"/>
      <c r="AA107" s="16"/>
      <c r="AB107" s="16"/>
      <c r="AC107" s="91"/>
      <c r="AD107" s="91"/>
      <c r="AE107" s="91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91"/>
      <c r="Z108" s="16"/>
      <c r="AA108" s="16"/>
      <c r="AB108" s="16"/>
      <c r="AC108" s="91"/>
      <c r="AD108" s="91"/>
      <c r="AE108" s="91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91"/>
      <c r="Z109" s="16"/>
      <c r="AA109" s="16"/>
      <c r="AB109" s="16"/>
      <c r="AC109" s="91"/>
      <c r="AD109" s="91"/>
      <c r="AE109" s="91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91"/>
      <c r="Z110" s="16"/>
      <c r="AA110" s="16"/>
      <c r="AB110" s="16"/>
      <c r="AC110" s="91"/>
      <c r="AD110" s="91"/>
      <c r="AE110" s="91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91"/>
      <c r="Z111" s="16"/>
      <c r="AA111" s="16"/>
      <c r="AB111" s="16"/>
      <c r="AC111" s="91"/>
      <c r="AD111" s="91"/>
      <c r="AE111" s="91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91"/>
      <c r="Z112" s="16"/>
      <c r="AA112" s="16"/>
      <c r="AB112" s="16"/>
      <c r="AC112" s="91"/>
      <c r="AD112" s="91"/>
      <c r="AE112" s="91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91"/>
      <c r="Z113" s="16"/>
      <c r="AA113" s="16"/>
      <c r="AB113" s="16"/>
      <c r="AC113" s="91"/>
      <c r="AD113" s="91"/>
      <c r="AE113" s="91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91"/>
      <c r="Z114" s="16"/>
      <c r="AA114" s="16"/>
      <c r="AB114" s="16"/>
      <c r="AC114" s="91"/>
      <c r="AD114" s="91"/>
      <c r="AE114" s="91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91"/>
      <c r="Z115" s="16"/>
      <c r="AA115" s="16"/>
      <c r="AB115" s="16"/>
      <c r="AC115" s="91"/>
      <c r="AD115" s="91"/>
      <c r="AE115" s="91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91"/>
      <c r="Z116" s="16"/>
      <c r="AA116" s="16"/>
      <c r="AB116" s="16"/>
      <c r="AC116" s="91"/>
      <c r="AD116" s="91"/>
      <c r="AE116" s="91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91"/>
      <c r="Z117" s="16"/>
      <c r="AA117" s="16"/>
      <c r="AB117" s="16"/>
      <c r="AC117" s="91"/>
      <c r="AD117" s="91"/>
      <c r="AE117" s="91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91"/>
      <c r="Z118" s="16"/>
      <c r="AA118" s="16"/>
      <c r="AB118" s="16"/>
      <c r="AC118" s="91"/>
      <c r="AD118" s="91"/>
      <c r="AE118" s="91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91"/>
      <c r="Z119" s="16"/>
      <c r="AA119" s="16"/>
      <c r="AB119" s="16"/>
      <c r="AC119" s="91"/>
      <c r="AD119" s="91"/>
      <c r="AE119" s="91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91"/>
      <c r="Z120" s="16"/>
      <c r="AA120" s="16"/>
      <c r="AB120" s="16"/>
      <c r="AC120" s="91"/>
      <c r="AD120" s="91"/>
      <c r="AE120" s="91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91"/>
      <c r="Z121" s="16"/>
      <c r="AA121" s="16"/>
      <c r="AB121" s="16"/>
      <c r="AC121" s="91"/>
      <c r="AD121" s="91"/>
      <c r="AE121" s="91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91"/>
      <c r="Z122" s="16"/>
      <c r="AA122" s="16"/>
      <c r="AB122" s="16"/>
      <c r="AC122" s="91"/>
      <c r="AD122" s="91"/>
      <c r="AE122" s="91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91"/>
      <c r="Z123" s="16"/>
      <c r="AA123" s="16"/>
      <c r="AB123" s="16"/>
      <c r="AC123" s="91"/>
      <c r="AD123" s="91"/>
      <c r="AE123" s="91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91"/>
      <c r="Z124" s="16"/>
      <c r="AA124" s="16"/>
      <c r="AB124" s="16"/>
      <c r="AC124" s="91"/>
      <c r="AD124" s="91"/>
      <c r="AE124" s="91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91"/>
      <c r="Z125" s="16"/>
      <c r="AA125" s="16"/>
      <c r="AB125" s="16"/>
      <c r="AC125" s="91"/>
      <c r="AD125" s="91"/>
      <c r="AE125" s="91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91"/>
      <c r="Z126" s="16"/>
      <c r="AA126" s="16"/>
      <c r="AB126" s="16"/>
      <c r="AC126" s="91"/>
      <c r="AD126" s="91"/>
      <c r="AE126" s="91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91"/>
      <c r="Z127" s="16"/>
      <c r="AA127" s="16"/>
      <c r="AB127" s="16"/>
      <c r="AC127" s="91"/>
      <c r="AD127" s="91"/>
      <c r="AE127" s="91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91"/>
      <c r="Z128" s="16"/>
      <c r="AA128" s="16"/>
      <c r="AB128" s="16"/>
      <c r="AC128" s="91"/>
      <c r="AD128" s="91"/>
      <c r="AE128" s="91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91"/>
      <c r="Z129" s="16"/>
      <c r="AA129" s="16"/>
      <c r="AB129" s="16"/>
      <c r="AC129" s="91"/>
      <c r="AD129" s="91"/>
      <c r="AE129" s="91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91"/>
      <c r="Z130" s="16"/>
      <c r="AA130" s="16"/>
      <c r="AB130" s="16"/>
      <c r="AC130" s="91"/>
      <c r="AD130" s="91"/>
      <c r="AE130" s="91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91"/>
      <c r="Z131" s="16"/>
      <c r="AA131" s="16"/>
      <c r="AB131" s="16"/>
      <c r="AC131" s="91"/>
      <c r="AD131" s="91"/>
      <c r="AE131" s="91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91"/>
      <c r="Z132" s="16"/>
      <c r="AA132" s="16"/>
      <c r="AB132" s="16"/>
      <c r="AC132" s="91"/>
      <c r="AD132" s="91"/>
      <c r="AE132" s="91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91"/>
      <c r="Z133" s="16"/>
      <c r="AA133" s="16"/>
      <c r="AB133" s="16"/>
      <c r="AC133" s="91"/>
      <c r="AD133" s="91"/>
      <c r="AE133" s="91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91"/>
      <c r="Z134" s="16"/>
      <c r="AA134" s="16"/>
      <c r="AB134" s="16"/>
      <c r="AC134" s="91"/>
      <c r="AD134" s="91"/>
      <c r="AE134" s="91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91"/>
      <c r="Z135" s="16"/>
      <c r="AA135" s="16"/>
      <c r="AB135" s="16"/>
      <c r="AC135" s="91"/>
      <c r="AD135" s="91"/>
      <c r="AE135" s="91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91"/>
      <c r="Z136" s="16"/>
      <c r="AA136" s="16"/>
      <c r="AB136" s="16"/>
      <c r="AC136" s="91"/>
      <c r="AD136" s="91"/>
      <c r="AE136" s="91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91"/>
      <c r="Z137" s="16"/>
      <c r="AA137" s="16"/>
      <c r="AB137" s="16"/>
      <c r="AC137" s="91"/>
      <c r="AD137" s="91"/>
      <c r="AE137" s="91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91"/>
      <c r="Z138" s="16"/>
      <c r="AA138" s="16"/>
      <c r="AB138" s="16"/>
      <c r="AC138" s="91"/>
      <c r="AD138" s="91"/>
      <c r="AE138" s="91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91"/>
      <c r="Z139" s="16"/>
      <c r="AA139" s="16"/>
      <c r="AB139" s="16"/>
      <c r="AC139" s="91"/>
      <c r="AD139" s="91"/>
      <c r="AE139" s="91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91"/>
      <c r="Z140" s="16"/>
      <c r="AA140" s="16"/>
      <c r="AB140" s="16"/>
      <c r="AC140" s="91"/>
      <c r="AD140" s="91"/>
      <c r="AE140" s="91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91"/>
      <c r="Z141" s="16"/>
      <c r="AA141" s="16"/>
      <c r="AB141" s="16"/>
      <c r="AC141" s="91"/>
      <c r="AD141" s="91"/>
      <c r="AE141" s="91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91"/>
      <c r="Z142" s="16"/>
      <c r="AA142" s="16"/>
      <c r="AB142" s="16"/>
      <c r="AC142" s="91"/>
      <c r="AD142" s="91"/>
      <c r="AE142" s="91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91"/>
      <c r="Z143" s="16"/>
      <c r="AA143" s="16"/>
      <c r="AB143" s="16"/>
      <c r="AC143" s="91"/>
      <c r="AD143" s="91"/>
      <c r="AE143" s="91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91"/>
      <c r="Z144" s="16"/>
      <c r="AA144" s="16"/>
      <c r="AB144" s="16"/>
      <c r="AC144" s="91"/>
      <c r="AD144" s="91"/>
      <c r="AE144" s="91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91"/>
      <c r="Z145" s="16"/>
      <c r="AA145" s="16"/>
      <c r="AB145" s="16"/>
      <c r="AC145" s="91"/>
      <c r="AD145" s="91"/>
      <c r="AE145" s="91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91"/>
      <c r="Z146" s="16"/>
      <c r="AA146" s="16"/>
      <c r="AB146" s="16"/>
      <c r="AC146" s="91"/>
      <c r="AD146" s="91"/>
      <c r="AE146" s="91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91"/>
      <c r="Z147" s="16"/>
      <c r="AA147" s="16"/>
      <c r="AB147" s="16"/>
      <c r="AC147" s="91"/>
      <c r="AD147" s="91"/>
      <c r="AE147" s="91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91"/>
      <c r="Z148" s="16"/>
      <c r="AA148" s="16"/>
      <c r="AB148" s="16"/>
      <c r="AC148" s="91"/>
      <c r="AD148" s="91"/>
      <c r="AE148" s="91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91"/>
      <c r="Z149" s="16"/>
      <c r="AA149" s="16"/>
      <c r="AB149" s="16"/>
      <c r="AC149" s="91"/>
      <c r="AD149" s="91"/>
      <c r="AE149" s="91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91"/>
      <c r="Z150" s="16"/>
      <c r="AA150" s="16"/>
      <c r="AB150" s="16"/>
      <c r="AC150" s="91"/>
      <c r="AD150" s="91"/>
      <c r="AE150" s="91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91"/>
      <c r="Z151" s="16"/>
      <c r="AA151" s="16"/>
      <c r="AB151" s="16"/>
      <c r="AC151" s="91"/>
      <c r="AD151" s="91"/>
      <c r="AE151" s="91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91"/>
      <c r="Z152" s="16"/>
      <c r="AA152" s="16"/>
      <c r="AB152" s="16"/>
      <c r="AC152" s="91"/>
      <c r="AD152" s="91"/>
      <c r="AE152" s="91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91"/>
      <c r="Z153" s="16"/>
      <c r="AA153" s="16"/>
      <c r="AB153" s="16"/>
      <c r="AC153" s="91"/>
      <c r="AD153" s="91"/>
      <c r="AE153" s="91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91"/>
      <c r="Z154" s="16"/>
      <c r="AA154" s="16"/>
      <c r="AB154" s="16"/>
      <c r="AC154" s="91"/>
      <c r="AD154" s="91"/>
      <c r="AE154" s="91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91"/>
      <c r="Z155" s="16"/>
      <c r="AA155" s="16"/>
      <c r="AB155" s="16"/>
      <c r="AC155" s="91"/>
      <c r="AD155" s="91"/>
      <c r="AE155" s="91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91"/>
      <c r="Z156" s="16"/>
      <c r="AA156" s="16"/>
      <c r="AB156" s="16"/>
      <c r="AC156" s="91"/>
      <c r="AD156" s="91"/>
      <c r="AE156" s="91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91"/>
      <c r="Z157" s="16"/>
      <c r="AA157" s="16"/>
      <c r="AB157" s="16"/>
      <c r="AC157" s="91"/>
      <c r="AD157" s="91"/>
      <c r="AE157" s="91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91"/>
      <c r="Z158" s="16"/>
      <c r="AA158" s="16"/>
      <c r="AB158" s="16"/>
      <c r="AC158" s="91"/>
      <c r="AD158" s="91"/>
      <c r="AE158" s="91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91"/>
      <c r="Z159" s="16"/>
      <c r="AA159" s="16"/>
      <c r="AB159" s="16"/>
      <c r="AC159" s="91"/>
      <c r="AD159" s="91"/>
      <c r="AE159" s="91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91"/>
      <c r="Z160" s="16"/>
      <c r="AA160" s="16"/>
      <c r="AB160" s="16"/>
      <c r="AC160" s="91"/>
      <c r="AD160" s="91"/>
      <c r="AE160" s="91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91"/>
      <c r="Z161" s="16"/>
      <c r="AA161" s="16"/>
      <c r="AB161" s="16"/>
      <c r="AC161" s="91"/>
      <c r="AD161" s="91"/>
      <c r="AE161" s="91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91"/>
      <c r="Z162" s="16"/>
      <c r="AA162" s="16"/>
      <c r="AB162" s="16"/>
      <c r="AC162" s="91"/>
      <c r="AD162" s="91"/>
      <c r="AE162" s="91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91"/>
      <c r="Z163" s="16"/>
      <c r="AA163" s="16"/>
      <c r="AB163" s="16"/>
      <c r="AC163" s="91"/>
      <c r="AD163" s="91"/>
      <c r="AE163" s="91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91"/>
      <c r="Z164" s="16"/>
      <c r="AA164" s="16"/>
      <c r="AB164" s="16"/>
      <c r="AC164" s="91"/>
      <c r="AD164" s="91"/>
      <c r="AE164" s="91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91"/>
      <c r="Z165" s="16"/>
      <c r="AA165" s="16"/>
      <c r="AB165" s="16"/>
      <c r="AC165" s="91"/>
      <c r="AD165" s="91"/>
      <c r="AE165" s="91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91"/>
      <c r="Z166" s="16"/>
      <c r="AA166" s="16"/>
      <c r="AB166" s="16"/>
      <c r="AC166" s="91"/>
      <c r="AD166" s="91"/>
      <c r="AE166" s="91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91"/>
      <c r="Z167" s="16"/>
      <c r="AA167" s="16"/>
      <c r="AB167" s="16"/>
      <c r="AC167" s="91"/>
      <c r="AD167" s="91"/>
      <c r="AE167" s="91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91"/>
      <c r="Z168" s="16"/>
      <c r="AA168" s="16"/>
      <c r="AB168" s="16"/>
      <c r="AC168" s="91"/>
      <c r="AD168" s="91"/>
      <c r="AE168" s="91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91"/>
      <c r="Z169" s="16"/>
      <c r="AA169" s="16"/>
      <c r="AB169" s="16"/>
      <c r="AC169" s="91"/>
      <c r="AD169" s="91"/>
      <c r="AE169" s="91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91"/>
      <c r="Z170" s="16"/>
      <c r="AA170" s="16"/>
      <c r="AB170" s="16"/>
      <c r="AC170" s="91"/>
      <c r="AD170" s="91"/>
      <c r="AE170" s="91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91"/>
      <c r="Z171" s="16"/>
      <c r="AA171" s="16"/>
      <c r="AB171" s="16"/>
      <c r="AC171" s="91"/>
      <c r="AD171" s="91"/>
      <c r="AE171" s="91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91"/>
      <c r="Z172" s="16"/>
      <c r="AA172" s="16"/>
      <c r="AB172" s="16"/>
      <c r="AC172" s="91"/>
      <c r="AD172" s="91"/>
      <c r="AE172" s="91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91"/>
      <c r="Z173" s="16"/>
      <c r="AA173" s="16"/>
      <c r="AB173" s="16"/>
      <c r="AC173" s="91"/>
      <c r="AD173" s="91"/>
      <c r="AE173" s="91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91"/>
      <c r="Z174" s="16"/>
      <c r="AA174" s="16"/>
      <c r="AB174" s="16"/>
      <c r="AC174" s="91"/>
      <c r="AD174" s="91"/>
      <c r="AE174" s="91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91"/>
      <c r="Z175" s="16"/>
      <c r="AA175" s="16"/>
      <c r="AB175" s="16"/>
      <c r="AC175" s="91"/>
      <c r="AD175" s="91"/>
      <c r="AE175" s="91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91"/>
      <c r="Z176" s="16"/>
      <c r="AA176" s="16"/>
      <c r="AB176" s="16"/>
      <c r="AC176" s="91"/>
      <c r="AD176" s="91"/>
      <c r="AE176" s="91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91"/>
      <c r="Z177" s="16"/>
      <c r="AA177" s="16"/>
      <c r="AB177" s="16"/>
      <c r="AC177" s="91"/>
      <c r="AD177" s="91"/>
      <c r="AE177" s="91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91"/>
      <c r="Z178" s="16"/>
      <c r="AA178" s="16"/>
      <c r="AB178" s="16"/>
      <c r="AC178" s="91"/>
      <c r="AD178" s="91"/>
      <c r="AE178" s="91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91"/>
      <c r="Z179" s="16"/>
      <c r="AA179" s="16"/>
      <c r="AB179" s="16"/>
      <c r="AC179" s="91"/>
      <c r="AD179" s="91"/>
      <c r="AE179" s="91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91"/>
      <c r="Z180" s="16"/>
      <c r="AA180" s="16"/>
      <c r="AB180" s="16"/>
      <c r="AC180" s="91"/>
      <c r="AD180" s="91"/>
      <c r="AE180" s="91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91"/>
      <c r="Z181" s="16"/>
      <c r="AA181" s="16"/>
      <c r="AB181" s="16"/>
      <c r="AC181" s="91"/>
      <c r="AD181" s="91"/>
      <c r="AE181" s="91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91"/>
      <c r="Z182" s="16"/>
      <c r="AA182" s="16"/>
      <c r="AB182" s="16"/>
      <c r="AC182" s="91"/>
      <c r="AD182" s="91"/>
      <c r="AE182" s="91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91"/>
      <c r="Z183" s="16"/>
      <c r="AA183" s="16"/>
      <c r="AB183" s="16"/>
      <c r="AC183" s="91"/>
      <c r="AD183" s="91"/>
      <c r="AE183" s="91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91"/>
      <c r="Z184" s="16"/>
      <c r="AA184" s="16"/>
      <c r="AB184" s="16"/>
      <c r="AC184" s="91"/>
      <c r="AD184" s="91"/>
      <c r="AE184" s="91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91"/>
      <c r="Z185" s="16"/>
      <c r="AA185" s="16"/>
      <c r="AB185" s="16"/>
      <c r="AC185" s="91"/>
      <c r="AD185" s="91"/>
      <c r="AE185" s="91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91"/>
      <c r="Z186" s="16"/>
      <c r="AA186" s="16"/>
      <c r="AB186" s="16"/>
      <c r="AC186" s="91"/>
      <c r="AD186" s="91"/>
      <c r="AE186" s="91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91"/>
      <c r="Z187" s="16"/>
      <c r="AA187" s="16"/>
      <c r="AB187" s="16"/>
      <c r="AC187" s="91"/>
      <c r="AD187" s="91"/>
      <c r="AE187" s="91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91"/>
      <c r="Z188" s="16"/>
      <c r="AA188" s="16"/>
      <c r="AB188" s="16"/>
      <c r="AC188" s="91"/>
      <c r="AD188" s="91"/>
      <c r="AE188" s="91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91"/>
      <c r="Z189" s="16"/>
      <c r="AA189" s="16"/>
      <c r="AB189" s="16"/>
      <c r="AC189" s="91"/>
      <c r="AD189" s="91"/>
      <c r="AE189" s="91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91"/>
      <c r="Z190" s="16"/>
      <c r="AA190" s="16"/>
      <c r="AB190" s="16"/>
      <c r="AC190" s="91"/>
      <c r="AD190" s="91"/>
      <c r="AE190" s="91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91"/>
      <c r="Z191" s="16"/>
      <c r="AA191" s="16"/>
      <c r="AB191" s="16"/>
      <c r="AC191" s="91"/>
      <c r="AD191" s="91"/>
      <c r="AE191" s="91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91"/>
      <c r="Z192" s="16"/>
      <c r="AA192" s="16"/>
      <c r="AB192" s="16"/>
      <c r="AC192" s="91"/>
      <c r="AD192" s="91"/>
      <c r="AE192" s="91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91"/>
      <c r="Z193" s="16"/>
      <c r="AA193" s="16"/>
      <c r="AB193" s="16"/>
      <c r="AC193" s="91"/>
      <c r="AD193" s="91"/>
      <c r="AE193" s="91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91"/>
      <c r="Z194" s="16"/>
      <c r="AA194" s="16"/>
      <c r="AB194" s="16"/>
      <c r="AC194" s="91"/>
      <c r="AD194" s="91"/>
      <c r="AE194" s="91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91"/>
      <c r="Z195" s="16"/>
      <c r="AA195" s="16"/>
      <c r="AB195" s="16"/>
      <c r="AC195" s="91"/>
      <c r="AD195" s="91"/>
      <c r="AE195" s="91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91"/>
      <c r="Z196" s="16"/>
      <c r="AA196" s="16"/>
      <c r="AB196" s="16"/>
      <c r="AC196" s="91"/>
      <c r="AD196" s="91"/>
      <c r="AE196" s="91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91"/>
      <c r="Z197" s="16"/>
      <c r="AA197" s="16"/>
      <c r="AB197" s="16"/>
      <c r="AC197" s="91"/>
      <c r="AD197" s="91"/>
      <c r="AE197" s="91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91"/>
      <c r="Z198" s="16"/>
      <c r="AA198" s="16"/>
      <c r="AB198" s="16"/>
      <c r="AC198" s="91"/>
      <c r="AD198" s="91"/>
      <c r="AE198" s="91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91"/>
      <c r="Z199" s="16"/>
      <c r="AA199" s="16"/>
      <c r="AB199" s="16"/>
      <c r="AC199" s="91"/>
      <c r="AD199" s="91"/>
      <c r="AE199" s="91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91"/>
      <c r="Z200" s="16"/>
      <c r="AA200" s="16"/>
      <c r="AB200" s="16"/>
      <c r="AC200" s="91"/>
      <c r="AD200" s="91"/>
      <c r="AE200" s="91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91"/>
      <c r="Z201" s="16"/>
      <c r="AA201" s="16"/>
      <c r="AB201" s="16"/>
      <c r="AC201" s="91"/>
      <c r="AD201" s="91"/>
      <c r="AE201" s="91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91"/>
      <c r="Z202" s="16"/>
      <c r="AA202" s="16"/>
      <c r="AB202" s="16"/>
      <c r="AC202" s="91"/>
      <c r="AD202" s="91"/>
      <c r="AE202" s="91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91"/>
      <c r="Z203" s="16"/>
      <c r="AA203" s="16"/>
      <c r="AB203" s="16"/>
      <c r="AC203" s="91"/>
      <c r="AD203" s="91"/>
      <c r="AE203" s="91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91"/>
      <c r="Z204" s="16"/>
      <c r="AA204" s="16"/>
      <c r="AB204" s="16"/>
      <c r="AC204" s="91"/>
      <c r="AD204" s="91"/>
      <c r="AE204" s="91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91"/>
      <c r="Z205" s="16"/>
      <c r="AA205" s="16"/>
      <c r="AB205" s="16"/>
      <c r="AC205" s="91"/>
      <c r="AD205" s="91"/>
      <c r="AE205" s="91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91"/>
      <c r="Z206" s="16"/>
      <c r="AA206" s="16"/>
      <c r="AB206" s="16"/>
      <c r="AC206" s="91"/>
      <c r="AD206" s="91"/>
      <c r="AE206" s="91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91"/>
      <c r="Z207" s="16"/>
      <c r="AA207" s="16"/>
      <c r="AB207" s="16"/>
      <c r="AC207" s="91"/>
      <c r="AD207" s="91"/>
      <c r="AE207" s="91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91"/>
      <c r="Z208" s="16"/>
      <c r="AA208" s="16"/>
      <c r="AB208" s="16"/>
      <c r="AC208" s="91"/>
      <c r="AD208" s="91"/>
      <c r="AE208" s="91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91"/>
      <c r="Z209" s="16"/>
      <c r="AA209" s="16"/>
      <c r="AB209" s="16"/>
      <c r="AC209" s="91"/>
      <c r="AD209" s="91"/>
      <c r="AE209" s="91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91"/>
      <c r="Z210" s="16"/>
      <c r="AA210" s="16"/>
      <c r="AB210" s="16"/>
      <c r="AC210" s="91"/>
      <c r="AD210" s="91"/>
      <c r="AE210" s="91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91"/>
      <c r="Z211" s="16"/>
      <c r="AA211" s="16"/>
      <c r="AB211" s="16"/>
      <c r="AC211" s="91"/>
      <c r="AD211" s="91"/>
      <c r="AE211" s="91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91"/>
      <c r="Z212" s="16"/>
      <c r="AA212" s="16"/>
      <c r="AB212" s="16"/>
      <c r="AC212" s="91"/>
      <c r="AD212" s="91"/>
      <c r="AE212" s="91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91"/>
      <c r="Z213" s="16"/>
      <c r="AA213" s="16"/>
      <c r="AB213" s="16"/>
      <c r="AC213" s="91"/>
      <c r="AD213" s="91"/>
      <c r="AE213" s="91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91"/>
      <c r="Z214" s="16"/>
      <c r="AA214" s="16"/>
      <c r="AB214" s="16"/>
      <c r="AC214" s="91"/>
      <c r="AD214" s="91"/>
      <c r="AE214" s="91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91"/>
      <c r="Z215" s="16"/>
      <c r="AA215" s="16"/>
      <c r="AB215" s="16"/>
      <c r="AC215" s="91"/>
      <c r="AD215" s="91"/>
      <c r="AE215" s="91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91"/>
      <c r="Z216" s="16"/>
      <c r="AA216" s="16"/>
      <c r="AB216" s="16"/>
      <c r="AC216" s="91"/>
      <c r="AD216" s="91"/>
      <c r="AE216" s="91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91"/>
      <c r="Z217" s="16"/>
      <c r="AA217" s="16"/>
      <c r="AB217" s="16"/>
      <c r="AC217" s="91"/>
      <c r="AD217" s="91"/>
      <c r="AE217" s="91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91"/>
      <c r="Z218" s="16"/>
      <c r="AA218" s="16"/>
      <c r="AB218" s="16"/>
      <c r="AC218" s="91"/>
      <c r="AD218" s="91"/>
      <c r="AE218" s="91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91"/>
      <c r="Z219" s="16"/>
      <c r="AA219" s="16"/>
      <c r="AB219" s="16"/>
      <c r="AC219" s="91"/>
      <c r="AD219" s="91"/>
      <c r="AE219" s="91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91"/>
      <c r="Z220" s="16"/>
      <c r="AA220" s="16"/>
      <c r="AB220" s="16"/>
      <c r="AC220" s="91"/>
      <c r="AD220" s="91"/>
      <c r="AE220" s="91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91"/>
      <c r="Z221" s="16"/>
      <c r="AA221" s="16"/>
      <c r="AB221" s="16"/>
      <c r="AC221" s="91"/>
      <c r="AD221" s="91"/>
      <c r="AE221" s="91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91"/>
      <c r="Z222" s="16"/>
      <c r="AA222" s="16"/>
      <c r="AB222" s="16"/>
      <c r="AC222" s="91"/>
      <c r="AD222" s="91"/>
      <c r="AE222" s="91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91"/>
      <c r="Z223" s="16"/>
      <c r="AA223" s="16"/>
      <c r="AB223" s="16"/>
      <c r="AC223" s="91"/>
      <c r="AD223" s="91"/>
      <c r="AE223" s="91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91"/>
      <c r="Z224" s="16"/>
      <c r="AA224" s="16"/>
      <c r="AB224" s="16"/>
      <c r="AC224" s="91"/>
      <c r="AD224" s="91"/>
      <c r="AE224" s="91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91"/>
      <c r="Z225" s="16"/>
      <c r="AA225" s="16"/>
      <c r="AB225" s="16"/>
      <c r="AC225" s="91"/>
      <c r="AD225" s="91"/>
      <c r="AE225" s="91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91"/>
      <c r="Z226" s="16"/>
      <c r="AA226" s="16"/>
      <c r="AB226" s="16"/>
      <c r="AC226" s="91"/>
      <c r="AD226" s="91"/>
      <c r="AE226" s="91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91"/>
      <c r="Z227" s="16"/>
      <c r="AA227" s="16"/>
      <c r="AB227" s="16"/>
      <c r="AC227" s="91"/>
      <c r="AD227" s="91"/>
      <c r="AE227" s="91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91"/>
      <c r="Z228" s="16"/>
      <c r="AA228" s="16"/>
      <c r="AB228" s="16"/>
      <c r="AC228" s="91"/>
      <c r="AD228" s="91"/>
      <c r="AE228" s="91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91"/>
      <c r="Z229" s="16"/>
      <c r="AA229" s="16"/>
      <c r="AB229" s="16"/>
      <c r="AC229" s="91"/>
      <c r="AD229" s="91"/>
      <c r="AE229" s="91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91"/>
      <c r="Z230" s="16"/>
      <c r="AA230" s="16"/>
      <c r="AB230" s="16"/>
      <c r="AC230" s="91"/>
      <c r="AD230" s="91"/>
      <c r="AE230" s="91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91"/>
      <c r="Z231" s="16"/>
      <c r="AA231" s="16"/>
      <c r="AB231" s="16"/>
      <c r="AC231" s="91"/>
      <c r="AD231" s="91"/>
      <c r="AE231" s="91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91"/>
      <c r="Z232" s="16"/>
      <c r="AA232" s="16"/>
      <c r="AB232" s="16"/>
      <c r="AC232" s="91"/>
      <c r="AD232" s="91"/>
      <c r="AE232" s="91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91"/>
      <c r="Z233" s="16"/>
      <c r="AA233" s="16"/>
      <c r="AB233" s="16"/>
      <c r="AC233" s="91"/>
      <c r="AD233" s="91"/>
      <c r="AE233" s="91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91"/>
      <c r="Z234" s="16"/>
      <c r="AA234" s="16"/>
      <c r="AB234" s="16"/>
      <c r="AC234" s="91"/>
      <c r="AD234" s="91"/>
      <c r="AE234" s="91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91"/>
      <c r="Z235" s="16"/>
      <c r="AA235" s="16"/>
      <c r="AB235" s="16"/>
      <c r="AC235" s="91"/>
      <c r="AD235" s="91"/>
      <c r="AE235" s="91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91"/>
      <c r="Z236" s="16"/>
      <c r="AA236" s="16"/>
      <c r="AB236" s="16"/>
      <c r="AC236" s="91"/>
      <c r="AD236" s="91"/>
      <c r="AE236" s="91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91"/>
      <c r="Z237" s="16"/>
      <c r="AA237" s="16"/>
      <c r="AB237" s="16"/>
      <c r="AC237" s="91"/>
      <c r="AD237" s="91"/>
      <c r="AE237" s="91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91"/>
      <c r="Z238" s="16"/>
      <c r="AA238" s="16"/>
      <c r="AB238" s="16"/>
      <c r="AC238" s="91"/>
      <c r="AD238" s="91"/>
      <c r="AE238" s="91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91"/>
      <c r="Z239" s="16"/>
      <c r="AA239" s="16"/>
      <c r="AB239" s="16"/>
      <c r="AC239" s="91"/>
      <c r="AD239" s="91"/>
      <c r="AE239" s="91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91"/>
      <c r="Z240" s="16"/>
      <c r="AA240" s="16"/>
      <c r="AB240" s="16"/>
      <c r="AC240" s="91"/>
      <c r="AD240" s="91"/>
      <c r="AE240" s="91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91"/>
      <c r="Z241" s="16"/>
      <c r="AA241" s="16"/>
      <c r="AB241" s="16"/>
      <c r="AC241" s="91"/>
      <c r="AD241" s="91"/>
      <c r="AE241" s="91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91"/>
      <c r="Z242" s="16"/>
      <c r="AA242" s="16"/>
      <c r="AB242" s="16"/>
      <c r="AC242" s="91"/>
      <c r="AD242" s="91"/>
      <c r="AE242" s="91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91"/>
      <c r="Z243" s="16"/>
      <c r="AA243" s="16"/>
      <c r="AB243" s="16"/>
      <c r="AC243" s="91"/>
      <c r="AD243" s="91"/>
      <c r="AE243" s="91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91"/>
      <c r="Z244" s="16"/>
      <c r="AA244" s="16"/>
      <c r="AB244" s="16"/>
      <c r="AC244" s="91"/>
      <c r="AD244" s="91"/>
      <c r="AE244" s="91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91"/>
      <c r="Z245" s="16"/>
      <c r="AA245" s="16"/>
      <c r="AB245" s="16"/>
      <c r="AC245" s="91"/>
      <c r="AD245" s="91"/>
      <c r="AE245" s="91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91"/>
      <c r="Z246" s="16"/>
      <c r="AA246" s="16"/>
      <c r="AB246" s="16"/>
      <c r="AC246" s="91"/>
      <c r="AD246" s="91"/>
      <c r="AE246" s="91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91"/>
      <c r="Z247" s="16"/>
      <c r="AA247" s="16"/>
      <c r="AB247" s="16"/>
      <c r="AC247" s="91"/>
      <c r="AD247" s="91"/>
      <c r="AE247" s="91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91"/>
      <c r="Z248" s="16"/>
      <c r="AA248" s="16"/>
      <c r="AB248" s="16"/>
      <c r="AC248" s="91"/>
      <c r="AD248" s="91"/>
      <c r="AE248" s="91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91"/>
      <c r="Z249" s="16"/>
      <c r="AA249" s="16"/>
      <c r="AB249" s="16"/>
      <c r="AC249" s="91"/>
      <c r="AD249" s="91"/>
      <c r="AE249" s="91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91"/>
      <c r="Z250" s="16"/>
      <c r="AA250" s="16"/>
      <c r="AB250" s="16"/>
      <c r="AC250" s="91"/>
      <c r="AD250" s="91"/>
      <c r="AE250" s="91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91"/>
      <c r="Z251" s="16"/>
      <c r="AA251" s="16"/>
      <c r="AB251" s="16"/>
      <c r="AC251" s="91"/>
      <c r="AD251" s="91"/>
      <c r="AE251" s="91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91"/>
      <c r="Z252" s="16"/>
      <c r="AA252" s="16"/>
      <c r="AB252" s="16"/>
      <c r="AC252" s="91"/>
      <c r="AD252" s="91"/>
      <c r="AE252" s="91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91"/>
      <c r="Z253" s="16"/>
      <c r="AA253" s="16"/>
      <c r="AB253" s="16"/>
      <c r="AC253" s="91"/>
      <c r="AD253" s="91"/>
      <c r="AE253" s="91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91"/>
      <c r="Z254" s="16"/>
      <c r="AA254" s="16"/>
      <c r="AB254" s="16"/>
      <c r="AC254" s="91"/>
      <c r="AD254" s="91"/>
      <c r="AE254" s="91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91"/>
      <c r="Z255" s="16"/>
      <c r="AA255" s="16"/>
      <c r="AB255" s="16"/>
      <c r="AC255" s="91"/>
      <c r="AD255" s="91"/>
      <c r="AE255" s="91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91"/>
      <c r="Z256" s="16"/>
      <c r="AA256" s="16"/>
      <c r="AB256" s="16"/>
      <c r="AC256" s="91"/>
      <c r="AD256" s="91"/>
      <c r="AE256" s="91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91"/>
      <c r="Z257" s="16"/>
      <c r="AA257" s="16"/>
      <c r="AB257" s="16"/>
      <c r="AC257" s="91"/>
      <c r="AD257" s="91"/>
      <c r="AE257" s="91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91"/>
      <c r="Z258" s="16"/>
      <c r="AA258" s="16"/>
      <c r="AB258" s="16"/>
      <c r="AC258" s="91"/>
      <c r="AD258" s="91"/>
      <c r="AE258" s="91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91"/>
      <c r="Z259" s="16"/>
      <c r="AA259" s="16"/>
      <c r="AB259" s="16"/>
      <c r="AC259" s="91"/>
      <c r="AD259" s="91"/>
      <c r="AE259" s="91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91"/>
      <c r="Z260" s="16"/>
      <c r="AA260" s="16"/>
      <c r="AB260" s="16"/>
      <c r="AC260" s="91"/>
      <c r="AD260" s="91"/>
      <c r="AE260" s="91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91"/>
      <c r="Z261" s="16"/>
      <c r="AA261" s="16"/>
      <c r="AB261" s="16"/>
      <c r="AC261" s="91"/>
      <c r="AD261" s="91"/>
      <c r="AE261" s="91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91"/>
      <c r="Z262" s="16"/>
      <c r="AA262" s="16"/>
      <c r="AB262" s="16"/>
      <c r="AC262" s="91"/>
      <c r="AD262" s="91"/>
      <c r="AE262" s="91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91"/>
      <c r="Z263" s="16"/>
      <c r="AA263" s="16"/>
      <c r="AB263" s="16"/>
      <c r="AC263" s="91"/>
      <c r="AD263" s="91"/>
      <c r="AE263" s="91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91"/>
      <c r="Z264" s="16"/>
      <c r="AA264" s="16"/>
      <c r="AB264" s="16"/>
      <c r="AC264" s="91"/>
      <c r="AD264" s="91"/>
      <c r="AE264" s="91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91"/>
      <c r="Z265" s="16"/>
      <c r="AA265" s="16"/>
      <c r="AB265" s="16"/>
      <c r="AC265" s="91"/>
      <c r="AD265" s="91"/>
      <c r="AE265" s="91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91"/>
      <c r="Z266" s="16"/>
      <c r="AA266" s="16"/>
      <c r="AB266" s="16"/>
      <c r="AC266" s="91"/>
      <c r="AD266" s="91"/>
      <c r="AE266" s="91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91"/>
      <c r="Z267" s="16"/>
      <c r="AA267" s="16"/>
      <c r="AB267" s="16"/>
      <c r="AC267" s="91"/>
      <c r="AD267" s="91"/>
      <c r="AE267" s="91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91"/>
      <c r="Z268" s="16"/>
      <c r="AA268" s="16"/>
      <c r="AB268" s="16"/>
      <c r="AC268" s="91"/>
      <c r="AD268" s="91"/>
      <c r="AE268" s="91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91"/>
      <c r="Z269" s="16"/>
      <c r="AA269" s="16"/>
      <c r="AB269" s="16"/>
      <c r="AC269" s="91"/>
      <c r="AD269" s="91"/>
      <c r="AE269" s="91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91"/>
      <c r="Z270" s="16"/>
      <c r="AA270" s="16"/>
      <c r="AB270" s="16"/>
      <c r="AC270" s="91"/>
      <c r="AD270" s="91"/>
      <c r="AE270" s="91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91"/>
      <c r="Z271" s="16"/>
      <c r="AA271" s="16"/>
      <c r="AB271" s="16"/>
      <c r="AC271" s="91"/>
      <c r="AD271" s="91"/>
      <c r="AE271" s="91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91"/>
      <c r="Z272" s="16"/>
      <c r="AA272" s="16"/>
      <c r="AB272" s="16"/>
      <c r="AC272" s="91"/>
      <c r="AD272" s="91"/>
      <c r="AE272" s="91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91"/>
      <c r="Z273" s="16"/>
      <c r="AA273" s="16"/>
      <c r="AB273" s="16"/>
      <c r="AC273" s="91"/>
      <c r="AD273" s="91"/>
      <c r="AE273" s="91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91"/>
      <c r="Z274" s="16"/>
      <c r="AA274" s="16"/>
      <c r="AB274" s="16"/>
      <c r="AC274" s="91"/>
      <c r="AD274" s="91"/>
      <c r="AE274" s="91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91"/>
      <c r="Z275" s="16"/>
      <c r="AA275" s="16"/>
      <c r="AB275" s="16"/>
      <c r="AC275" s="91"/>
      <c r="AD275" s="91"/>
      <c r="AE275" s="91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91"/>
      <c r="Z276" s="16"/>
      <c r="AA276" s="16"/>
      <c r="AB276" s="16"/>
      <c r="AC276" s="91"/>
      <c r="AD276" s="91"/>
      <c r="AE276" s="91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91"/>
      <c r="Z277" s="16"/>
      <c r="AA277" s="16"/>
      <c r="AB277" s="16"/>
      <c r="AC277" s="91"/>
      <c r="AD277" s="91"/>
      <c r="AE277" s="91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91"/>
      <c r="Z278" s="16"/>
      <c r="AA278" s="16"/>
      <c r="AB278" s="16"/>
      <c r="AC278" s="91"/>
      <c r="AD278" s="91"/>
      <c r="AE278" s="91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91"/>
      <c r="Z279" s="16"/>
      <c r="AA279" s="16"/>
      <c r="AB279" s="16"/>
      <c r="AC279" s="91"/>
      <c r="AD279" s="91"/>
      <c r="AE279" s="91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91"/>
      <c r="Z280" s="16"/>
      <c r="AA280" s="16"/>
      <c r="AB280" s="16"/>
      <c r="AC280" s="91"/>
      <c r="AD280" s="91"/>
      <c r="AE280" s="91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91"/>
      <c r="Z281" s="16"/>
      <c r="AA281" s="16"/>
      <c r="AB281" s="16"/>
      <c r="AC281" s="91"/>
      <c r="AD281" s="91"/>
      <c r="AE281" s="91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91"/>
      <c r="Z282" s="16"/>
      <c r="AA282" s="16"/>
      <c r="AB282" s="16"/>
      <c r="AC282" s="91"/>
      <c r="AD282" s="91"/>
      <c r="AE282" s="91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91"/>
      <c r="Z283" s="16"/>
      <c r="AA283" s="16"/>
      <c r="AB283" s="16"/>
      <c r="AC283" s="91"/>
      <c r="AD283" s="91"/>
      <c r="AE283" s="91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91"/>
      <c r="Z284" s="16"/>
      <c r="AA284" s="16"/>
      <c r="AB284" s="16"/>
      <c r="AC284" s="91"/>
      <c r="AD284" s="91"/>
      <c r="AE284" s="91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91"/>
      <c r="Z285" s="16"/>
      <c r="AA285" s="16"/>
      <c r="AB285" s="16"/>
      <c r="AC285" s="91"/>
      <c r="AD285" s="91"/>
      <c r="AE285" s="91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91"/>
      <c r="Z286" s="16"/>
      <c r="AA286" s="16"/>
      <c r="AB286" s="16"/>
      <c r="AC286" s="91"/>
      <c r="AD286" s="91"/>
      <c r="AE286" s="91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91"/>
      <c r="Z287" s="16"/>
      <c r="AA287" s="16"/>
      <c r="AB287" s="16"/>
      <c r="AC287" s="91"/>
      <c r="AD287" s="91"/>
      <c r="AE287" s="91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91"/>
      <c r="Z288" s="16"/>
      <c r="AA288" s="16"/>
      <c r="AB288" s="16"/>
      <c r="AC288" s="91"/>
      <c r="AD288" s="91"/>
      <c r="AE288" s="91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91"/>
      <c r="Z289" s="16"/>
      <c r="AA289" s="16"/>
      <c r="AB289" s="16"/>
      <c r="AC289" s="91"/>
      <c r="AD289" s="91"/>
      <c r="AE289" s="91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91"/>
      <c r="Z290" s="16"/>
      <c r="AA290" s="16"/>
      <c r="AB290" s="16"/>
      <c r="AC290" s="91"/>
      <c r="AD290" s="91"/>
      <c r="AE290" s="91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91"/>
      <c r="Z291" s="16"/>
      <c r="AA291" s="16"/>
      <c r="AB291" s="16"/>
      <c r="AC291" s="91"/>
      <c r="AD291" s="91"/>
      <c r="AE291" s="91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91"/>
      <c r="Z292" s="16"/>
      <c r="AA292" s="16"/>
      <c r="AB292" s="16"/>
      <c r="AC292" s="91"/>
      <c r="AD292" s="91"/>
      <c r="AE292" s="91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91"/>
      <c r="Z293" s="16"/>
      <c r="AA293" s="16"/>
      <c r="AB293" s="16"/>
      <c r="AC293" s="91"/>
      <c r="AD293" s="91"/>
      <c r="AE293" s="91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91"/>
      <c r="Z294" s="16"/>
      <c r="AA294" s="16"/>
      <c r="AB294" s="16"/>
      <c r="AC294" s="91"/>
      <c r="AD294" s="91"/>
      <c r="AE294" s="91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91"/>
      <c r="Z295" s="16"/>
      <c r="AA295" s="16"/>
      <c r="AB295" s="16"/>
      <c r="AC295" s="91"/>
      <c r="AD295" s="91"/>
      <c r="AE295" s="91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91"/>
      <c r="Z296" s="16"/>
      <c r="AA296" s="16"/>
      <c r="AB296" s="16"/>
      <c r="AC296" s="91"/>
      <c r="AD296" s="91"/>
      <c r="AE296" s="91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91"/>
      <c r="Z297" s="16"/>
      <c r="AA297" s="16"/>
      <c r="AB297" s="16"/>
      <c r="AC297" s="91"/>
      <c r="AD297" s="91"/>
      <c r="AE297" s="91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91"/>
      <c r="Z298" s="16"/>
      <c r="AA298" s="16"/>
      <c r="AB298" s="16"/>
      <c r="AC298" s="91"/>
      <c r="AD298" s="91"/>
      <c r="AE298" s="91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91"/>
      <c r="Z299" s="16"/>
      <c r="AA299" s="16"/>
      <c r="AB299" s="16"/>
      <c r="AC299" s="91"/>
      <c r="AD299" s="91"/>
      <c r="AE299" s="91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91"/>
      <c r="Z300" s="16"/>
      <c r="AA300" s="16"/>
      <c r="AB300" s="16"/>
      <c r="AC300" s="91"/>
      <c r="AD300" s="91"/>
      <c r="AE300" s="91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91"/>
      <c r="Z301" s="16"/>
      <c r="AA301" s="16"/>
      <c r="AB301" s="16"/>
      <c r="AC301" s="91"/>
      <c r="AD301" s="91"/>
      <c r="AE301" s="91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91"/>
      <c r="Z302" s="16"/>
      <c r="AA302" s="16"/>
      <c r="AB302" s="16"/>
      <c r="AC302" s="91"/>
      <c r="AD302" s="91"/>
      <c r="AE302" s="91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91"/>
      <c r="Z303" s="16"/>
      <c r="AA303" s="16"/>
      <c r="AB303" s="16"/>
      <c r="AC303" s="91"/>
      <c r="AD303" s="91"/>
      <c r="AE303" s="91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91"/>
      <c r="Z304" s="16"/>
      <c r="AA304" s="16"/>
      <c r="AB304" s="16"/>
      <c r="AC304" s="91"/>
      <c r="AD304" s="91"/>
      <c r="AE304" s="91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91"/>
      <c r="Z305" s="16"/>
      <c r="AA305" s="16"/>
      <c r="AB305" s="16"/>
      <c r="AC305" s="91"/>
      <c r="AD305" s="91"/>
      <c r="AE305" s="91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91"/>
      <c r="Z306" s="16"/>
      <c r="AA306" s="16"/>
      <c r="AB306" s="16"/>
      <c r="AC306" s="91"/>
      <c r="AD306" s="91"/>
      <c r="AE306" s="91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91"/>
      <c r="Z307" s="16"/>
      <c r="AA307" s="16"/>
      <c r="AB307" s="16"/>
      <c r="AC307" s="91"/>
      <c r="AD307" s="91"/>
      <c r="AE307" s="91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91"/>
      <c r="Z308" s="16"/>
      <c r="AA308" s="16"/>
      <c r="AB308" s="16"/>
      <c r="AC308" s="91"/>
      <c r="AD308" s="91"/>
      <c r="AE308" s="91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91"/>
      <c r="Z309" s="16"/>
      <c r="AA309" s="16"/>
      <c r="AB309" s="16"/>
      <c r="AC309" s="91"/>
      <c r="AD309" s="91"/>
      <c r="AE309" s="91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91"/>
      <c r="Z310" s="16"/>
      <c r="AA310" s="16"/>
      <c r="AB310" s="16"/>
      <c r="AC310" s="91"/>
      <c r="AD310" s="91"/>
      <c r="AE310" s="91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91"/>
      <c r="Z311" s="16"/>
      <c r="AA311" s="16"/>
      <c r="AB311" s="16"/>
      <c r="AC311" s="91"/>
      <c r="AD311" s="91"/>
      <c r="AE311" s="91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91"/>
      <c r="Z312" s="16"/>
      <c r="AA312" s="16"/>
      <c r="AB312" s="16"/>
      <c r="AC312" s="91"/>
      <c r="AD312" s="91"/>
      <c r="AE312" s="91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91"/>
      <c r="Z313" s="16"/>
      <c r="AA313" s="16"/>
      <c r="AB313" s="16"/>
      <c r="AC313" s="91"/>
      <c r="AD313" s="91"/>
      <c r="AE313" s="91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91"/>
      <c r="Z314" s="16"/>
      <c r="AA314" s="16"/>
      <c r="AB314" s="16"/>
      <c r="AC314" s="91"/>
      <c r="AD314" s="91"/>
      <c r="AE314" s="91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91"/>
      <c r="Z315" s="16"/>
      <c r="AA315" s="16"/>
      <c r="AB315" s="16"/>
      <c r="AC315" s="91"/>
      <c r="AD315" s="91"/>
      <c r="AE315" s="91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91"/>
      <c r="Z316" s="16"/>
      <c r="AA316" s="16"/>
      <c r="AB316" s="16"/>
      <c r="AC316" s="91"/>
      <c r="AD316" s="91"/>
      <c r="AE316" s="91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91"/>
      <c r="Z317" s="16"/>
      <c r="AA317" s="16"/>
      <c r="AB317" s="16"/>
      <c r="AC317" s="91"/>
      <c r="AD317" s="91"/>
      <c r="AE317" s="91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91"/>
      <c r="Z318" s="16"/>
      <c r="AA318" s="16"/>
      <c r="AB318" s="16"/>
      <c r="AC318" s="91"/>
      <c r="AD318" s="91"/>
      <c r="AE318" s="91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91"/>
      <c r="Z319" s="16"/>
      <c r="AA319" s="16"/>
      <c r="AB319" s="16"/>
      <c r="AC319" s="91"/>
      <c r="AD319" s="91"/>
      <c r="AE319" s="91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91"/>
      <c r="Z320" s="16"/>
      <c r="AA320" s="16"/>
      <c r="AB320" s="16"/>
      <c r="AC320" s="91"/>
      <c r="AD320" s="91"/>
      <c r="AE320" s="91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91"/>
      <c r="Z321" s="16"/>
      <c r="AA321" s="16"/>
      <c r="AB321" s="16"/>
      <c r="AC321" s="91"/>
      <c r="AD321" s="91"/>
      <c r="AE321" s="91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91"/>
      <c r="Z322" s="16"/>
      <c r="AA322" s="16"/>
      <c r="AB322" s="16"/>
      <c r="AC322" s="91"/>
      <c r="AD322" s="91"/>
      <c r="AE322" s="91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91"/>
      <c r="Z323" s="16"/>
      <c r="AA323" s="16"/>
      <c r="AB323" s="16"/>
      <c r="AC323" s="91"/>
      <c r="AD323" s="91"/>
      <c r="AE323" s="91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91"/>
      <c r="Z324" s="16"/>
      <c r="AA324" s="16"/>
      <c r="AB324" s="16"/>
      <c r="AC324" s="91"/>
      <c r="AD324" s="91"/>
      <c r="AE324" s="91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91"/>
      <c r="Z325" s="16"/>
      <c r="AA325" s="16"/>
      <c r="AB325" s="16"/>
      <c r="AC325" s="91"/>
      <c r="AD325" s="91"/>
      <c r="AE325" s="91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91"/>
      <c r="Z326" s="16"/>
      <c r="AA326" s="16"/>
      <c r="AB326" s="16"/>
      <c r="AC326" s="91"/>
      <c r="AD326" s="91"/>
      <c r="AE326" s="91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91"/>
      <c r="Z327" s="16"/>
      <c r="AA327" s="16"/>
      <c r="AB327" s="16"/>
      <c r="AC327" s="91"/>
      <c r="AD327" s="91"/>
      <c r="AE327" s="91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91"/>
      <c r="Z328" s="16"/>
      <c r="AA328" s="16"/>
      <c r="AB328" s="16"/>
      <c r="AC328" s="91"/>
      <c r="AD328" s="91"/>
      <c r="AE328" s="91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91"/>
      <c r="Z329" s="16"/>
      <c r="AA329" s="16"/>
      <c r="AB329" s="16"/>
      <c r="AC329" s="91"/>
      <c r="AD329" s="91"/>
      <c r="AE329" s="91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91"/>
      <c r="Z330" s="16"/>
      <c r="AA330" s="16"/>
      <c r="AB330" s="16"/>
      <c r="AC330" s="91"/>
      <c r="AD330" s="91"/>
      <c r="AE330" s="91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91"/>
      <c r="Z331" s="16"/>
      <c r="AA331" s="16"/>
      <c r="AB331" s="16"/>
      <c r="AC331" s="91"/>
      <c r="AD331" s="91"/>
      <c r="AE331" s="91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91"/>
      <c r="Z332" s="16"/>
      <c r="AA332" s="16"/>
      <c r="AB332" s="16"/>
      <c r="AC332" s="91"/>
      <c r="AD332" s="91"/>
      <c r="AE332" s="91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91"/>
      <c r="Z333" s="16"/>
      <c r="AA333" s="16"/>
      <c r="AB333" s="16"/>
      <c r="AC333" s="91"/>
      <c r="AD333" s="91"/>
      <c r="AE333" s="91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91"/>
      <c r="Z334" s="16"/>
      <c r="AA334" s="16"/>
      <c r="AB334" s="16"/>
      <c r="AC334" s="91"/>
      <c r="AD334" s="91"/>
      <c r="AE334" s="91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91"/>
      <c r="Z335" s="16"/>
      <c r="AA335" s="16"/>
      <c r="AB335" s="16"/>
      <c r="AC335" s="91"/>
      <c r="AD335" s="91"/>
      <c r="AE335" s="91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91"/>
      <c r="Z336" s="16"/>
      <c r="AA336" s="16"/>
      <c r="AB336" s="16"/>
      <c r="AC336" s="91"/>
      <c r="AD336" s="91"/>
      <c r="AE336" s="91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91"/>
      <c r="Z337" s="16"/>
      <c r="AA337" s="16"/>
      <c r="AB337" s="16"/>
      <c r="AC337" s="91"/>
      <c r="AD337" s="91"/>
      <c r="AE337" s="91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91"/>
      <c r="Z338" s="16"/>
      <c r="AA338" s="16"/>
      <c r="AB338" s="16"/>
      <c r="AC338" s="91"/>
      <c r="AD338" s="91"/>
      <c r="AE338" s="91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91"/>
      <c r="Z339" s="16"/>
      <c r="AA339" s="16"/>
      <c r="AB339" s="16"/>
      <c r="AC339" s="91"/>
      <c r="AD339" s="91"/>
      <c r="AE339" s="91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91"/>
      <c r="Z340" s="16"/>
      <c r="AA340" s="16"/>
      <c r="AB340" s="16"/>
      <c r="AC340" s="91"/>
      <c r="AD340" s="91"/>
      <c r="AE340" s="91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91"/>
      <c r="Z341" s="16"/>
      <c r="AA341" s="16"/>
      <c r="AB341" s="16"/>
      <c r="AC341" s="91"/>
      <c r="AD341" s="91"/>
      <c r="AE341" s="91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91"/>
      <c r="Z342" s="16"/>
      <c r="AA342" s="16"/>
      <c r="AB342" s="16"/>
      <c r="AC342" s="91"/>
      <c r="AD342" s="91"/>
      <c r="AE342" s="91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91"/>
      <c r="Z343" s="16"/>
      <c r="AA343" s="16"/>
      <c r="AB343" s="16"/>
      <c r="AC343" s="91"/>
      <c r="AD343" s="91"/>
      <c r="AE343" s="91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91"/>
      <c r="Z344" s="16"/>
      <c r="AA344" s="16"/>
      <c r="AB344" s="16"/>
      <c r="AC344" s="91"/>
      <c r="AD344" s="91"/>
      <c r="AE344" s="91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91"/>
      <c r="Z345" s="16"/>
      <c r="AA345" s="16"/>
      <c r="AB345" s="16"/>
      <c r="AC345" s="91"/>
      <c r="AD345" s="91"/>
      <c r="AE345" s="91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91"/>
      <c r="Z346" s="16"/>
      <c r="AA346" s="16"/>
      <c r="AB346" s="16"/>
      <c r="AC346" s="91"/>
      <c r="AD346" s="91"/>
      <c r="AE346" s="91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91"/>
      <c r="Z347" s="16"/>
      <c r="AA347" s="16"/>
      <c r="AB347" s="16"/>
      <c r="AC347" s="91"/>
      <c r="AD347" s="91"/>
      <c r="AE347" s="91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91"/>
      <c r="Z348" s="16"/>
      <c r="AA348" s="16"/>
      <c r="AB348" s="16"/>
      <c r="AC348" s="91"/>
      <c r="AD348" s="91"/>
      <c r="AE348" s="91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91"/>
      <c r="Z349" s="16"/>
      <c r="AA349" s="16"/>
      <c r="AB349" s="16"/>
      <c r="AC349" s="91"/>
      <c r="AD349" s="91"/>
      <c r="AE349" s="91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91"/>
      <c r="Z350" s="16"/>
      <c r="AA350" s="16"/>
      <c r="AB350" s="16"/>
      <c r="AC350" s="91"/>
      <c r="AD350" s="91"/>
      <c r="AE350" s="91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91"/>
      <c r="Z351" s="16"/>
      <c r="AA351" s="16"/>
      <c r="AB351" s="16"/>
      <c r="AC351" s="91"/>
      <c r="AD351" s="91"/>
      <c r="AE351" s="91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91"/>
      <c r="Z352" s="16"/>
      <c r="AA352" s="16"/>
      <c r="AB352" s="16"/>
      <c r="AC352" s="91"/>
      <c r="AD352" s="91"/>
      <c r="AE352" s="91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91"/>
      <c r="Z353" s="16"/>
      <c r="AA353" s="16"/>
      <c r="AB353" s="16"/>
      <c r="AC353" s="91"/>
      <c r="AD353" s="91"/>
      <c r="AE353" s="91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91"/>
      <c r="Z354" s="16"/>
      <c r="AA354" s="16"/>
      <c r="AB354" s="16"/>
      <c r="AC354" s="91"/>
      <c r="AD354" s="91"/>
      <c r="AE354" s="91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91"/>
      <c r="Z355" s="16"/>
      <c r="AA355" s="16"/>
      <c r="AB355" s="16"/>
      <c r="AC355" s="91"/>
      <c r="AD355" s="91"/>
      <c r="AE355" s="91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91"/>
      <c r="Z356" s="16"/>
      <c r="AA356" s="16"/>
      <c r="AB356" s="16"/>
      <c r="AC356" s="91"/>
      <c r="AD356" s="91"/>
      <c r="AE356" s="91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91"/>
      <c r="Z357" s="16"/>
      <c r="AA357" s="16"/>
      <c r="AB357" s="16"/>
      <c r="AC357" s="91"/>
      <c r="AD357" s="91"/>
      <c r="AE357" s="91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91"/>
      <c r="Z358" s="16"/>
      <c r="AA358" s="16"/>
      <c r="AB358" s="16"/>
      <c r="AC358" s="91"/>
      <c r="AD358" s="91"/>
      <c r="AE358" s="91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91"/>
      <c r="Z359" s="16"/>
      <c r="AA359" s="16"/>
      <c r="AB359" s="16"/>
      <c r="AC359" s="91"/>
      <c r="AD359" s="91"/>
      <c r="AE359" s="91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91"/>
      <c r="Z360" s="16"/>
      <c r="AA360" s="16"/>
      <c r="AB360" s="16"/>
      <c r="AC360" s="91"/>
      <c r="AD360" s="91"/>
      <c r="AE360" s="91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91"/>
      <c r="Z361" s="16"/>
      <c r="AA361" s="16"/>
      <c r="AB361" s="16"/>
      <c r="AC361" s="91"/>
      <c r="AD361" s="91"/>
      <c r="AE361" s="91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91"/>
      <c r="Z362" s="16"/>
      <c r="AA362" s="16"/>
      <c r="AB362" s="16"/>
      <c r="AC362" s="91"/>
      <c r="AD362" s="91"/>
      <c r="AE362" s="91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91"/>
      <c r="Z363" s="16"/>
      <c r="AA363" s="16"/>
      <c r="AB363" s="16"/>
      <c r="AC363" s="91"/>
      <c r="AD363" s="91"/>
      <c r="AE363" s="91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91"/>
      <c r="Z364" s="16"/>
      <c r="AA364" s="16"/>
      <c r="AB364" s="16"/>
      <c r="AC364" s="91"/>
      <c r="AD364" s="91"/>
      <c r="AE364" s="91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91"/>
      <c r="Z365" s="16"/>
      <c r="AA365" s="16"/>
      <c r="AB365" s="16"/>
      <c r="AC365" s="91"/>
      <c r="AD365" s="91"/>
      <c r="AE365" s="91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91"/>
      <c r="Z366" s="16"/>
      <c r="AA366" s="16"/>
      <c r="AB366" s="16"/>
      <c r="AC366" s="91"/>
      <c r="AD366" s="91"/>
      <c r="AE366" s="91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91"/>
      <c r="Z367" s="16"/>
      <c r="AA367" s="16"/>
      <c r="AB367" s="16"/>
      <c r="AC367" s="91"/>
      <c r="AD367" s="91"/>
      <c r="AE367" s="91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91"/>
      <c r="Z368" s="16"/>
      <c r="AA368" s="16"/>
      <c r="AB368" s="16"/>
      <c r="AC368" s="91"/>
      <c r="AD368" s="91"/>
      <c r="AE368" s="91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91"/>
      <c r="Z369" s="16"/>
      <c r="AA369" s="16"/>
      <c r="AB369" s="16"/>
      <c r="AC369" s="91"/>
      <c r="AD369" s="91"/>
      <c r="AE369" s="91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91"/>
      <c r="Z370" s="16"/>
      <c r="AA370" s="16"/>
      <c r="AB370" s="16"/>
      <c r="AC370" s="91"/>
      <c r="AD370" s="91"/>
      <c r="AE370" s="91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91"/>
      <c r="Z371" s="16"/>
      <c r="AA371" s="16"/>
      <c r="AB371" s="16"/>
      <c r="AC371" s="91"/>
      <c r="AD371" s="91"/>
      <c r="AE371" s="91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91"/>
      <c r="Z372" s="16"/>
      <c r="AA372" s="16"/>
      <c r="AB372" s="16"/>
      <c r="AC372" s="91"/>
      <c r="AD372" s="91"/>
      <c r="AE372" s="91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91"/>
      <c r="Z373" s="16"/>
      <c r="AA373" s="16"/>
      <c r="AB373" s="16"/>
      <c r="AC373" s="91"/>
      <c r="AD373" s="91"/>
      <c r="AE373" s="91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91"/>
      <c r="Z374" s="16"/>
      <c r="AA374" s="16"/>
      <c r="AB374" s="16"/>
      <c r="AC374" s="91"/>
      <c r="AD374" s="91"/>
      <c r="AE374" s="91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91"/>
      <c r="Z375" s="16"/>
      <c r="AA375" s="16"/>
      <c r="AB375" s="16"/>
      <c r="AC375" s="91"/>
      <c r="AD375" s="91"/>
      <c r="AE375" s="91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91"/>
      <c r="Z376" s="16"/>
      <c r="AA376" s="16"/>
      <c r="AB376" s="16"/>
      <c r="AC376" s="91"/>
      <c r="AD376" s="91"/>
      <c r="AE376" s="91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91"/>
      <c r="Z377" s="16"/>
      <c r="AA377" s="16"/>
      <c r="AB377" s="16"/>
      <c r="AC377" s="91"/>
      <c r="AD377" s="91"/>
      <c r="AE377" s="91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91"/>
      <c r="Z378" s="16"/>
      <c r="AA378" s="16"/>
      <c r="AB378" s="16"/>
      <c r="AC378" s="91"/>
      <c r="AD378" s="91"/>
      <c r="AE378" s="91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91"/>
      <c r="Z379" s="16"/>
      <c r="AA379" s="16"/>
      <c r="AB379" s="16"/>
      <c r="AC379" s="91"/>
      <c r="AD379" s="91"/>
      <c r="AE379" s="91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91"/>
      <c r="Z380" s="16"/>
      <c r="AA380" s="16"/>
      <c r="AB380" s="16"/>
      <c r="AC380" s="91"/>
      <c r="AD380" s="91"/>
      <c r="AE380" s="91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91"/>
      <c r="Z381" s="16"/>
      <c r="AA381" s="16"/>
      <c r="AB381" s="16"/>
      <c r="AC381" s="91"/>
      <c r="AD381" s="91"/>
      <c r="AE381" s="91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91"/>
      <c r="Z382" s="16"/>
      <c r="AA382" s="16"/>
      <c r="AB382" s="16"/>
      <c r="AC382" s="91"/>
      <c r="AD382" s="91"/>
      <c r="AE382" s="91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91"/>
      <c r="Z383" s="16"/>
      <c r="AA383" s="16"/>
      <c r="AB383" s="16"/>
      <c r="AC383" s="91"/>
      <c r="AD383" s="91"/>
      <c r="AE383" s="91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91"/>
      <c r="Z384" s="16"/>
      <c r="AA384" s="16"/>
      <c r="AB384" s="16"/>
      <c r="AC384" s="91"/>
      <c r="AD384" s="91"/>
      <c r="AE384" s="91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91"/>
      <c r="Z385" s="16"/>
      <c r="AA385" s="16"/>
      <c r="AB385" s="16"/>
      <c r="AC385" s="91"/>
      <c r="AD385" s="91"/>
      <c r="AE385" s="91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91"/>
      <c r="Z386" s="16"/>
      <c r="AA386" s="16"/>
      <c r="AB386" s="16"/>
      <c r="AC386" s="91"/>
      <c r="AD386" s="91"/>
      <c r="AE386" s="91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91"/>
      <c r="Z387" s="16"/>
      <c r="AA387" s="16"/>
      <c r="AB387" s="16"/>
      <c r="AC387" s="91"/>
      <c r="AD387" s="91"/>
      <c r="AE387" s="91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91"/>
      <c r="Z388" s="16"/>
      <c r="AA388" s="16"/>
      <c r="AB388" s="16"/>
      <c r="AC388" s="91"/>
      <c r="AD388" s="91"/>
      <c r="AE388" s="91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91"/>
      <c r="Z389" s="16"/>
      <c r="AA389" s="16"/>
      <c r="AB389" s="16"/>
      <c r="AC389" s="91"/>
      <c r="AD389" s="91"/>
      <c r="AE389" s="91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91"/>
      <c r="Z390" s="16"/>
      <c r="AA390" s="16"/>
      <c r="AB390" s="16"/>
      <c r="AC390" s="91"/>
      <c r="AD390" s="91"/>
      <c r="AE390" s="91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91"/>
      <c r="Z391" s="16"/>
      <c r="AA391" s="16"/>
      <c r="AB391" s="16"/>
      <c r="AC391" s="91"/>
      <c r="AD391" s="91"/>
      <c r="AE391" s="91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91"/>
      <c r="Z392" s="16"/>
      <c r="AA392" s="16"/>
      <c r="AB392" s="16"/>
      <c r="AC392" s="91"/>
      <c r="AD392" s="91"/>
      <c r="AE392" s="91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91"/>
      <c r="Z393" s="16"/>
      <c r="AA393" s="16"/>
      <c r="AB393" s="16"/>
      <c r="AC393" s="91"/>
      <c r="AD393" s="91"/>
      <c r="AE393" s="91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91"/>
      <c r="Z394" s="16"/>
      <c r="AA394" s="16"/>
      <c r="AB394" s="16"/>
      <c r="AC394" s="91"/>
      <c r="AD394" s="91"/>
      <c r="AE394" s="91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91"/>
      <c r="Z395" s="16"/>
      <c r="AA395" s="16"/>
      <c r="AB395" s="16"/>
      <c r="AC395" s="91"/>
      <c r="AD395" s="91"/>
      <c r="AE395" s="91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91"/>
      <c r="Z396" s="16"/>
      <c r="AA396" s="16"/>
      <c r="AB396" s="16"/>
      <c r="AC396" s="91"/>
      <c r="AD396" s="91"/>
      <c r="AE396" s="91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91"/>
      <c r="Z397" s="16"/>
      <c r="AA397" s="16"/>
      <c r="AB397" s="16"/>
      <c r="AC397" s="91"/>
      <c r="AD397" s="91"/>
      <c r="AE397" s="91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91"/>
      <c r="Z398" s="16"/>
      <c r="AA398" s="16"/>
      <c r="AB398" s="16"/>
      <c r="AC398" s="91"/>
      <c r="AD398" s="91"/>
      <c r="AE398" s="91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91"/>
      <c r="Z399" s="16"/>
      <c r="AA399" s="16"/>
      <c r="AB399" s="16"/>
      <c r="AC399" s="91"/>
      <c r="AD399" s="91"/>
      <c r="AE399" s="91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91"/>
      <c r="Z400" s="16"/>
      <c r="AA400" s="16"/>
      <c r="AB400" s="16"/>
      <c r="AC400" s="91"/>
      <c r="AD400" s="91"/>
      <c r="AE400" s="91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91"/>
      <c r="Z401" s="16"/>
      <c r="AA401" s="16"/>
      <c r="AB401" s="16"/>
      <c r="AC401" s="91"/>
      <c r="AD401" s="91"/>
      <c r="AE401" s="91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91"/>
      <c r="Z402" s="16"/>
      <c r="AA402" s="16"/>
      <c r="AB402" s="16"/>
      <c r="AC402" s="91"/>
      <c r="AD402" s="91"/>
      <c r="AE402" s="91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91"/>
      <c r="Z403" s="16"/>
      <c r="AA403" s="16"/>
      <c r="AB403" s="16"/>
      <c r="AC403" s="91"/>
      <c r="AD403" s="91"/>
      <c r="AE403" s="91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91"/>
      <c r="Z404" s="16"/>
      <c r="AA404" s="16"/>
      <c r="AB404" s="16"/>
      <c r="AC404" s="91"/>
      <c r="AD404" s="91"/>
      <c r="AE404" s="91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91"/>
      <c r="Z405" s="16"/>
      <c r="AA405" s="16"/>
      <c r="AB405" s="16"/>
      <c r="AC405" s="91"/>
      <c r="AD405" s="91"/>
      <c r="AE405" s="91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91"/>
      <c r="Z406" s="16"/>
      <c r="AA406" s="16"/>
      <c r="AB406" s="16"/>
      <c r="AC406" s="91"/>
      <c r="AD406" s="91"/>
      <c r="AE406" s="91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91"/>
      <c r="Z407" s="16"/>
      <c r="AA407" s="16"/>
      <c r="AB407" s="16"/>
      <c r="AC407" s="91"/>
      <c r="AD407" s="91"/>
      <c r="AE407" s="91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91"/>
      <c r="Z408" s="16"/>
      <c r="AA408" s="16"/>
      <c r="AB408" s="16"/>
      <c r="AC408" s="91"/>
      <c r="AD408" s="91"/>
      <c r="AE408" s="91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91"/>
      <c r="Z409" s="16"/>
      <c r="AA409" s="16"/>
      <c r="AB409" s="16"/>
      <c r="AC409" s="91"/>
      <c r="AD409" s="91"/>
      <c r="AE409" s="91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91"/>
      <c r="Z410" s="16"/>
      <c r="AA410" s="16"/>
      <c r="AB410" s="16"/>
      <c r="AC410" s="91"/>
      <c r="AD410" s="91"/>
      <c r="AE410" s="91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91"/>
      <c r="Z411" s="16"/>
      <c r="AA411" s="16"/>
      <c r="AB411" s="16"/>
      <c r="AC411" s="91"/>
      <c r="AD411" s="91"/>
      <c r="AE411" s="91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91"/>
      <c r="Z412" s="16"/>
      <c r="AA412" s="16"/>
      <c r="AB412" s="16"/>
      <c r="AC412" s="91"/>
      <c r="AD412" s="91"/>
      <c r="AE412" s="91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91"/>
      <c r="Z413" s="16"/>
      <c r="AA413" s="16"/>
      <c r="AB413" s="16"/>
      <c r="AC413" s="91"/>
      <c r="AD413" s="91"/>
      <c r="AE413" s="91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91"/>
      <c r="Z414" s="16"/>
      <c r="AA414" s="16"/>
      <c r="AB414" s="16"/>
      <c r="AC414" s="91"/>
      <c r="AD414" s="91"/>
      <c r="AE414" s="91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91"/>
      <c r="Z415" s="16"/>
      <c r="AA415" s="16"/>
      <c r="AB415" s="16"/>
      <c r="AC415" s="91"/>
      <c r="AD415" s="91"/>
      <c r="AE415" s="91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91"/>
      <c r="Z416" s="16"/>
      <c r="AA416" s="16"/>
      <c r="AB416" s="16"/>
      <c r="AC416" s="91"/>
      <c r="AD416" s="91"/>
      <c r="AE416" s="91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91"/>
      <c r="Z417" s="16"/>
      <c r="AA417" s="16"/>
      <c r="AB417" s="16"/>
      <c r="AC417" s="91"/>
      <c r="AD417" s="91"/>
      <c r="AE417" s="91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91"/>
      <c r="Z418" s="16"/>
      <c r="AA418" s="16"/>
      <c r="AB418" s="16"/>
      <c r="AC418" s="91"/>
      <c r="AD418" s="91"/>
      <c r="AE418" s="91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91"/>
      <c r="Z419" s="16"/>
      <c r="AA419" s="16"/>
      <c r="AB419" s="16"/>
      <c r="AC419" s="91"/>
      <c r="AD419" s="91"/>
      <c r="AE419" s="91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91"/>
      <c r="Z420" s="16"/>
      <c r="AA420" s="16"/>
      <c r="AB420" s="16"/>
      <c r="AC420" s="91"/>
      <c r="AD420" s="91"/>
      <c r="AE420" s="91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91"/>
      <c r="Z421" s="16"/>
      <c r="AA421" s="16"/>
      <c r="AB421" s="16"/>
      <c r="AC421" s="91"/>
      <c r="AD421" s="91"/>
      <c r="AE421" s="91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91"/>
      <c r="Z422" s="16"/>
      <c r="AA422" s="16"/>
      <c r="AB422" s="16"/>
      <c r="AC422" s="91"/>
      <c r="AD422" s="91"/>
      <c r="AE422" s="91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91"/>
      <c r="Z423" s="16"/>
      <c r="AA423" s="16"/>
      <c r="AB423" s="16"/>
      <c r="AC423" s="91"/>
      <c r="AD423" s="91"/>
      <c r="AE423" s="91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91"/>
      <c r="Z424" s="16"/>
      <c r="AA424" s="16"/>
      <c r="AB424" s="16"/>
      <c r="AC424" s="91"/>
      <c r="AD424" s="91"/>
      <c r="AE424" s="91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91"/>
      <c r="Z425" s="16"/>
      <c r="AA425" s="16"/>
      <c r="AB425" s="16"/>
      <c r="AC425" s="91"/>
      <c r="AD425" s="91"/>
      <c r="AE425" s="91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91"/>
      <c r="Z426" s="16"/>
      <c r="AA426" s="16"/>
      <c r="AB426" s="16"/>
      <c r="AC426" s="91"/>
      <c r="AD426" s="91"/>
      <c r="AE426" s="91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91"/>
      <c r="Z427" s="16"/>
      <c r="AA427" s="16"/>
      <c r="AB427" s="16"/>
      <c r="AC427" s="91"/>
      <c r="AD427" s="91"/>
      <c r="AE427" s="91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91"/>
      <c r="Z428" s="16"/>
      <c r="AA428" s="16"/>
      <c r="AB428" s="16"/>
      <c r="AC428" s="91"/>
      <c r="AD428" s="91"/>
      <c r="AE428" s="91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91"/>
      <c r="Z429" s="16"/>
      <c r="AA429" s="16"/>
      <c r="AB429" s="16"/>
      <c r="AC429" s="91"/>
      <c r="AD429" s="91"/>
      <c r="AE429" s="91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91"/>
      <c r="Z430" s="16"/>
      <c r="AA430" s="16"/>
      <c r="AB430" s="16"/>
      <c r="AC430" s="91"/>
      <c r="AD430" s="91"/>
      <c r="AE430" s="91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91"/>
      <c r="Z431" s="16"/>
      <c r="AA431" s="16"/>
      <c r="AB431" s="16"/>
      <c r="AC431" s="91"/>
      <c r="AD431" s="91"/>
      <c r="AE431" s="91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91"/>
      <c r="Z432" s="16"/>
      <c r="AA432" s="16"/>
      <c r="AB432" s="16"/>
      <c r="AC432" s="91"/>
      <c r="AD432" s="91"/>
      <c r="AE432" s="91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91"/>
      <c r="Z433" s="16"/>
      <c r="AA433" s="16"/>
      <c r="AB433" s="16"/>
      <c r="AC433" s="91"/>
      <c r="AD433" s="91"/>
      <c r="AE433" s="91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91"/>
      <c r="Z434" s="16"/>
      <c r="AA434" s="16"/>
      <c r="AB434" s="16"/>
      <c r="AC434" s="91"/>
      <c r="AD434" s="91"/>
      <c r="AE434" s="91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91"/>
      <c r="Z435" s="16"/>
      <c r="AA435" s="16"/>
      <c r="AB435" s="16"/>
      <c r="AC435" s="91"/>
      <c r="AD435" s="91"/>
      <c r="AE435" s="91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91"/>
      <c r="Z436" s="16"/>
      <c r="AA436" s="16"/>
      <c r="AB436" s="16"/>
      <c r="AC436" s="91"/>
      <c r="AD436" s="91"/>
      <c r="AE436" s="91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91"/>
      <c r="Z437" s="16"/>
      <c r="AA437" s="16"/>
      <c r="AB437" s="16"/>
      <c r="AC437" s="91"/>
      <c r="AD437" s="91"/>
      <c r="AE437" s="91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91"/>
      <c r="Z438" s="16"/>
      <c r="AA438" s="16"/>
      <c r="AB438" s="16"/>
      <c r="AC438" s="91"/>
      <c r="AD438" s="91"/>
      <c r="AE438" s="91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91"/>
      <c r="Z439" s="16"/>
      <c r="AA439" s="16"/>
      <c r="AB439" s="16"/>
      <c r="AC439" s="91"/>
      <c r="AD439" s="91"/>
      <c r="AE439" s="91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91"/>
      <c r="Z440" s="16"/>
      <c r="AA440" s="16"/>
      <c r="AB440" s="16"/>
      <c r="AC440" s="91"/>
      <c r="AD440" s="91"/>
      <c r="AE440" s="91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91"/>
      <c r="Z441" s="16"/>
      <c r="AA441" s="16"/>
      <c r="AB441" s="16"/>
      <c r="AC441" s="91"/>
      <c r="AD441" s="91"/>
      <c r="AE441" s="91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91"/>
      <c r="Z442" s="16"/>
      <c r="AA442" s="16"/>
      <c r="AB442" s="16"/>
      <c r="AC442" s="91"/>
      <c r="AD442" s="91"/>
      <c r="AE442" s="91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91"/>
      <c r="Z443" s="16"/>
      <c r="AA443" s="16"/>
      <c r="AB443" s="16"/>
      <c r="AC443" s="91"/>
      <c r="AD443" s="91"/>
      <c r="AE443" s="91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91"/>
      <c r="Z444" s="16"/>
      <c r="AA444" s="16"/>
      <c r="AB444" s="16"/>
      <c r="AC444" s="91"/>
      <c r="AD444" s="91"/>
      <c r="AE444" s="91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91"/>
      <c r="Z445" s="16"/>
      <c r="AA445" s="16"/>
      <c r="AB445" s="16"/>
      <c r="AC445" s="91"/>
      <c r="AD445" s="91"/>
      <c r="AE445" s="91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91"/>
      <c r="Z446" s="16"/>
      <c r="AA446" s="16"/>
      <c r="AB446" s="16"/>
      <c r="AC446" s="91"/>
      <c r="AD446" s="91"/>
      <c r="AE446" s="91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91"/>
      <c r="Z447" s="16"/>
      <c r="AA447" s="16"/>
      <c r="AB447" s="16"/>
      <c r="AC447" s="91"/>
      <c r="AD447" s="91"/>
      <c r="AE447" s="91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91"/>
      <c r="Z448" s="16"/>
      <c r="AA448" s="16"/>
      <c r="AB448" s="16"/>
      <c r="AC448" s="91"/>
      <c r="AD448" s="91"/>
      <c r="AE448" s="91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91"/>
      <c r="Z449" s="16"/>
      <c r="AA449" s="16"/>
      <c r="AB449" s="16"/>
      <c r="AC449" s="91"/>
      <c r="AD449" s="91"/>
      <c r="AE449" s="91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91"/>
      <c r="Z450" s="16"/>
      <c r="AA450" s="16"/>
      <c r="AB450" s="16"/>
      <c r="AC450" s="91"/>
      <c r="AD450" s="91"/>
      <c r="AE450" s="91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91"/>
      <c r="Z451" s="16"/>
      <c r="AA451" s="16"/>
      <c r="AB451" s="16"/>
      <c r="AC451" s="91"/>
      <c r="AD451" s="91"/>
      <c r="AE451" s="91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91"/>
      <c r="Z452" s="16"/>
      <c r="AA452" s="16"/>
      <c r="AB452" s="16"/>
      <c r="AC452" s="91"/>
      <c r="AD452" s="91"/>
      <c r="AE452" s="91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91"/>
      <c r="Z453" s="16"/>
      <c r="AA453" s="16"/>
      <c r="AB453" s="16"/>
      <c r="AC453" s="91"/>
      <c r="AD453" s="91"/>
      <c r="AE453" s="91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91"/>
      <c r="Z454" s="16"/>
      <c r="AA454" s="16"/>
      <c r="AB454" s="16"/>
      <c r="AC454" s="91"/>
      <c r="AD454" s="91"/>
      <c r="AE454" s="91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91"/>
      <c r="Z455" s="16"/>
      <c r="AA455" s="16"/>
      <c r="AB455" s="16"/>
      <c r="AC455" s="91"/>
      <c r="AD455" s="91"/>
      <c r="AE455" s="91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91"/>
      <c r="Z456" s="16"/>
      <c r="AA456" s="16"/>
      <c r="AB456" s="16"/>
      <c r="AC456" s="91"/>
      <c r="AD456" s="91"/>
      <c r="AE456" s="91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91"/>
      <c r="Z457" s="16"/>
      <c r="AA457" s="16"/>
      <c r="AB457" s="16"/>
      <c r="AC457" s="91"/>
      <c r="AD457" s="91"/>
      <c r="AE457" s="91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91"/>
      <c r="Z458" s="16"/>
      <c r="AA458" s="16"/>
      <c r="AB458" s="16"/>
      <c r="AC458" s="91"/>
      <c r="AD458" s="91"/>
      <c r="AE458" s="91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91"/>
      <c r="Z459" s="16"/>
      <c r="AA459" s="16"/>
      <c r="AB459" s="16"/>
      <c r="AC459" s="91"/>
      <c r="AD459" s="91"/>
      <c r="AE459" s="91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91"/>
      <c r="Z460" s="16"/>
      <c r="AA460" s="16"/>
      <c r="AB460" s="16"/>
      <c r="AC460" s="91"/>
      <c r="AD460" s="91"/>
      <c r="AE460" s="91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91"/>
      <c r="Z461" s="16"/>
      <c r="AA461" s="16"/>
      <c r="AB461" s="16"/>
      <c r="AC461" s="91"/>
      <c r="AD461" s="91"/>
      <c r="AE461" s="91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91"/>
      <c r="Z462" s="16"/>
      <c r="AA462" s="16"/>
      <c r="AB462" s="16"/>
      <c r="AC462" s="91"/>
      <c r="AD462" s="91"/>
      <c r="AE462" s="91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91"/>
      <c r="Z463" s="16"/>
      <c r="AA463" s="16"/>
      <c r="AB463" s="16"/>
      <c r="AC463" s="91"/>
      <c r="AD463" s="91"/>
      <c r="AE463" s="91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91"/>
      <c r="Z464" s="16"/>
      <c r="AA464" s="16"/>
      <c r="AB464" s="16"/>
      <c r="AC464" s="91"/>
      <c r="AD464" s="91"/>
      <c r="AE464" s="91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91"/>
      <c r="Z465" s="16"/>
      <c r="AA465" s="16"/>
      <c r="AB465" s="16"/>
      <c r="AC465" s="91"/>
      <c r="AD465" s="91"/>
      <c r="AE465" s="91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91"/>
      <c r="Z466" s="16"/>
      <c r="AA466" s="16"/>
      <c r="AB466" s="16"/>
      <c r="AC466" s="91"/>
      <c r="AD466" s="91"/>
      <c r="AE466" s="91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91"/>
      <c r="Z467" s="16"/>
      <c r="AA467" s="16"/>
      <c r="AB467" s="16"/>
      <c r="AC467" s="91"/>
      <c r="AD467" s="91"/>
      <c r="AE467" s="91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91"/>
      <c r="Z468" s="16"/>
      <c r="AA468" s="16"/>
      <c r="AB468" s="16"/>
      <c r="AC468" s="91"/>
      <c r="AD468" s="91"/>
      <c r="AE468" s="91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91"/>
      <c r="Z469" s="16"/>
      <c r="AA469" s="16"/>
      <c r="AB469" s="16"/>
      <c r="AC469" s="91"/>
      <c r="AD469" s="91"/>
      <c r="AE469" s="91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91"/>
      <c r="Z470" s="16"/>
      <c r="AA470" s="16"/>
      <c r="AB470" s="16"/>
      <c r="AC470" s="91"/>
      <c r="AD470" s="91"/>
      <c r="AE470" s="91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91"/>
      <c r="Z471" s="16"/>
      <c r="AA471" s="16"/>
      <c r="AB471" s="16"/>
      <c r="AC471" s="91"/>
      <c r="AD471" s="91"/>
      <c r="AE471" s="91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91"/>
      <c r="Z472" s="16"/>
      <c r="AA472" s="16"/>
      <c r="AB472" s="16"/>
      <c r="AC472" s="91"/>
      <c r="AD472" s="91"/>
      <c r="AE472" s="91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91"/>
      <c r="Z473" s="16"/>
      <c r="AA473" s="16"/>
      <c r="AB473" s="16"/>
      <c r="AC473" s="91"/>
      <c r="AD473" s="91"/>
      <c r="AE473" s="91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91"/>
      <c r="Z474" s="16"/>
      <c r="AA474" s="16"/>
      <c r="AB474" s="16"/>
      <c r="AC474" s="91"/>
      <c r="AD474" s="91"/>
      <c r="AE474" s="91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91"/>
      <c r="Z475" s="16"/>
      <c r="AA475" s="16"/>
      <c r="AB475" s="16"/>
      <c r="AC475" s="91"/>
      <c r="AD475" s="91"/>
      <c r="AE475" s="91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91"/>
      <c r="Z476" s="16"/>
      <c r="AA476" s="16"/>
      <c r="AB476" s="16"/>
      <c r="AC476" s="91"/>
      <c r="AD476" s="91"/>
      <c r="AE476" s="91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91"/>
      <c r="Z477" s="16"/>
      <c r="AA477" s="16"/>
      <c r="AB477" s="16"/>
      <c r="AC477" s="91"/>
      <c r="AD477" s="91"/>
      <c r="AE477" s="91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91"/>
      <c r="Z478" s="16"/>
      <c r="AA478" s="16"/>
      <c r="AB478" s="16"/>
      <c r="AC478" s="91"/>
      <c r="AD478" s="91"/>
      <c r="AE478" s="91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91"/>
      <c r="Z479" s="16"/>
      <c r="AA479" s="16"/>
      <c r="AB479" s="16"/>
      <c r="AC479" s="91"/>
      <c r="AD479" s="91"/>
      <c r="AE479" s="91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91"/>
      <c r="Z480" s="16"/>
      <c r="AA480" s="16"/>
      <c r="AB480" s="16"/>
      <c r="AC480" s="91"/>
      <c r="AD480" s="91"/>
      <c r="AE480" s="91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91"/>
      <c r="Z481" s="16"/>
      <c r="AA481" s="16"/>
      <c r="AB481" s="16"/>
      <c r="AC481" s="91"/>
      <c r="AD481" s="91"/>
      <c r="AE481" s="91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91"/>
      <c r="Z482" s="16"/>
      <c r="AA482" s="16"/>
      <c r="AB482" s="16"/>
      <c r="AC482" s="91"/>
      <c r="AD482" s="91"/>
      <c r="AE482" s="91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91"/>
      <c r="Z483" s="16"/>
      <c r="AA483" s="16"/>
      <c r="AB483" s="16"/>
      <c r="AC483" s="91"/>
      <c r="AD483" s="91"/>
      <c r="AE483" s="91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91"/>
      <c r="Z484" s="16"/>
      <c r="AA484" s="16"/>
      <c r="AB484" s="16"/>
      <c r="AC484" s="91"/>
      <c r="AD484" s="91"/>
      <c r="AE484" s="91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91"/>
      <c r="Z485" s="16"/>
      <c r="AA485" s="16"/>
      <c r="AB485" s="16"/>
      <c r="AC485" s="91"/>
      <c r="AD485" s="91"/>
      <c r="AE485" s="91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91"/>
      <c r="Z486" s="16"/>
      <c r="AA486" s="16"/>
      <c r="AB486" s="16"/>
      <c r="AC486" s="91"/>
      <c r="AD486" s="91"/>
      <c r="AE486" s="91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91"/>
      <c r="Z487" s="16"/>
      <c r="AA487" s="16"/>
      <c r="AB487" s="16"/>
      <c r="AC487" s="91"/>
      <c r="AD487" s="91"/>
      <c r="AE487" s="91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91"/>
      <c r="Z488" s="16"/>
      <c r="AA488" s="16"/>
      <c r="AB488" s="16"/>
      <c r="AC488" s="91"/>
      <c r="AD488" s="91"/>
      <c r="AE488" s="91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91"/>
      <c r="Z489" s="16"/>
      <c r="AA489" s="16"/>
      <c r="AB489" s="16"/>
      <c r="AC489" s="91"/>
      <c r="AD489" s="91"/>
      <c r="AE489" s="91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91"/>
      <c r="Z490" s="16"/>
      <c r="AA490" s="16"/>
      <c r="AB490" s="16"/>
      <c r="AC490" s="91"/>
      <c r="AD490" s="91"/>
      <c r="AE490" s="91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91"/>
      <c r="Z491" s="16"/>
      <c r="AA491" s="16"/>
      <c r="AB491" s="16"/>
      <c r="AC491" s="91"/>
      <c r="AD491" s="91"/>
      <c r="AE491" s="91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91"/>
      <c r="Z492" s="16"/>
      <c r="AA492" s="16"/>
      <c r="AB492" s="16"/>
      <c r="AC492" s="91"/>
      <c r="AD492" s="91"/>
      <c r="AE492" s="91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91"/>
      <c r="Z493" s="16"/>
      <c r="AA493" s="16"/>
      <c r="AB493" s="16"/>
      <c r="AC493" s="91"/>
      <c r="AD493" s="91"/>
      <c r="AE493" s="91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91"/>
      <c r="Z494" s="16"/>
      <c r="AA494" s="16"/>
      <c r="AB494" s="16"/>
      <c r="AC494" s="91"/>
      <c r="AD494" s="91"/>
      <c r="AE494" s="91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91"/>
      <c r="Z495" s="16"/>
      <c r="AA495" s="16"/>
      <c r="AB495" s="16"/>
      <c r="AC495" s="91"/>
      <c r="AD495" s="91"/>
      <c r="AE495" s="91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91"/>
      <c r="Z496" s="16"/>
      <c r="AA496" s="16"/>
      <c r="AB496" s="16"/>
      <c r="AC496" s="91"/>
      <c r="AD496" s="91"/>
      <c r="AE496" s="91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91"/>
      <c r="Z497" s="16"/>
      <c r="AA497" s="16"/>
      <c r="AB497" s="16"/>
      <c r="AC497" s="91"/>
      <c r="AD497" s="91"/>
      <c r="AE497" s="91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91"/>
      <c r="Z498" s="16"/>
      <c r="AA498" s="16"/>
      <c r="AB498" s="16"/>
      <c r="AC498" s="91"/>
      <c r="AD498" s="91"/>
      <c r="AE498" s="91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91"/>
      <c r="Z499" s="16"/>
      <c r="AA499" s="16"/>
      <c r="AB499" s="16"/>
      <c r="AC499" s="91"/>
      <c r="AD499" s="91"/>
      <c r="AE499" s="91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91"/>
      <c r="Z500" s="16"/>
      <c r="AA500" s="16"/>
      <c r="AB500" s="16"/>
      <c r="AC500" s="91"/>
      <c r="AD500" s="91"/>
      <c r="AE500" s="91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91"/>
      <c r="Z501" s="16"/>
      <c r="AA501" s="16"/>
      <c r="AB501" s="16"/>
      <c r="AC501" s="91"/>
      <c r="AD501" s="91"/>
      <c r="AE501" s="91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91"/>
      <c r="Z502" s="16"/>
      <c r="AA502" s="16"/>
      <c r="AB502" s="16"/>
      <c r="AC502" s="91"/>
      <c r="AD502" s="91"/>
      <c r="AE502" s="91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91"/>
      <c r="Z503" s="16"/>
      <c r="AA503" s="16"/>
      <c r="AB503" s="16"/>
      <c r="AC503" s="91"/>
      <c r="AD503" s="91"/>
      <c r="AE503" s="91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91"/>
      <c r="Z504" s="16"/>
      <c r="AA504" s="16"/>
      <c r="AB504" s="16"/>
      <c r="AC504" s="91"/>
      <c r="AD504" s="91"/>
      <c r="AE504" s="91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91"/>
      <c r="Z505" s="16"/>
      <c r="AA505" s="16"/>
      <c r="AB505" s="16"/>
      <c r="AC505" s="91"/>
      <c r="AD505" s="91"/>
      <c r="AE505" s="91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91"/>
      <c r="Z506" s="16"/>
      <c r="AA506" s="16"/>
      <c r="AB506" s="16"/>
      <c r="AC506" s="91"/>
      <c r="AD506" s="91"/>
      <c r="AE506" s="91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91"/>
      <c r="Z507" s="16"/>
      <c r="AA507" s="16"/>
      <c r="AB507" s="16"/>
      <c r="AC507" s="91"/>
      <c r="AD507" s="91"/>
      <c r="AE507" s="91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91"/>
      <c r="Z508" s="16"/>
      <c r="AA508" s="16"/>
      <c r="AB508" s="16"/>
      <c r="AC508" s="91"/>
      <c r="AD508" s="91"/>
      <c r="AE508" s="91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91"/>
      <c r="Z509" s="16"/>
      <c r="AA509" s="16"/>
      <c r="AB509" s="16"/>
      <c r="AC509" s="91"/>
      <c r="AD509" s="91"/>
      <c r="AE509" s="91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91"/>
      <c r="Z510" s="16"/>
      <c r="AA510" s="16"/>
      <c r="AB510" s="16"/>
      <c r="AC510" s="91"/>
      <c r="AD510" s="91"/>
      <c r="AE510" s="91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91"/>
      <c r="Z511" s="16"/>
      <c r="AA511" s="16"/>
      <c r="AB511" s="16"/>
      <c r="AC511" s="91"/>
      <c r="AD511" s="91"/>
      <c r="AE511" s="91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91"/>
      <c r="Z512" s="16"/>
      <c r="AA512" s="16"/>
      <c r="AB512" s="16"/>
      <c r="AC512" s="91"/>
      <c r="AD512" s="91"/>
      <c r="AE512" s="91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91"/>
      <c r="Z513" s="16"/>
      <c r="AA513" s="16"/>
      <c r="AB513" s="16"/>
      <c r="AC513" s="91"/>
      <c r="AD513" s="91"/>
      <c r="AE513" s="91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91"/>
      <c r="Z514" s="16"/>
      <c r="AA514" s="16"/>
      <c r="AB514" s="16"/>
      <c r="AC514" s="91"/>
      <c r="AD514" s="91"/>
      <c r="AE514" s="91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91"/>
      <c r="Z515" s="16"/>
      <c r="AA515" s="16"/>
      <c r="AB515" s="16"/>
      <c r="AC515" s="91"/>
      <c r="AD515" s="91"/>
      <c r="AE515" s="91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91"/>
      <c r="Z516" s="16"/>
      <c r="AA516" s="16"/>
      <c r="AB516" s="16"/>
      <c r="AC516" s="91"/>
      <c r="AD516" s="91"/>
      <c r="AE516" s="91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91"/>
      <c r="Z517" s="16"/>
      <c r="AA517" s="16"/>
      <c r="AB517" s="16"/>
      <c r="AC517" s="91"/>
      <c r="AD517" s="91"/>
      <c r="AE517" s="91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91"/>
      <c r="Z518" s="16"/>
      <c r="AA518" s="16"/>
      <c r="AB518" s="16"/>
      <c r="AC518" s="91"/>
      <c r="AD518" s="91"/>
      <c r="AE518" s="91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91"/>
      <c r="Z519" s="16"/>
      <c r="AA519" s="16"/>
      <c r="AB519" s="16"/>
      <c r="AC519" s="91"/>
      <c r="AD519" s="91"/>
      <c r="AE519" s="91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91"/>
      <c r="Z520" s="16"/>
      <c r="AA520" s="16"/>
      <c r="AB520" s="16"/>
      <c r="AC520" s="91"/>
      <c r="AD520" s="91"/>
      <c r="AE520" s="91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91"/>
      <c r="Z521" s="16"/>
      <c r="AA521" s="16"/>
      <c r="AB521" s="16"/>
      <c r="AC521" s="91"/>
      <c r="AD521" s="91"/>
      <c r="AE521" s="91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91"/>
      <c r="Z522" s="16"/>
      <c r="AA522" s="16"/>
      <c r="AB522" s="16"/>
      <c r="AC522" s="91"/>
      <c r="AD522" s="91"/>
      <c r="AE522" s="91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91"/>
      <c r="Z523" s="16"/>
      <c r="AA523" s="16"/>
      <c r="AB523" s="16"/>
      <c r="AC523" s="91"/>
      <c r="AD523" s="91"/>
      <c r="AE523" s="91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91"/>
      <c r="Z524" s="16"/>
      <c r="AA524" s="16"/>
      <c r="AB524" s="16"/>
      <c r="AC524" s="91"/>
      <c r="AD524" s="91"/>
      <c r="AE524" s="91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91"/>
      <c r="Z525" s="16"/>
      <c r="AA525" s="16"/>
      <c r="AB525" s="16"/>
      <c r="AC525" s="91"/>
      <c r="AD525" s="91"/>
      <c r="AE525" s="91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91"/>
      <c r="Z526" s="16"/>
      <c r="AA526" s="16"/>
      <c r="AB526" s="16"/>
      <c r="AC526" s="91"/>
      <c r="AD526" s="91"/>
      <c r="AE526" s="91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91"/>
      <c r="Z527" s="16"/>
      <c r="AA527" s="16"/>
      <c r="AB527" s="16"/>
      <c r="AC527" s="91"/>
      <c r="AD527" s="91"/>
      <c r="AE527" s="91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91"/>
      <c r="Z528" s="16"/>
      <c r="AA528" s="16"/>
      <c r="AB528" s="16"/>
      <c r="AC528" s="91"/>
      <c r="AD528" s="91"/>
      <c r="AE528" s="91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91"/>
      <c r="Z529" s="16"/>
      <c r="AA529" s="16"/>
      <c r="AB529" s="16"/>
      <c r="AC529" s="91"/>
      <c r="AD529" s="91"/>
      <c r="AE529" s="91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91"/>
      <c r="Z530" s="16"/>
      <c r="AA530" s="16"/>
      <c r="AB530" s="16"/>
      <c r="AC530" s="91"/>
      <c r="AD530" s="91"/>
      <c r="AE530" s="91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91"/>
      <c r="Z531" s="16"/>
      <c r="AA531" s="16"/>
      <c r="AB531" s="16"/>
      <c r="AC531" s="91"/>
      <c r="AD531" s="91"/>
      <c r="AE531" s="91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91"/>
      <c r="Z532" s="16"/>
      <c r="AA532" s="16"/>
      <c r="AB532" s="16"/>
      <c r="AC532" s="91"/>
      <c r="AD532" s="91"/>
      <c r="AE532" s="91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91"/>
      <c r="Z533" s="16"/>
      <c r="AA533" s="16"/>
      <c r="AB533" s="16"/>
      <c r="AC533" s="91"/>
      <c r="AD533" s="91"/>
      <c r="AE533" s="91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91"/>
      <c r="Z534" s="16"/>
      <c r="AA534" s="16"/>
      <c r="AB534" s="16"/>
      <c r="AC534" s="91"/>
      <c r="AD534" s="91"/>
      <c r="AE534" s="91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91"/>
      <c r="Z535" s="16"/>
      <c r="AA535" s="16"/>
      <c r="AB535" s="16"/>
      <c r="AC535" s="91"/>
      <c r="AD535" s="91"/>
      <c r="AE535" s="91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91"/>
      <c r="Z536" s="16"/>
      <c r="AA536" s="16"/>
      <c r="AB536" s="16"/>
      <c r="AC536" s="91"/>
      <c r="AD536" s="91"/>
      <c r="AE536" s="91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91"/>
      <c r="Z537" s="16"/>
      <c r="AA537" s="16"/>
      <c r="AB537" s="16"/>
      <c r="AC537" s="91"/>
      <c r="AD537" s="91"/>
      <c r="AE537" s="91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91"/>
      <c r="Z538" s="16"/>
      <c r="AA538" s="16"/>
      <c r="AB538" s="16"/>
      <c r="AC538" s="91"/>
      <c r="AD538" s="91"/>
      <c r="AE538" s="91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91"/>
      <c r="Z539" s="16"/>
      <c r="AA539" s="16"/>
      <c r="AB539" s="16"/>
      <c r="AC539" s="91"/>
      <c r="AD539" s="91"/>
      <c r="AE539" s="91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91"/>
      <c r="Z540" s="16"/>
      <c r="AA540" s="16"/>
      <c r="AB540" s="16"/>
      <c r="AC540" s="91"/>
      <c r="AD540" s="91"/>
      <c r="AE540" s="91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91"/>
      <c r="Z541" s="16"/>
      <c r="AA541" s="16"/>
      <c r="AB541" s="16"/>
      <c r="AC541" s="91"/>
      <c r="AD541" s="91"/>
      <c r="AE541" s="91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91"/>
      <c r="Z542" s="16"/>
      <c r="AA542" s="16"/>
      <c r="AB542" s="16"/>
      <c r="AC542" s="91"/>
      <c r="AD542" s="91"/>
      <c r="AE542" s="91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91"/>
      <c r="Z543" s="16"/>
      <c r="AA543" s="16"/>
      <c r="AB543" s="16"/>
      <c r="AC543" s="91"/>
      <c r="AD543" s="91"/>
      <c r="AE543" s="91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91"/>
      <c r="Z544" s="16"/>
      <c r="AA544" s="16"/>
      <c r="AB544" s="16"/>
      <c r="AC544" s="91"/>
      <c r="AD544" s="91"/>
      <c r="AE544" s="91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91"/>
      <c r="Z545" s="16"/>
      <c r="AA545" s="16"/>
      <c r="AB545" s="16"/>
      <c r="AC545" s="91"/>
      <c r="AD545" s="91"/>
      <c r="AE545" s="91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91"/>
      <c r="Z546" s="16"/>
      <c r="AA546" s="16"/>
      <c r="AB546" s="16"/>
      <c r="AC546" s="91"/>
      <c r="AD546" s="91"/>
      <c r="AE546" s="91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91"/>
      <c r="Z547" s="16"/>
      <c r="AA547" s="16"/>
      <c r="AB547" s="16"/>
      <c r="AC547" s="91"/>
      <c r="AD547" s="91"/>
      <c r="AE547" s="91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91"/>
      <c r="Z548" s="16"/>
      <c r="AA548" s="16"/>
      <c r="AB548" s="16"/>
      <c r="AC548" s="91"/>
      <c r="AD548" s="91"/>
      <c r="AE548" s="91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91"/>
      <c r="Z549" s="16"/>
      <c r="AA549" s="16"/>
      <c r="AB549" s="16"/>
      <c r="AC549" s="91"/>
      <c r="AD549" s="91"/>
      <c r="AE549" s="91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91"/>
      <c r="Z550" s="16"/>
      <c r="AA550" s="16"/>
      <c r="AB550" s="16"/>
      <c r="AC550" s="91"/>
      <c r="AD550" s="91"/>
      <c r="AE550" s="91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91"/>
      <c r="Z551" s="16"/>
      <c r="AA551" s="16"/>
      <c r="AB551" s="16"/>
      <c r="AC551" s="91"/>
      <c r="AD551" s="91"/>
      <c r="AE551" s="91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91"/>
      <c r="Z552" s="16"/>
      <c r="AA552" s="16"/>
      <c r="AB552" s="16"/>
      <c r="AC552" s="91"/>
      <c r="AD552" s="91"/>
      <c r="AE552" s="91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91"/>
      <c r="Z553" s="16"/>
      <c r="AA553" s="16"/>
      <c r="AB553" s="16"/>
      <c r="AC553" s="91"/>
      <c r="AD553" s="91"/>
      <c r="AE553" s="91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91"/>
      <c r="Z554" s="16"/>
      <c r="AA554" s="16"/>
      <c r="AB554" s="16"/>
      <c r="AC554" s="91"/>
      <c r="AD554" s="91"/>
      <c r="AE554" s="91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91"/>
      <c r="Z555" s="16"/>
      <c r="AA555" s="16"/>
      <c r="AB555" s="16"/>
      <c r="AC555" s="91"/>
      <c r="AD555" s="91"/>
      <c r="AE555" s="91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91"/>
      <c r="Z556" s="16"/>
      <c r="AA556" s="16"/>
      <c r="AB556" s="16"/>
      <c r="AC556" s="91"/>
      <c r="AD556" s="91"/>
      <c r="AE556" s="91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91"/>
      <c r="Z557" s="16"/>
      <c r="AA557" s="16"/>
      <c r="AB557" s="16"/>
      <c r="AC557" s="91"/>
      <c r="AD557" s="91"/>
      <c r="AE557" s="91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91"/>
      <c r="Z558" s="16"/>
      <c r="AA558" s="16"/>
      <c r="AB558" s="16"/>
      <c r="AC558" s="91"/>
      <c r="AD558" s="91"/>
      <c r="AE558" s="91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91"/>
      <c r="Z559" s="16"/>
      <c r="AA559" s="16"/>
      <c r="AB559" s="16"/>
      <c r="AC559" s="91"/>
      <c r="AD559" s="91"/>
      <c r="AE559" s="91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91"/>
      <c r="Z560" s="16"/>
      <c r="AA560" s="16"/>
      <c r="AB560" s="16"/>
      <c r="AC560" s="91"/>
      <c r="AD560" s="91"/>
      <c r="AE560" s="91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91"/>
      <c r="Z561" s="16"/>
      <c r="AA561" s="16"/>
      <c r="AB561" s="16"/>
      <c r="AC561" s="91"/>
      <c r="AD561" s="91"/>
      <c r="AE561" s="91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91"/>
      <c r="Z562" s="16"/>
      <c r="AA562" s="16"/>
      <c r="AB562" s="16"/>
      <c r="AC562" s="91"/>
      <c r="AD562" s="91"/>
      <c r="AE562" s="91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91"/>
      <c r="Z563" s="16"/>
      <c r="AA563" s="16"/>
      <c r="AB563" s="16"/>
      <c r="AC563" s="91"/>
      <c r="AD563" s="91"/>
      <c r="AE563" s="91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91"/>
      <c r="Z564" s="16"/>
      <c r="AA564" s="16"/>
      <c r="AB564" s="16"/>
      <c r="AC564" s="91"/>
      <c r="AD564" s="91"/>
      <c r="AE564" s="91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91"/>
      <c r="Z565" s="16"/>
      <c r="AA565" s="16"/>
      <c r="AB565" s="16"/>
      <c r="AC565" s="91"/>
      <c r="AD565" s="91"/>
      <c r="AE565" s="91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91"/>
      <c r="Z566" s="16"/>
      <c r="AA566" s="16"/>
      <c r="AB566" s="16"/>
      <c r="AC566" s="91"/>
      <c r="AD566" s="91"/>
      <c r="AE566" s="91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91"/>
      <c r="Z567" s="16"/>
      <c r="AA567" s="16"/>
      <c r="AB567" s="16"/>
      <c r="AC567" s="91"/>
      <c r="AD567" s="91"/>
      <c r="AE567" s="91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91"/>
      <c r="Z568" s="16"/>
      <c r="AA568" s="16"/>
      <c r="AB568" s="16"/>
      <c r="AC568" s="91"/>
      <c r="AD568" s="91"/>
      <c r="AE568" s="91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91"/>
      <c r="Z569" s="16"/>
      <c r="AA569" s="16"/>
      <c r="AB569" s="16"/>
      <c r="AC569" s="91"/>
      <c r="AD569" s="91"/>
      <c r="AE569" s="91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91"/>
      <c r="Z570" s="16"/>
      <c r="AA570" s="16"/>
      <c r="AB570" s="16"/>
      <c r="AC570" s="91"/>
      <c r="AD570" s="91"/>
      <c r="AE570" s="91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91"/>
      <c r="Z571" s="16"/>
      <c r="AA571" s="16"/>
      <c r="AB571" s="16"/>
      <c r="AC571" s="91"/>
      <c r="AD571" s="91"/>
      <c r="AE571" s="91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91"/>
      <c r="Z572" s="16"/>
      <c r="AA572" s="16"/>
      <c r="AB572" s="16"/>
      <c r="AC572" s="91"/>
      <c r="AD572" s="91"/>
      <c r="AE572" s="91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91"/>
      <c r="Z573" s="16"/>
      <c r="AA573" s="16"/>
      <c r="AB573" s="16"/>
      <c r="AC573" s="91"/>
      <c r="AD573" s="91"/>
      <c r="AE573" s="91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91"/>
      <c r="Z574" s="16"/>
      <c r="AA574" s="16"/>
      <c r="AB574" s="16"/>
      <c r="AC574" s="91"/>
      <c r="AD574" s="91"/>
      <c r="AE574" s="91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91"/>
      <c r="Z575" s="16"/>
      <c r="AA575" s="16"/>
      <c r="AB575" s="16"/>
      <c r="AC575" s="91"/>
      <c r="AD575" s="91"/>
      <c r="AE575" s="91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91"/>
      <c r="Z576" s="16"/>
      <c r="AA576" s="16"/>
      <c r="AB576" s="16"/>
      <c r="AC576" s="91"/>
      <c r="AD576" s="91"/>
      <c r="AE576" s="91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91"/>
      <c r="Z577" s="16"/>
      <c r="AA577" s="16"/>
      <c r="AB577" s="16"/>
      <c r="AC577" s="91"/>
      <c r="AD577" s="91"/>
      <c r="AE577" s="91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91"/>
      <c r="Z578" s="16"/>
      <c r="AA578" s="16"/>
      <c r="AB578" s="16"/>
      <c r="AC578" s="91"/>
      <c r="AD578" s="91"/>
      <c r="AE578" s="91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91"/>
      <c r="Z579" s="16"/>
      <c r="AA579" s="16"/>
      <c r="AB579" s="16"/>
      <c r="AC579" s="91"/>
      <c r="AD579" s="91"/>
      <c r="AE579" s="91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91"/>
      <c r="Z580" s="16"/>
      <c r="AA580" s="16"/>
      <c r="AB580" s="16"/>
      <c r="AC580" s="91"/>
      <c r="AD580" s="91"/>
      <c r="AE580" s="91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91"/>
      <c r="Z581" s="16"/>
      <c r="AA581" s="16"/>
      <c r="AB581" s="16"/>
      <c r="AC581" s="91"/>
      <c r="AD581" s="91"/>
      <c r="AE581" s="91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91"/>
      <c r="Z582" s="16"/>
      <c r="AA582" s="16"/>
      <c r="AB582" s="16"/>
      <c r="AC582" s="91"/>
      <c r="AD582" s="91"/>
      <c r="AE582" s="91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91"/>
      <c r="Z583" s="16"/>
      <c r="AA583" s="16"/>
      <c r="AB583" s="16"/>
      <c r="AC583" s="91"/>
      <c r="AD583" s="91"/>
      <c r="AE583" s="91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91"/>
      <c r="Z584" s="16"/>
      <c r="AA584" s="16"/>
      <c r="AB584" s="16"/>
      <c r="AC584" s="91"/>
      <c r="AD584" s="91"/>
      <c r="AE584" s="91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91"/>
      <c r="Z585" s="16"/>
      <c r="AA585" s="16"/>
      <c r="AB585" s="16"/>
      <c r="AC585" s="91"/>
      <c r="AD585" s="91"/>
      <c r="AE585" s="91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91"/>
      <c r="Z586" s="16"/>
      <c r="AA586" s="16"/>
      <c r="AB586" s="16"/>
      <c r="AC586" s="91"/>
      <c r="AD586" s="91"/>
      <c r="AE586" s="91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91"/>
      <c r="Z587" s="16"/>
      <c r="AA587" s="16"/>
      <c r="AB587" s="16"/>
      <c r="AC587" s="91"/>
      <c r="AD587" s="91"/>
      <c r="AE587" s="91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91"/>
      <c r="Z588" s="16"/>
      <c r="AA588" s="16"/>
      <c r="AB588" s="16"/>
      <c r="AC588" s="91"/>
      <c r="AD588" s="91"/>
      <c r="AE588" s="91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91"/>
      <c r="Z589" s="16"/>
      <c r="AA589" s="16"/>
      <c r="AB589" s="16"/>
      <c r="AC589" s="91"/>
      <c r="AD589" s="91"/>
      <c r="AE589" s="91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91"/>
      <c r="Z590" s="16"/>
      <c r="AA590" s="16"/>
      <c r="AB590" s="16"/>
      <c r="AC590" s="91"/>
      <c r="AD590" s="91"/>
      <c r="AE590" s="91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91"/>
      <c r="Z591" s="16"/>
      <c r="AA591" s="16"/>
      <c r="AB591" s="16"/>
      <c r="AC591" s="91"/>
      <c r="AD591" s="91"/>
      <c r="AE591" s="91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91"/>
      <c r="Z592" s="16"/>
      <c r="AA592" s="16"/>
      <c r="AB592" s="16"/>
      <c r="AC592" s="91"/>
      <c r="AD592" s="91"/>
      <c r="AE592" s="91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91"/>
      <c r="Z593" s="16"/>
      <c r="AA593" s="16"/>
      <c r="AB593" s="16"/>
      <c r="AC593" s="91"/>
      <c r="AD593" s="91"/>
      <c r="AE593" s="91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91"/>
      <c r="Z594" s="16"/>
      <c r="AA594" s="16"/>
      <c r="AB594" s="16"/>
      <c r="AC594" s="91"/>
      <c r="AD594" s="91"/>
      <c r="AE594" s="91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91"/>
      <c r="Z595" s="16"/>
      <c r="AA595" s="16"/>
      <c r="AB595" s="16"/>
      <c r="AC595" s="91"/>
      <c r="AD595" s="91"/>
      <c r="AE595" s="91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91"/>
      <c r="Z596" s="16"/>
      <c r="AA596" s="16"/>
      <c r="AB596" s="16"/>
      <c r="AC596" s="91"/>
      <c r="AD596" s="91"/>
      <c r="AE596" s="91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91"/>
      <c r="Z597" s="16"/>
      <c r="AA597" s="16"/>
      <c r="AB597" s="16"/>
      <c r="AC597" s="91"/>
      <c r="AD597" s="91"/>
      <c r="AE597" s="91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91"/>
      <c r="Z598" s="16"/>
      <c r="AA598" s="16"/>
      <c r="AB598" s="16"/>
      <c r="AC598" s="91"/>
      <c r="AD598" s="91"/>
      <c r="AE598" s="91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91"/>
      <c r="Z599" s="16"/>
      <c r="AA599" s="16"/>
      <c r="AB599" s="16"/>
      <c r="AC599" s="91"/>
      <c r="AD599" s="91"/>
      <c r="AE599" s="91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91"/>
      <c r="Z600" s="16"/>
      <c r="AA600" s="16"/>
      <c r="AB600" s="16"/>
      <c r="AC600" s="91"/>
      <c r="AD600" s="91"/>
      <c r="AE600" s="91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91"/>
      <c r="Z601" s="16"/>
      <c r="AA601" s="16"/>
      <c r="AB601" s="16"/>
      <c r="AC601" s="91"/>
      <c r="AD601" s="91"/>
      <c r="AE601" s="91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91"/>
      <c r="Z602" s="16"/>
      <c r="AA602" s="16"/>
      <c r="AB602" s="16"/>
      <c r="AC602" s="91"/>
      <c r="AD602" s="91"/>
      <c r="AE602" s="91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91"/>
      <c r="Z603" s="16"/>
      <c r="AA603" s="16"/>
      <c r="AB603" s="16"/>
      <c r="AC603" s="91"/>
      <c r="AD603" s="91"/>
      <c r="AE603" s="91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91"/>
      <c r="Z604" s="16"/>
      <c r="AA604" s="16"/>
      <c r="AB604" s="16"/>
      <c r="AC604" s="91"/>
      <c r="AD604" s="91"/>
      <c r="AE604" s="91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91"/>
      <c r="Z605" s="16"/>
      <c r="AA605" s="16"/>
      <c r="AB605" s="16"/>
      <c r="AC605" s="91"/>
      <c r="AD605" s="91"/>
      <c r="AE605" s="91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91"/>
      <c r="Z606" s="16"/>
      <c r="AA606" s="16"/>
      <c r="AB606" s="16"/>
      <c r="AC606" s="91"/>
      <c r="AD606" s="91"/>
      <c r="AE606" s="91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91"/>
      <c r="Z607" s="16"/>
      <c r="AA607" s="16"/>
      <c r="AB607" s="16"/>
      <c r="AC607" s="91"/>
      <c r="AD607" s="91"/>
      <c r="AE607" s="91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91"/>
      <c r="Z608" s="16"/>
      <c r="AA608" s="16"/>
      <c r="AB608" s="16"/>
      <c r="AC608" s="91"/>
      <c r="AD608" s="91"/>
      <c r="AE608" s="91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91"/>
      <c r="Z609" s="16"/>
      <c r="AA609" s="16"/>
      <c r="AB609" s="16"/>
      <c r="AC609" s="91"/>
      <c r="AD609" s="91"/>
      <c r="AE609" s="91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91"/>
      <c r="Z610" s="16"/>
      <c r="AA610" s="16"/>
      <c r="AB610" s="16"/>
      <c r="AC610" s="91"/>
      <c r="AD610" s="91"/>
      <c r="AE610" s="91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91"/>
      <c r="Z611" s="16"/>
      <c r="AA611" s="16"/>
      <c r="AB611" s="16"/>
      <c r="AC611" s="91"/>
      <c r="AD611" s="91"/>
      <c r="AE611" s="91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91"/>
      <c r="Z612" s="16"/>
      <c r="AA612" s="16"/>
      <c r="AB612" s="16"/>
      <c r="AC612" s="91"/>
      <c r="AD612" s="91"/>
      <c r="AE612" s="91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91"/>
      <c r="Z613" s="16"/>
      <c r="AA613" s="16"/>
      <c r="AB613" s="16"/>
      <c r="AC613" s="91"/>
      <c r="AD613" s="91"/>
      <c r="AE613" s="91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91"/>
      <c r="Z614" s="16"/>
      <c r="AA614" s="16"/>
      <c r="AB614" s="16"/>
      <c r="AC614" s="91"/>
      <c r="AD614" s="91"/>
      <c r="AE614" s="91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91"/>
      <c r="Z615" s="16"/>
      <c r="AA615" s="16"/>
      <c r="AB615" s="16"/>
      <c r="AC615" s="91"/>
      <c r="AD615" s="91"/>
      <c r="AE615" s="91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91"/>
      <c r="Z616" s="16"/>
      <c r="AA616" s="16"/>
      <c r="AB616" s="16"/>
      <c r="AC616" s="91"/>
      <c r="AD616" s="91"/>
      <c r="AE616" s="91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91"/>
      <c r="Z617" s="16"/>
      <c r="AA617" s="16"/>
      <c r="AB617" s="16"/>
      <c r="AC617" s="91"/>
      <c r="AD617" s="91"/>
      <c r="AE617" s="91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91"/>
      <c r="Z618" s="16"/>
      <c r="AA618" s="16"/>
      <c r="AB618" s="16"/>
      <c r="AC618" s="91"/>
      <c r="AD618" s="91"/>
      <c r="AE618" s="91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91"/>
      <c r="Z619" s="16"/>
      <c r="AA619" s="16"/>
      <c r="AB619" s="16"/>
      <c r="AC619" s="91"/>
      <c r="AD619" s="91"/>
      <c r="AE619" s="91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91"/>
      <c r="Z620" s="16"/>
      <c r="AA620" s="16"/>
      <c r="AB620" s="16"/>
      <c r="AC620" s="91"/>
      <c r="AD620" s="91"/>
      <c r="AE620" s="91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91"/>
      <c r="Z621" s="16"/>
      <c r="AA621" s="16"/>
      <c r="AB621" s="16"/>
      <c r="AC621" s="91"/>
      <c r="AD621" s="91"/>
      <c r="AE621" s="91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91"/>
      <c r="Z622" s="16"/>
      <c r="AA622" s="16"/>
      <c r="AB622" s="16"/>
      <c r="AC622" s="91"/>
      <c r="AD622" s="91"/>
      <c r="AE622" s="91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91"/>
      <c r="Z623" s="16"/>
      <c r="AA623" s="16"/>
      <c r="AB623" s="16"/>
      <c r="AC623" s="91"/>
      <c r="AD623" s="91"/>
      <c r="AE623" s="91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91"/>
      <c r="Z624" s="16"/>
      <c r="AA624" s="16"/>
      <c r="AB624" s="16"/>
      <c r="AC624" s="91"/>
      <c r="AD624" s="91"/>
      <c r="AE624" s="91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91"/>
      <c r="Z625" s="16"/>
      <c r="AA625" s="16"/>
      <c r="AB625" s="16"/>
      <c r="AC625" s="91"/>
      <c r="AD625" s="91"/>
      <c r="AE625" s="91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91"/>
      <c r="Z626" s="16"/>
      <c r="AA626" s="16"/>
      <c r="AB626" s="16"/>
      <c r="AC626" s="91"/>
      <c r="AD626" s="91"/>
      <c r="AE626" s="91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91"/>
      <c r="Z627" s="16"/>
      <c r="AA627" s="16"/>
      <c r="AB627" s="16"/>
      <c r="AC627" s="91"/>
      <c r="AD627" s="91"/>
      <c r="AE627" s="91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91"/>
      <c r="Z628" s="16"/>
      <c r="AA628" s="16"/>
      <c r="AB628" s="16"/>
      <c r="AC628" s="91"/>
      <c r="AD628" s="91"/>
      <c r="AE628" s="91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91"/>
      <c r="Z629" s="16"/>
      <c r="AA629" s="16"/>
      <c r="AB629" s="16"/>
      <c r="AC629" s="91"/>
      <c r="AD629" s="91"/>
      <c r="AE629" s="91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91"/>
      <c r="Z630" s="16"/>
      <c r="AA630" s="16"/>
      <c r="AB630" s="16"/>
      <c r="AC630" s="91"/>
      <c r="AD630" s="91"/>
      <c r="AE630" s="91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91"/>
      <c r="Z631" s="16"/>
      <c r="AA631" s="16"/>
      <c r="AB631" s="16"/>
      <c r="AC631" s="91"/>
      <c r="AD631" s="91"/>
      <c r="AE631" s="91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91"/>
      <c r="Z632" s="16"/>
      <c r="AA632" s="16"/>
      <c r="AB632" s="16"/>
      <c r="AC632" s="91"/>
      <c r="AD632" s="91"/>
      <c r="AE632" s="91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91"/>
      <c r="Z633" s="16"/>
      <c r="AA633" s="16"/>
      <c r="AB633" s="16"/>
      <c r="AC633" s="91"/>
      <c r="AD633" s="91"/>
      <c r="AE633" s="91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91"/>
      <c r="Z634" s="16"/>
      <c r="AA634" s="16"/>
      <c r="AB634" s="16"/>
      <c r="AC634" s="91"/>
      <c r="AD634" s="91"/>
      <c r="AE634" s="91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91"/>
      <c r="Z635" s="16"/>
      <c r="AA635" s="16"/>
      <c r="AB635" s="16"/>
      <c r="AC635" s="91"/>
      <c r="AD635" s="91"/>
      <c r="AE635" s="91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91"/>
      <c r="Z636" s="16"/>
      <c r="AA636" s="16"/>
      <c r="AB636" s="16"/>
      <c r="AC636" s="91"/>
      <c r="AD636" s="91"/>
      <c r="AE636" s="91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91"/>
      <c r="Z637" s="16"/>
      <c r="AA637" s="16"/>
      <c r="AB637" s="16"/>
      <c r="AC637" s="91"/>
      <c r="AD637" s="91"/>
      <c r="AE637" s="91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91"/>
      <c r="Z638" s="16"/>
      <c r="AA638" s="16"/>
      <c r="AB638" s="16"/>
      <c r="AC638" s="91"/>
      <c r="AD638" s="91"/>
      <c r="AE638" s="91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91"/>
      <c r="Z639" s="16"/>
      <c r="AA639" s="16"/>
      <c r="AB639" s="16"/>
      <c r="AC639" s="91"/>
      <c r="AD639" s="91"/>
      <c r="AE639" s="91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91"/>
      <c r="Z640" s="16"/>
      <c r="AA640" s="16"/>
      <c r="AB640" s="16"/>
      <c r="AC640" s="91"/>
      <c r="AD640" s="91"/>
      <c r="AE640" s="91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91"/>
      <c r="Z641" s="16"/>
      <c r="AA641" s="16"/>
      <c r="AB641" s="16"/>
      <c r="AC641" s="91"/>
      <c r="AD641" s="91"/>
      <c r="AE641" s="91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91"/>
      <c r="Z642" s="16"/>
      <c r="AA642" s="16"/>
      <c r="AB642" s="16"/>
      <c r="AC642" s="91"/>
      <c r="AD642" s="91"/>
      <c r="AE642" s="91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91"/>
      <c r="Z643" s="16"/>
      <c r="AA643" s="16"/>
      <c r="AB643" s="16"/>
      <c r="AC643" s="91"/>
      <c r="AD643" s="91"/>
      <c r="AE643" s="91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91"/>
      <c r="Z644" s="16"/>
      <c r="AA644" s="16"/>
      <c r="AB644" s="16"/>
      <c r="AC644" s="91"/>
      <c r="AD644" s="91"/>
      <c r="AE644" s="91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91"/>
      <c r="Z645" s="16"/>
      <c r="AA645" s="16"/>
      <c r="AB645" s="16"/>
      <c r="AC645" s="91"/>
      <c r="AD645" s="91"/>
      <c r="AE645" s="91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91"/>
      <c r="Z646" s="16"/>
      <c r="AA646" s="16"/>
      <c r="AB646" s="16"/>
      <c r="AC646" s="91"/>
      <c r="AD646" s="91"/>
      <c r="AE646" s="91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91"/>
      <c r="Z647" s="16"/>
      <c r="AA647" s="16"/>
      <c r="AB647" s="16"/>
      <c r="AC647" s="91"/>
      <c r="AD647" s="91"/>
      <c r="AE647" s="91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91"/>
      <c r="Z648" s="16"/>
      <c r="AA648" s="16"/>
      <c r="AB648" s="16"/>
      <c r="AC648" s="91"/>
      <c r="AD648" s="91"/>
      <c r="AE648" s="91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91"/>
      <c r="Z649" s="16"/>
      <c r="AA649" s="16"/>
      <c r="AB649" s="16"/>
      <c r="AC649" s="91"/>
      <c r="AD649" s="91"/>
      <c r="AE649" s="91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91"/>
      <c r="Z650" s="16"/>
      <c r="AA650" s="16"/>
      <c r="AB650" s="16"/>
      <c r="AC650" s="91"/>
      <c r="AD650" s="91"/>
      <c r="AE650" s="91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91"/>
      <c r="Z651" s="16"/>
      <c r="AA651" s="16"/>
      <c r="AB651" s="16"/>
      <c r="AC651" s="91"/>
      <c r="AD651" s="91"/>
      <c r="AE651" s="91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91"/>
      <c r="Z652" s="16"/>
      <c r="AA652" s="16"/>
      <c r="AB652" s="16"/>
      <c r="AC652" s="91"/>
      <c r="AD652" s="91"/>
      <c r="AE652" s="91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91"/>
      <c r="Z653" s="16"/>
      <c r="AA653" s="16"/>
      <c r="AB653" s="16"/>
      <c r="AC653" s="91"/>
      <c r="AD653" s="91"/>
      <c r="AE653" s="91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91"/>
      <c r="Z654" s="16"/>
      <c r="AA654" s="16"/>
      <c r="AB654" s="16"/>
      <c r="AC654" s="91"/>
      <c r="AD654" s="91"/>
      <c r="AE654" s="91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91"/>
      <c r="Z655" s="16"/>
      <c r="AA655" s="16"/>
      <c r="AB655" s="16"/>
      <c r="AC655" s="91"/>
      <c r="AD655" s="91"/>
      <c r="AE655" s="91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91"/>
      <c r="Z656" s="16"/>
      <c r="AA656" s="16"/>
      <c r="AB656" s="16"/>
      <c r="AC656" s="91"/>
      <c r="AD656" s="91"/>
      <c r="AE656" s="91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91"/>
      <c r="Z657" s="16"/>
      <c r="AA657" s="16"/>
      <c r="AB657" s="16"/>
      <c r="AC657" s="91"/>
      <c r="AD657" s="91"/>
      <c r="AE657" s="91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91"/>
      <c r="Z658" s="16"/>
      <c r="AA658" s="16"/>
      <c r="AB658" s="16"/>
      <c r="AC658" s="91"/>
      <c r="AD658" s="91"/>
      <c r="AE658" s="91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91"/>
      <c r="Z659" s="16"/>
      <c r="AA659" s="16"/>
      <c r="AB659" s="16"/>
      <c r="AC659" s="91"/>
      <c r="AD659" s="91"/>
      <c r="AE659" s="91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91"/>
      <c r="Z660" s="16"/>
      <c r="AA660" s="16"/>
      <c r="AB660" s="16"/>
      <c r="AC660" s="91"/>
      <c r="AD660" s="91"/>
      <c r="AE660" s="91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91"/>
      <c r="Z661" s="16"/>
      <c r="AA661" s="16"/>
      <c r="AB661" s="16"/>
      <c r="AC661" s="91"/>
      <c r="AD661" s="91"/>
      <c r="AE661" s="91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91"/>
      <c r="Z662" s="16"/>
      <c r="AA662" s="16"/>
      <c r="AB662" s="16"/>
      <c r="AC662" s="91"/>
      <c r="AD662" s="91"/>
      <c r="AE662" s="91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91"/>
      <c r="Z663" s="16"/>
      <c r="AA663" s="16"/>
      <c r="AB663" s="16"/>
      <c r="AC663" s="91"/>
      <c r="AD663" s="91"/>
      <c r="AE663" s="91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91"/>
      <c r="Z664" s="16"/>
      <c r="AA664" s="16"/>
      <c r="AB664" s="16"/>
      <c r="AC664" s="91"/>
      <c r="AD664" s="91"/>
      <c r="AE664" s="91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91"/>
      <c r="Z665" s="16"/>
      <c r="AA665" s="16"/>
      <c r="AB665" s="16"/>
      <c r="AC665" s="91"/>
      <c r="AD665" s="91"/>
      <c r="AE665" s="91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91"/>
      <c r="Z666" s="16"/>
      <c r="AA666" s="16"/>
      <c r="AB666" s="16"/>
      <c r="AC666" s="91"/>
      <c r="AD666" s="91"/>
      <c r="AE666" s="91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91"/>
      <c r="Z667" s="16"/>
      <c r="AA667" s="16"/>
      <c r="AB667" s="16"/>
      <c r="AC667" s="91"/>
      <c r="AD667" s="91"/>
      <c r="AE667" s="91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91"/>
      <c r="Z668" s="16"/>
      <c r="AA668" s="16"/>
      <c r="AB668" s="16"/>
      <c r="AC668" s="91"/>
      <c r="AD668" s="91"/>
      <c r="AE668" s="91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91"/>
      <c r="Z669" s="16"/>
      <c r="AA669" s="16"/>
      <c r="AB669" s="16"/>
      <c r="AC669" s="91"/>
      <c r="AD669" s="91"/>
      <c r="AE669" s="91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91"/>
      <c r="Z670" s="16"/>
      <c r="AA670" s="16"/>
      <c r="AB670" s="16"/>
      <c r="AC670" s="91"/>
      <c r="AD670" s="91"/>
      <c r="AE670" s="91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91"/>
      <c r="Z671" s="16"/>
      <c r="AA671" s="16"/>
      <c r="AB671" s="16"/>
      <c r="AC671" s="91"/>
      <c r="AD671" s="91"/>
      <c r="AE671" s="91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91"/>
      <c r="Z672" s="16"/>
      <c r="AA672" s="16"/>
      <c r="AB672" s="16"/>
      <c r="AC672" s="91"/>
      <c r="AD672" s="91"/>
      <c r="AE672" s="91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91"/>
      <c r="Z673" s="16"/>
      <c r="AA673" s="16"/>
      <c r="AB673" s="16"/>
      <c r="AC673" s="91"/>
      <c r="AD673" s="91"/>
      <c r="AE673" s="91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91"/>
      <c r="Z674" s="16"/>
      <c r="AA674" s="16"/>
      <c r="AB674" s="16"/>
      <c r="AC674" s="91"/>
      <c r="AD674" s="91"/>
      <c r="AE674" s="91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91"/>
      <c r="Z675" s="16"/>
      <c r="AA675" s="16"/>
      <c r="AB675" s="16"/>
      <c r="AC675" s="91"/>
      <c r="AD675" s="91"/>
      <c r="AE675" s="91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91"/>
      <c r="Z676" s="16"/>
      <c r="AA676" s="16"/>
      <c r="AB676" s="16"/>
      <c r="AC676" s="91"/>
      <c r="AD676" s="91"/>
      <c r="AE676" s="91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91"/>
      <c r="Z677" s="16"/>
      <c r="AA677" s="16"/>
      <c r="AB677" s="16"/>
      <c r="AC677" s="91"/>
      <c r="AD677" s="91"/>
      <c r="AE677" s="91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91"/>
      <c r="Z678" s="16"/>
      <c r="AA678" s="16"/>
      <c r="AB678" s="16"/>
      <c r="AC678" s="91"/>
      <c r="AD678" s="91"/>
      <c r="AE678" s="91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91"/>
      <c r="Z679" s="16"/>
      <c r="AA679" s="16"/>
      <c r="AB679" s="16"/>
      <c r="AC679" s="91"/>
      <c r="AD679" s="91"/>
      <c r="AE679" s="91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91"/>
      <c r="Z680" s="16"/>
      <c r="AA680" s="16"/>
      <c r="AB680" s="16"/>
      <c r="AC680" s="91"/>
      <c r="AD680" s="91"/>
      <c r="AE680" s="91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91"/>
      <c r="Z681" s="16"/>
      <c r="AA681" s="16"/>
      <c r="AB681" s="16"/>
      <c r="AC681" s="91"/>
      <c r="AD681" s="91"/>
      <c r="AE681" s="91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91"/>
      <c r="Z682" s="16"/>
      <c r="AA682" s="16"/>
      <c r="AB682" s="16"/>
      <c r="AC682" s="91"/>
      <c r="AD682" s="91"/>
      <c r="AE682" s="91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91"/>
      <c r="Z683" s="16"/>
      <c r="AA683" s="16"/>
      <c r="AB683" s="16"/>
      <c r="AC683" s="91"/>
      <c r="AD683" s="91"/>
      <c r="AE683" s="91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91"/>
      <c r="Z684" s="16"/>
      <c r="AA684" s="16"/>
      <c r="AB684" s="16"/>
      <c r="AC684" s="91"/>
      <c r="AD684" s="91"/>
      <c r="AE684" s="91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91"/>
      <c r="Z685" s="16"/>
      <c r="AA685" s="16"/>
      <c r="AB685" s="16"/>
      <c r="AC685" s="91"/>
      <c r="AD685" s="91"/>
      <c r="AE685" s="91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91"/>
      <c r="Z686" s="16"/>
      <c r="AA686" s="16"/>
      <c r="AB686" s="16"/>
      <c r="AC686" s="91"/>
      <c r="AD686" s="91"/>
      <c r="AE686" s="91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91"/>
      <c r="Z687" s="16"/>
      <c r="AA687" s="16"/>
      <c r="AB687" s="16"/>
      <c r="AC687" s="91"/>
      <c r="AD687" s="91"/>
      <c r="AE687" s="91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91"/>
      <c r="Z688" s="16"/>
      <c r="AA688" s="16"/>
      <c r="AB688" s="16"/>
      <c r="AC688" s="91"/>
      <c r="AD688" s="91"/>
      <c r="AE688" s="91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91"/>
      <c r="Z689" s="16"/>
      <c r="AA689" s="16"/>
      <c r="AB689" s="16"/>
      <c r="AC689" s="91"/>
      <c r="AD689" s="91"/>
      <c r="AE689" s="91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91"/>
      <c r="Z690" s="16"/>
      <c r="AA690" s="16"/>
      <c r="AB690" s="16"/>
      <c r="AC690" s="91"/>
      <c r="AD690" s="91"/>
      <c r="AE690" s="91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91"/>
      <c r="Z691" s="16"/>
      <c r="AA691" s="16"/>
      <c r="AB691" s="16"/>
      <c r="AC691" s="91"/>
      <c r="AD691" s="91"/>
      <c r="AE691" s="91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91"/>
      <c r="Z692" s="16"/>
      <c r="AA692" s="16"/>
      <c r="AB692" s="16"/>
      <c r="AC692" s="91"/>
      <c r="AD692" s="91"/>
      <c r="AE692" s="91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91"/>
      <c r="Z693" s="16"/>
      <c r="AA693" s="16"/>
      <c r="AB693" s="16"/>
      <c r="AC693" s="91"/>
      <c r="AD693" s="91"/>
      <c r="AE693" s="91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91"/>
      <c r="Z694" s="16"/>
      <c r="AA694" s="16"/>
      <c r="AB694" s="16"/>
      <c r="AC694" s="91"/>
      <c r="AD694" s="91"/>
      <c r="AE694" s="91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91"/>
      <c r="Z695" s="16"/>
      <c r="AA695" s="16"/>
      <c r="AB695" s="16"/>
      <c r="AC695" s="91"/>
      <c r="AD695" s="91"/>
      <c r="AE695" s="91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91"/>
      <c r="Z696" s="16"/>
      <c r="AA696" s="16"/>
      <c r="AB696" s="16"/>
      <c r="AC696" s="91"/>
      <c r="AD696" s="91"/>
      <c r="AE696" s="91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91"/>
      <c r="Z697" s="16"/>
      <c r="AA697" s="16"/>
      <c r="AB697" s="16"/>
      <c r="AC697" s="91"/>
      <c r="AD697" s="91"/>
      <c r="AE697" s="91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91"/>
      <c r="Z698" s="16"/>
      <c r="AA698" s="16"/>
      <c r="AB698" s="16"/>
      <c r="AC698" s="91"/>
      <c r="AD698" s="91"/>
      <c r="AE698" s="91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91"/>
      <c r="Z699" s="16"/>
      <c r="AA699" s="16"/>
      <c r="AB699" s="16"/>
      <c r="AC699" s="91"/>
      <c r="AD699" s="91"/>
      <c r="AE699" s="91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91"/>
      <c r="Z700" s="16"/>
      <c r="AA700" s="16"/>
      <c r="AB700" s="16"/>
      <c r="AC700" s="91"/>
      <c r="AD700" s="91"/>
      <c r="AE700" s="91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91"/>
      <c r="Z701" s="16"/>
      <c r="AA701" s="16"/>
      <c r="AB701" s="16"/>
      <c r="AC701" s="91"/>
      <c r="AD701" s="91"/>
      <c r="AE701" s="91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91"/>
      <c r="Z702" s="16"/>
      <c r="AA702" s="16"/>
      <c r="AB702" s="16"/>
      <c r="AC702" s="91"/>
      <c r="AD702" s="91"/>
      <c r="AE702" s="91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91"/>
      <c r="Z703" s="16"/>
      <c r="AA703" s="16"/>
      <c r="AB703" s="16"/>
      <c r="AC703" s="91"/>
      <c r="AD703" s="91"/>
      <c r="AE703" s="91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91"/>
      <c r="Z704" s="16"/>
      <c r="AA704" s="16"/>
      <c r="AB704" s="16"/>
      <c r="AC704" s="91"/>
      <c r="AD704" s="91"/>
      <c r="AE704" s="91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91"/>
      <c r="Z705" s="16"/>
      <c r="AA705" s="16"/>
      <c r="AB705" s="16"/>
      <c r="AC705" s="91"/>
      <c r="AD705" s="91"/>
      <c r="AE705" s="91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91"/>
      <c r="Z706" s="16"/>
      <c r="AA706" s="16"/>
      <c r="AB706" s="16"/>
      <c r="AC706" s="91"/>
      <c r="AD706" s="91"/>
      <c r="AE706" s="91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91"/>
      <c r="Z707" s="16"/>
      <c r="AA707" s="16"/>
      <c r="AB707" s="16"/>
      <c r="AC707" s="91"/>
      <c r="AD707" s="91"/>
      <c r="AE707" s="91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91"/>
      <c r="Z708" s="16"/>
      <c r="AA708" s="16"/>
      <c r="AB708" s="16"/>
      <c r="AC708" s="91"/>
      <c r="AD708" s="91"/>
      <c r="AE708" s="91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91"/>
      <c r="Z709" s="16"/>
      <c r="AA709" s="16"/>
      <c r="AB709" s="16"/>
      <c r="AC709" s="91"/>
      <c r="AD709" s="91"/>
      <c r="AE709" s="91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91"/>
      <c r="Z710" s="16"/>
      <c r="AA710" s="16"/>
      <c r="AB710" s="16"/>
      <c r="AC710" s="91"/>
      <c r="AD710" s="91"/>
      <c r="AE710" s="91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91"/>
      <c r="Z711" s="16"/>
      <c r="AA711" s="16"/>
      <c r="AB711" s="16"/>
      <c r="AC711" s="91"/>
      <c r="AD711" s="91"/>
      <c r="AE711" s="91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91"/>
      <c r="Z712" s="16"/>
      <c r="AA712" s="16"/>
      <c r="AB712" s="16"/>
      <c r="AC712" s="91"/>
      <c r="AD712" s="91"/>
      <c r="AE712" s="91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91"/>
      <c r="Z713" s="16"/>
      <c r="AA713" s="16"/>
      <c r="AB713" s="16"/>
      <c r="AC713" s="91"/>
      <c r="AD713" s="91"/>
      <c r="AE713" s="91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91"/>
      <c r="Z714" s="16"/>
      <c r="AA714" s="16"/>
      <c r="AB714" s="16"/>
      <c r="AC714" s="91"/>
      <c r="AD714" s="91"/>
      <c r="AE714" s="91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91"/>
      <c r="Z715" s="16"/>
      <c r="AA715" s="16"/>
      <c r="AB715" s="16"/>
      <c r="AC715" s="91"/>
      <c r="AD715" s="91"/>
      <c r="AE715" s="91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91"/>
      <c r="Z716" s="16"/>
      <c r="AA716" s="16"/>
      <c r="AB716" s="16"/>
      <c r="AC716" s="91"/>
      <c r="AD716" s="91"/>
      <c r="AE716" s="91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91"/>
      <c r="Z717" s="16"/>
      <c r="AA717" s="16"/>
      <c r="AB717" s="16"/>
      <c r="AC717" s="91"/>
      <c r="AD717" s="91"/>
      <c r="AE717" s="91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91"/>
      <c r="Z718" s="16"/>
      <c r="AA718" s="16"/>
      <c r="AB718" s="16"/>
      <c r="AC718" s="91"/>
      <c r="AD718" s="91"/>
      <c r="AE718" s="91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91"/>
      <c r="Z719" s="16"/>
      <c r="AA719" s="16"/>
      <c r="AB719" s="16"/>
      <c r="AC719" s="91"/>
      <c r="AD719" s="91"/>
      <c r="AE719" s="91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91"/>
      <c r="Z720" s="16"/>
      <c r="AA720" s="16"/>
      <c r="AB720" s="16"/>
      <c r="AC720" s="91"/>
      <c r="AD720" s="91"/>
      <c r="AE720" s="91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91"/>
      <c r="Z721" s="16"/>
      <c r="AA721" s="16"/>
      <c r="AB721" s="16"/>
      <c r="AC721" s="91"/>
      <c r="AD721" s="91"/>
      <c r="AE721" s="91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91"/>
      <c r="Z722" s="16"/>
      <c r="AA722" s="16"/>
      <c r="AB722" s="16"/>
      <c r="AC722" s="91"/>
      <c r="AD722" s="91"/>
      <c r="AE722" s="91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91"/>
      <c r="Z723" s="16"/>
      <c r="AA723" s="16"/>
      <c r="AB723" s="16"/>
      <c r="AC723" s="91"/>
      <c r="AD723" s="91"/>
      <c r="AE723" s="91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91"/>
      <c r="Z724" s="16"/>
      <c r="AA724" s="16"/>
      <c r="AB724" s="16"/>
      <c r="AC724" s="91"/>
      <c r="AD724" s="91"/>
      <c r="AE724" s="91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91"/>
      <c r="Z725" s="16"/>
      <c r="AA725" s="16"/>
      <c r="AB725" s="16"/>
      <c r="AC725" s="91"/>
      <c r="AD725" s="91"/>
      <c r="AE725" s="91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91"/>
      <c r="Z726" s="16"/>
      <c r="AA726" s="16"/>
      <c r="AB726" s="16"/>
      <c r="AC726" s="91"/>
      <c r="AD726" s="91"/>
      <c r="AE726" s="91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91"/>
      <c r="Z727" s="16"/>
      <c r="AA727" s="16"/>
      <c r="AB727" s="16"/>
      <c r="AC727" s="91"/>
      <c r="AD727" s="91"/>
      <c r="AE727" s="91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91"/>
      <c r="Z728" s="16"/>
      <c r="AA728" s="16"/>
      <c r="AB728" s="16"/>
      <c r="AC728" s="91"/>
      <c r="AD728" s="91"/>
      <c r="AE728" s="91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91"/>
      <c r="Z729" s="16"/>
      <c r="AA729" s="16"/>
      <c r="AB729" s="16"/>
      <c r="AC729" s="91"/>
      <c r="AD729" s="91"/>
      <c r="AE729" s="91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91"/>
      <c r="Z730" s="16"/>
      <c r="AA730" s="16"/>
      <c r="AB730" s="16"/>
      <c r="AC730" s="91"/>
      <c r="AD730" s="91"/>
      <c r="AE730" s="91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91"/>
      <c r="Z731" s="16"/>
      <c r="AA731" s="16"/>
      <c r="AB731" s="16"/>
      <c r="AC731" s="91"/>
      <c r="AD731" s="91"/>
      <c r="AE731" s="91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91"/>
      <c r="Z732" s="16"/>
      <c r="AA732" s="16"/>
      <c r="AB732" s="16"/>
      <c r="AC732" s="91"/>
      <c r="AD732" s="91"/>
      <c r="AE732" s="91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91"/>
      <c r="Z733" s="16"/>
      <c r="AA733" s="16"/>
      <c r="AB733" s="16"/>
      <c r="AC733" s="91"/>
      <c r="AD733" s="91"/>
      <c r="AE733" s="91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91"/>
      <c r="Z734" s="16"/>
      <c r="AA734" s="16"/>
      <c r="AB734" s="16"/>
      <c r="AC734" s="91"/>
      <c r="AD734" s="91"/>
      <c r="AE734" s="91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91"/>
      <c r="Z735" s="16"/>
      <c r="AA735" s="16"/>
      <c r="AB735" s="16"/>
      <c r="AC735" s="91"/>
      <c r="AD735" s="91"/>
      <c r="AE735" s="91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91"/>
      <c r="Z736" s="16"/>
      <c r="AA736" s="16"/>
      <c r="AB736" s="16"/>
      <c r="AC736" s="91"/>
      <c r="AD736" s="91"/>
      <c r="AE736" s="91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91"/>
      <c r="Z737" s="16"/>
      <c r="AA737" s="16"/>
      <c r="AB737" s="16"/>
      <c r="AC737" s="91"/>
      <c r="AD737" s="91"/>
      <c r="AE737" s="91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91"/>
      <c r="Z738" s="16"/>
      <c r="AA738" s="16"/>
      <c r="AB738" s="16"/>
      <c r="AC738" s="91"/>
      <c r="AD738" s="91"/>
      <c r="AE738" s="91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91"/>
      <c r="Z739" s="16"/>
      <c r="AA739" s="16"/>
      <c r="AB739" s="16"/>
      <c r="AC739" s="91"/>
      <c r="AD739" s="91"/>
      <c r="AE739" s="91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91"/>
      <c r="Z740" s="16"/>
      <c r="AA740" s="16"/>
      <c r="AB740" s="16"/>
      <c r="AC740" s="91"/>
      <c r="AD740" s="91"/>
      <c r="AE740" s="91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91"/>
      <c r="Z741" s="16"/>
      <c r="AA741" s="16"/>
      <c r="AB741" s="16"/>
      <c r="AC741" s="91"/>
      <c r="AD741" s="91"/>
      <c r="AE741" s="91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91"/>
      <c r="Z742" s="16"/>
      <c r="AA742" s="16"/>
      <c r="AB742" s="16"/>
      <c r="AC742" s="91"/>
      <c r="AD742" s="91"/>
      <c r="AE742" s="91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91"/>
      <c r="Z743" s="16"/>
      <c r="AA743" s="16"/>
      <c r="AB743" s="16"/>
      <c r="AC743" s="91"/>
      <c r="AD743" s="91"/>
      <c r="AE743" s="91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91"/>
      <c r="Z744" s="16"/>
      <c r="AA744" s="16"/>
      <c r="AB744" s="16"/>
      <c r="AC744" s="91"/>
      <c r="AD744" s="91"/>
      <c r="AE744" s="91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91"/>
      <c r="Z745" s="16"/>
      <c r="AA745" s="16"/>
      <c r="AB745" s="16"/>
      <c r="AC745" s="91"/>
      <c r="AD745" s="91"/>
      <c r="AE745" s="91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91"/>
      <c r="Z746" s="16"/>
      <c r="AA746" s="16"/>
      <c r="AB746" s="16"/>
      <c r="AC746" s="91"/>
      <c r="AD746" s="91"/>
      <c r="AE746" s="91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91"/>
      <c r="Z747" s="16"/>
      <c r="AA747" s="16"/>
      <c r="AB747" s="16"/>
      <c r="AC747" s="91"/>
      <c r="AD747" s="91"/>
      <c r="AE747" s="91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91"/>
      <c r="Z748" s="16"/>
      <c r="AA748" s="16"/>
      <c r="AB748" s="16"/>
      <c r="AC748" s="91"/>
      <c r="AD748" s="91"/>
      <c r="AE748" s="91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91"/>
      <c r="Z749" s="16"/>
      <c r="AA749" s="16"/>
      <c r="AB749" s="16"/>
      <c r="AC749" s="91"/>
      <c r="AD749" s="91"/>
      <c r="AE749" s="91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91"/>
      <c r="Z750" s="16"/>
      <c r="AA750" s="16"/>
      <c r="AB750" s="16"/>
      <c r="AC750" s="91"/>
      <c r="AD750" s="91"/>
      <c r="AE750" s="91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91"/>
      <c r="Z751" s="16"/>
      <c r="AA751" s="16"/>
      <c r="AB751" s="16"/>
      <c r="AC751" s="91"/>
      <c r="AD751" s="91"/>
      <c r="AE751" s="91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91"/>
      <c r="Z752" s="16"/>
      <c r="AA752" s="16"/>
      <c r="AB752" s="16"/>
      <c r="AC752" s="91"/>
      <c r="AD752" s="91"/>
      <c r="AE752" s="91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91"/>
      <c r="Z753" s="16"/>
      <c r="AA753" s="16"/>
      <c r="AB753" s="16"/>
      <c r="AC753" s="91"/>
      <c r="AD753" s="91"/>
      <c r="AE753" s="91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91"/>
      <c r="Z754" s="16"/>
      <c r="AA754" s="16"/>
      <c r="AB754" s="16"/>
      <c r="AC754" s="91"/>
      <c r="AD754" s="91"/>
      <c r="AE754" s="91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91"/>
      <c r="Z755" s="16"/>
      <c r="AA755" s="16"/>
      <c r="AB755" s="16"/>
      <c r="AC755" s="91"/>
      <c r="AD755" s="91"/>
      <c r="AE755" s="91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91"/>
      <c r="Z756" s="16"/>
      <c r="AA756" s="16"/>
      <c r="AB756" s="16"/>
      <c r="AC756" s="91"/>
      <c r="AD756" s="91"/>
      <c r="AE756" s="91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91"/>
      <c r="Z757" s="16"/>
      <c r="AA757" s="16"/>
      <c r="AB757" s="16"/>
      <c r="AC757" s="91"/>
      <c r="AD757" s="91"/>
      <c r="AE757" s="91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91"/>
      <c r="Z758" s="16"/>
      <c r="AA758" s="16"/>
      <c r="AB758" s="16"/>
      <c r="AC758" s="91"/>
      <c r="AD758" s="91"/>
      <c r="AE758" s="91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91"/>
      <c r="Z759" s="16"/>
      <c r="AA759" s="16"/>
      <c r="AB759" s="16"/>
      <c r="AC759" s="91"/>
      <c r="AD759" s="91"/>
      <c r="AE759" s="91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91"/>
      <c r="Z760" s="16"/>
      <c r="AA760" s="16"/>
      <c r="AB760" s="16"/>
      <c r="AC760" s="91"/>
      <c r="AD760" s="91"/>
      <c r="AE760" s="91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91"/>
      <c r="Z761" s="16"/>
      <c r="AA761" s="16"/>
      <c r="AB761" s="16"/>
      <c r="AC761" s="91"/>
      <c r="AD761" s="91"/>
      <c r="AE761" s="91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91"/>
      <c r="Z762" s="16"/>
      <c r="AA762" s="16"/>
      <c r="AB762" s="16"/>
      <c r="AC762" s="91"/>
      <c r="AD762" s="91"/>
      <c r="AE762" s="91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91"/>
      <c r="Z763" s="16"/>
      <c r="AA763" s="16"/>
      <c r="AB763" s="16"/>
      <c r="AC763" s="91"/>
      <c r="AD763" s="91"/>
      <c r="AE763" s="91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91"/>
      <c r="Z764" s="16"/>
      <c r="AA764" s="16"/>
      <c r="AB764" s="16"/>
      <c r="AC764" s="91"/>
      <c r="AD764" s="91"/>
      <c r="AE764" s="91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91"/>
      <c r="Z765" s="16"/>
      <c r="AA765" s="16"/>
      <c r="AB765" s="16"/>
      <c r="AC765" s="91"/>
      <c r="AD765" s="91"/>
      <c r="AE765" s="91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91"/>
      <c r="Z766" s="16"/>
      <c r="AA766" s="16"/>
      <c r="AB766" s="16"/>
      <c r="AC766" s="91"/>
      <c r="AD766" s="91"/>
      <c r="AE766" s="91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91"/>
      <c r="Z767" s="16"/>
      <c r="AA767" s="16"/>
      <c r="AB767" s="16"/>
      <c r="AC767" s="91"/>
      <c r="AD767" s="91"/>
      <c r="AE767" s="91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91"/>
      <c r="Z768" s="16"/>
      <c r="AA768" s="16"/>
      <c r="AB768" s="16"/>
      <c r="AC768" s="91"/>
      <c r="AD768" s="91"/>
      <c r="AE768" s="91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91"/>
      <c r="Z769" s="16"/>
      <c r="AA769" s="16"/>
      <c r="AB769" s="16"/>
      <c r="AC769" s="91"/>
      <c r="AD769" s="91"/>
      <c r="AE769" s="91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91"/>
      <c r="Z770" s="16"/>
      <c r="AA770" s="16"/>
      <c r="AB770" s="16"/>
      <c r="AC770" s="91"/>
      <c r="AD770" s="91"/>
      <c r="AE770" s="91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91"/>
      <c r="Z771" s="16"/>
      <c r="AA771" s="16"/>
      <c r="AB771" s="16"/>
      <c r="AC771" s="91"/>
      <c r="AD771" s="91"/>
      <c r="AE771" s="91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91"/>
      <c r="Z772" s="16"/>
      <c r="AA772" s="16"/>
      <c r="AB772" s="16"/>
      <c r="AC772" s="91"/>
      <c r="AD772" s="91"/>
      <c r="AE772" s="91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91"/>
      <c r="Z773" s="16"/>
      <c r="AA773" s="16"/>
      <c r="AB773" s="16"/>
      <c r="AC773" s="91"/>
      <c r="AD773" s="91"/>
      <c r="AE773" s="91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91"/>
      <c r="Z774" s="16"/>
      <c r="AA774" s="16"/>
      <c r="AB774" s="16"/>
      <c r="AC774" s="91"/>
      <c r="AD774" s="91"/>
      <c r="AE774" s="91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91"/>
      <c r="Z775" s="16"/>
      <c r="AA775" s="16"/>
      <c r="AB775" s="16"/>
      <c r="AC775" s="91"/>
      <c r="AD775" s="91"/>
      <c r="AE775" s="91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91"/>
      <c r="Z776" s="16"/>
      <c r="AA776" s="16"/>
      <c r="AB776" s="16"/>
      <c r="AC776" s="91"/>
      <c r="AD776" s="91"/>
      <c r="AE776" s="91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91"/>
      <c r="Z777" s="16"/>
      <c r="AA777" s="16"/>
      <c r="AB777" s="16"/>
      <c r="AC777" s="91"/>
      <c r="AD777" s="91"/>
      <c r="AE777" s="91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91"/>
      <c r="Z778" s="16"/>
      <c r="AA778" s="16"/>
      <c r="AB778" s="16"/>
      <c r="AC778" s="91"/>
      <c r="AD778" s="91"/>
      <c r="AE778" s="91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91"/>
      <c r="Z779" s="16"/>
      <c r="AA779" s="16"/>
      <c r="AB779" s="16"/>
      <c r="AC779" s="91"/>
      <c r="AD779" s="91"/>
      <c r="AE779" s="91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91"/>
      <c r="Z780" s="16"/>
      <c r="AA780" s="16"/>
      <c r="AB780" s="16"/>
      <c r="AC780" s="91"/>
      <c r="AD780" s="91"/>
      <c r="AE780" s="91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91"/>
      <c r="Z781" s="16"/>
      <c r="AA781" s="16"/>
      <c r="AB781" s="16"/>
      <c r="AC781" s="91"/>
      <c r="AD781" s="91"/>
      <c r="AE781" s="91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91"/>
      <c r="Z782" s="16"/>
      <c r="AA782" s="16"/>
      <c r="AB782" s="16"/>
      <c r="AC782" s="91"/>
      <c r="AD782" s="91"/>
      <c r="AE782" s="91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91"/>
      <c r="Z783" s="16"/>
      <c r="AA783" s="16"/>
      <c r="AB783" s="16"/>
      <c r="AC783" s="91"/>
      <c r="AD783" s="91"/>
      <c r="AE783" s="91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91"/>
      <c r="Z784" s="16"/>
      <c r="AA784" s="16"/>
      <c r="AB784" s="16"/>
      <c r="AC784" s="91"/>
      <c r="AD784" s="91"/>
      <c r="AE784" s="91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91"/>
      <c r="Z785" s="16"/>
      <c r="AA785" s="16"/>
      <c r="AB785" s="16"/>
      <c r="AC785" s="91"/>
      <c r="AD785" s="91"/>
      <c r="AE785" s="91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91"/>
      <c r="Z786" s="16"/>
      <c r="AA786" s="16"/>
      <c r="AB786" s="16"/>
      <c r="AC786" s="91"/>
      <c r="AD786" s="91"/>
      <c r="AE786" s="91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91"/>
      <c r="Z787" s="16"/>
      <c r="AA787" s="16"/>
      <c r="AB787" s="16"/>
      <c r="AC787" s="91"/>
      <c r="AD787" s="91"/>
      <c r="AE787" s="91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91"/>
      <c r="Z788" s="16"/>
      <c r="AA788" s="16"/>
      <c r="AB788" s="16"/>
      <c r="AC788" s="91"/>
      <c r="AD788" s="91"/>
      <c r="AE788" s="91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91"/>
      <c r="Z789" s="16"/>
      <c r="AA789" s="16"/>
      <c r="AB789" s="16"/>
      <c r="AC789" s="91"/>
      <c r="AD789" s="91"/>
      <c r="AE789" s="91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91"/>
      <c r="Z790" s="16"/>
      <c r="AA790" s="16"/>
      <c r="AB790" s="16"/>
      <c r="AC790" s="91"/>
      <c r="AD790" s="91"/>
      <c r="AE790" s="91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91"/>
      <c r="Z791" s="16"/>
      <c r="AA791" s="16"/>
      <c r="AB791" s="16"/>
      <c r="AC791" s="91"/>
      <c r="AD791" s="91"/>
      <c r="AE791" s="91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91"/>
      <c r="Z792" s="16"/>
      <c r="AA792" s="16"/>
      <c r="AB792" s="16"/>
      <c r="AC792" s="91"/>
      <c r="AD792" s="91"/>
      <c r="AE792" s="91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91"/>
      <c r="Z793" s="16"/>
      <c r="AA793" s="16"/>
      <c r="AB793" s="16"/>
      <c r="AC793" s="91"/>
      <c r="AD793" s="91"/>
      <c r="AE793" s="91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91"/>
      <c r="Z794" s="16"/>
      <c r="AA794" s="16"/>
      <c r="AB794" s="16"/>
      <c r="AC794" s="91"/>
      <c r="AD794" s="91"/>
      <c r="AE794" s="91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91"/>
      <c r="Z795" s="16"/>
      <c r="AA795" s="16"/>
      <c r="AB795" s="16"/>
      <c r="AC795" s="91"/>
      <c r="AD795" s="91"/>
      <c r="AE795" s="91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91"/>
      <c r="Z796" s="16"/>
      <c r="AA796" s="16"/>
      <c r="AB796" s="16"/>
      <c r="AC796" s="91"/>
      <c r="AD796" s="91"/>
      <c r="AE796" s="91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91"/>
      <c r="Z797" s="16"/>
      <c r="AA797" s="16"/>
      <c r="AB797" s="16"/>
      <c r="AC797" s="91"/>
      <c r="AD797" s="91"/>
      <c r="AE797" s="91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91"/>
      <c r="Z798" s="16"/>
      <c r="AA798" s="16"/>
      <c r="AB798" s="16"/>
      <c r="AC798" s="91"/>
      <c r="AD798" s="91"/>
      <c r="AE798" s="91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91"/>
      <c r="Z799" s="16"/>
      <c r="AA799" s="16"/>
      <c r="AB799" s="16"/>
      <c r="AC799" s="91"/>
      <c r="AD799" s="91"/>
      <c r="AE799" s="91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91"/>
      <c r="Z800" s="16"/>
      <c r="AA800" s="16"/>
      <c r="AB800" s="16"/>
      <c r="AC800" s="91"/>
      <c r="AD800" s="91"/>
      <c r="AE800" s="91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91"/>
      <c r="Z801" s="16"/>
      <c r="AA801" s="16"/>
      <c r="AB801" s="16"/>
      <c r="AC801" s="91"/>
      <c r="AD801" s="91"/>
      <c r="AE801" s="91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91"/>
      <c r="Z802" s="16"/>
      <c r="AA802" s="16"/>
      <c r="AB802" s="16"/>
      <c r="AC802" s="91"/>
      <c r="AD802" s="91"/>
      <c r="AE802" s="91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91"/>
      <c r="Z803" s="16"/>
      <c r="AA803" s="16"/>
      <c r="AB803" s="16"/>
      <c r="AC803" s="91"/>
      <c r="AD803" s="91"/>
      <c r="AE803" s="91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91"/>
      <c r="Z804" s="16"/>
      <c r="AA804" s="16"/>
      <c r="AB804" s="16"/>
      <c r="AC804" s="91"/>
      <c r="AD804" s="91"/>
      <c r="AE804" s="91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91"/>
      <c r="Z805" s="16"/>
      <c r="AA805" s="16"/>
      <c r="AB805" s="16"/>
      <c r="AC805" s="91"/>
      <c r="AD805" s="91"/>
      <c r="AE805" s="91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91"/>
      <c r="Z806" s="16"/>
      <c r="AA806" s="16"/>
      <c r="AB806" s="16"/>
      <c r="AC806" s="91"/>
      <c r="AD806" s="91"/>
      <c r="AE806" s="91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91"/>
      <c r="Z807" s="16"/>
      <c r="AA807" s="16"/>
      <c r="AB807" s="16"/>
      <c r="AC807" s="91"/>
      <c r="AD807" s="91"/>
      <c r="AE807" s="91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91"/>
      <c r="Z808" s="16"/>
      <c r="AA808" s="16"/>
      <c r="AB808" s="16"/>
      <c r="AC808" s="91"/>
      <c r="AD808" s="91"/>
      <c r="AE808" s="91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91"/>
      <c r="Z809" s="16"/>
      <c r="AA809" s="16"/>
      <c r="AB809" s="16"/>
      <c r="AC809" s="91"/>
      <c r="AD809" s="91"/>
      <c r="AE809" s="91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91"/>
      <c r="Z810" s="16"/>
      <c r="AA810" s="16"/>
      <c r="AB810" s="16"/>
      <c r="AC810" s="91"/>
      <c r="AD810" s="91"/>
      <c r="AE810" s="91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91"/>
      <c r="Z811" s="16"/>
      <c r="AA811" s="16"/>
      <c r="AB811" s="16"/>
      <c r="AC811" s="91"/>
      <c r="AD811" s="91"/>
      <c r="AE811" s="91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91"/>
      <c r="Z812" s="16"/>
      <c r="AA812" s="16"/>
      <c r="AB812" s="16"/>
      <c r="AC812" s="91"/>
      <c r="AD812" s="91"/>
      <c r="AE812" s="91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91"/>
      <c r="Z813" s="16"/>
      <c r="AA813" s="16"/>
      <c r="AB813" s="16"/>
      <c r="AC813" s="91"/>
      <c r="AD813" s="91"/>
      <c r="AE813" s="91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91"/>
      <c r="Z814" s="16"/>
      <c r="AA814" s="16"/>
      <c r="AB814" s="16"/>
      <c r="AC814" s="91"/>
      <c r="AD814" s="91"/>
      <c r="AE814" s="91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91"/>
      <c r="Z815" s="16"/>
      <c r="AA815" s="16"/>
      <c r="AB815" s="16"/>
      <c r="AC815" s="91"/>
      <c r="AD815" s="91"/>
      <c r="AE815" s="91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91"/>
      <c r="Z816" s="16"/>
      <c r="AA816" s="16"/>
      <c r="AB816" s="16"/>
      <c r="AC816" s="91"/>
      <c r="AD816" s="91"/>
      <c r="AE816" s="91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91"/>
      <c r="Z817" s="16"/>
      <c r="AA817" s="16"/>
      <c r="AB817" s="16"/>
      <c r="AC817" s="91"/>
      <c r="AD817" s="91"/>
      <c r="AE817" s="91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91"/>
      <c r="Z818" s="16"/>
      <c r="AA818" s="16"/>
      <c r="AB818" s="16"/>
      <c r="AC818" s="91"/>
      <c r="AD818" s="91"/>
      <c r="AE818" s="91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91"/>
      <c r="Z819" s="16"/>
      <c r="AA819" s="16"/>
      <c r="AB819" s="16"/>
      <c r="AC819" s="91"/>
      <c r="AD819" s="91"/>
      <c r="AE819" s="91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91"/>
      <c r="Z820" s="16"/>
      <c r="AA820" s="16"/>
      <c r="AB820" s="16"/>
      <c r="AC820" s="91"/>
      <c r="AD820" s="91"/>
      <c r="AE820" s="91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91"/>
      <c r="Z821" s="16"/>
      <c r="AA821" s="16"/>
      <c r="AB821" s="16"/>
      <c r="AC821" s="91"/>
      <c r="AD821" s="91"/>
      <c r="AE821" s="91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91"/>
      <c r="Z822" s="16"/>
      <c r="AA822" s="16"/>
      <c r="AB822" s="16"/>
      <c r="AC822" s="91"/>
      <c r="AD822" s="91"/>
      <c r="AE822" s="91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91"/>
      <c r="Z823" s="16"/>
      <c r="AA823" s="16"/>
      <c r="AB823" s="16"/>
      <c r="AC823" s="91"/>
      <c r="AD823" s="91"/>
      <c r="AE823" s="91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91"/>
      <c r="Z824" s="16"/>
      <c r="AA824" s="16"/>
      <c r="AB824" s="16"/>
      <c r="AC824" s="91"/>
      <c r="AD824" s="91"/>
      <c r="AE824" s="91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91"/>
      <c r="Z825" s="16"/>
      <c r="AA825" s="16"/>
      <c r="AB825" s="16"/>
      <c r="AC825" s="91"/>
      <c r="AD825" s="91"/>
      <c r="AE825" s="91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91"/>
      <c r="Z826" s="16"/>
      <c r="AA826" s="16"/>
      <c r="AB826" s="16"/>
      <c r="AC826" s="91"/>
      <c r="AD826" s="91"/>
      <c r="AE826" s="91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91"/>
      <c r="Z827" s="16"/>
      <c r="AA827" s="16"/>
      <c r="AB827" s="16"/>
      <c r="AC827" s="91"/>
      <c r="AD827" s="91"/>
      <c r="AE827" s="91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91"/>
      <c r="Z828" s="16"/>
      <c r="AA828" s="16"/>
      <c r="AB828" s="16"/>
      <c r="AC828" s="91"/>
      <c r="AD828" s="91"/>
      <c r="AE828" s="91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91"/>
      <c r="Z829" s="16"/>
      <c r="AA829" s="16"/>
      <c r="AB829" s="16"/>
      <c r="AC829" s="91"/>
      <c r="AD829" s="91"/>
      <c r="AE829" s="91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91"/>
      <c r="Z830" s="16"/>
      <c r="AA830" s="16"/>
      <c r="AB830" s="16"/>
      <c r="AC830" s="91"/>
      <c r="AD830" s="91"/>
      <c r="AE830" s="91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91"/>
      <c r="Z831" s="16"/>
      <c r="AA831" s="16"/>
      <c r="AB831" s="16"/>
      <c r="AC831" s="91"/>
      <c r="AD831" s="91"/>
      <c r="AE831" s="91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91"/>
      <c r="Z832" s="16"/>
      <c r="AA832" s="16"/>
      <c r="AB832" s="16"/>
      <c r="AC832" s="91"/>
      <c r="AD832" s="91"/>
      <c r="AE832" s="91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91"/>
      <c r="Z833" s="16"/>
      <c r="AA833" s="16"/>
      <c r="AB833" s="16"/>
      <c r="AC833" s="91"/>
      <c r="AD833" s="91"/>
      <c r="AE833" s="91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91"/>
      <c r="Z834" s="16"/>
      <c r="AA834" s="16"/>
      <c r="AB834" s="16"/>
      <c r="AC834" s="91"/>
      <c r="AD834" s="91"/>
      <c r="AE834" s="91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91"/>
      <c r="Z835" s="16"/>
      <c r="AA835" s="16"/>
      <c r="AB835" s="16"/>
      <c r="AC835" s="91"/>
      <c r="AD835" s="91"/>
      <c r="AE835" s="91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91"/>
      <c r="Z836" s="16"/>
      <c r="AA836" s="16"/>
      <c r="AB836" s="16"/>
      <c r="AC836" s="91"/>
      <c r="AD836" s="91"/>
      <c r="AE836" s="91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91"/>
      <c r="Z837" s="16"/>
      <c r="AA837" s="16"/>
      <c r="AB837" s="16"/>
      <c r="AC837" s="91"/>
      <c r="AD837" s="91"/>
      <c r="AE837" s="91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91"/>
      <c r="Z838" s="16"/>
      <c r="AA838" s="16"/>
      <c r="AB838" s="16"/>
      <c r="AC838" s="91"/>
      <c r="AD838" s="91"/>
      <c r="AE838" s="91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91"/>
      <c r="Z839" s="16"/>
      <c r="AA839" s="16"/>
      <c r="AB839" s="16"/>
      <c r="AC839" s="91"/>
      <c r="AD839" s="91"/>
      <c r="AE839" s="91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91"/>
      <c r="Z840" s="16"/>
      <c r="AA840" s="16"/>
      <c r="AB840" s="16"/>
      <c r="AC840" s="91"/>
      <c r="AD840" s="91"/>
      <c r="AE840" s="91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91"/>
      <c r="Z841" s="16"/>
      <c r="AA841" s="16"/>
      <c r="AB841" s="16"/>
      <c r="AC841" s="91"/>
      <c r="AD841" s="91"/>
      <c r="AE841" s="91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91"/>
      <c r="Z842" s="16"/>
      <c r="AA842" s="16"/>
      <c r="AB842" s="16"/>
      <c r="AC842" s="91"/>
      <c r="AD842" s="91"/>
      <c r="AE842" s="91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91"/>
      <c r="Z843" s="16"/>
      <c r="AA843" s="16"/>
      <c r="AB843" s="16"/>
      <c r="AC843" s="91"/>
      <c r="AD843" s="91"/>
      <c r="AE843" s="91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91"/>
      <c r="Z844" s="16"/>
      <c r="AA844" s="16"/>
      <c r="AB844" s="16"/>
      <c r="AC844" s="91"/>
      <c r="AD844" s="91"/>
      <c r="AE844" s="91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91"/>
      <c r="Z845" s="16"/>
      <c r="AA845" s="16"/>
      <c r="AB845" s="16"/>
      <c r="AC845" s="91"/>
      <c r="AD845" s="91"/>
      <c r="AE845" s="91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91"/>
      <c r="Z846" s="16"/>
      <c r="AA846" s="16"/>
      <c r="AB846" s="16"/>
      <c r="AC846" s="91"/>
      <c r="AD846" s="91"/>
      <c r="AE846" s="91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91"/>
      <c r="Z847" s="16"/>
      <c r="AA847" s="16"/>
      <c r="AB847" s="16"/>
      <c r="AC847" s="91"/>
      <c r="AD847" s="91"/>
      <c r="AE847" s="91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91"/>
      <c r="Z848" s="16"/>
      <c r="AA848" s="16"/>
      <c r="AB848" s="16"/>
      <c r="AC848" s="91"/>
      <c r="AD848" s="91"/>
      <c r="AE848" s="91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91"/>
      <c r="Z849" s="16"/>
      <c r="AA849" s="16"/>
      <c r="AB849" s="16"/>
      <c r="AC849" s="91"/>
      <c r="AD849" s="91"/>
      <c r="AE849" s="91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91"/>
      <c r="Z850" s="16"/>
      <c r="AA850" s="16"/>
      <c r="AB850" s="16"/>
      <c r="AC850" s="91"/>
      <c r="AD850" s="91"/>
      <c r="AE850" s="91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91"/>
      <c r="Z851" s="16"/>
      <c r="AA851" s="16"/>
      <c r="AB851" s="16"/>
      <c r="AC851" s="91"/>
      <c r="AD851" s="91"/>
      <c r="AE851" s="91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91"/>
      <c r="Z852" s="16"/>
      <c r="AA852" s="16"/>
      <c r="AB852" s="16"/>
      <c r="AC852" s="91"/>
      <c r="AD852" s="91"/>
      <c r="AE852" s="91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91"/>
      <c r="Z853" s="16"/>
      <c r="AA853" s="16"/>
      <c r="AB853" s="16"/>
      <c r="AC853" s="91"/>
      <c r="AD853" s="91"/>
      <c r="AE853" s="91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91"/>
      <c r="Z854" s="16"/>
      <c r="AA854" s="16"/>
      <c r="AB854" s="16"/>
      <c r="AC854" s="91"/>
      <c r="AD854" s="91"/>
      <c r="AE854" s="91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91"/>
      <c r="Z855" s="16"/>
      <c r="AA855" s="16"/>
      <c r="AB855" s="16"/>
      <c r="AC855" s="91"/>
      <c r="AD855" s="91"/>
      <c r="AE855" s="91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91"/>
      <c r="Z856" s="16"/>
      <c r="AA856" s="16"/>
      <c r="AB856" s="16"/>
      <c r="AC856" s="91"/>
      <c r="AD856" s="91"/>
      <c r="AE856" s="91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91"/>
      <c r="Z857" s="16"/>
      <c r="AA857" s="16"/>
      <c r="AB857" s="16"/>
      <c r="AC857" s="91"/>
      <c r="AD857" s="91"/>
      <c r="AE857" s="91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91"/>
      <c r="Z858" s="16"/>
      <c r="AA858" s="16"/>
      <c r="AB858" s="16"/>
      <c r="AC858" s="91"/>
      <c r="AD858" s="91"/>
      <c r="AE858" s="91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91"/>
      <c r="Z859" s="16"/>
      <c r="AA859" s="16"/>
      <c r="AB859" s="16"/>
      <c r="AC859" s="91"/>
      <c r="AD859" s="91"/>
      <c r="AE859" s="91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91"/>
      <c r="Z860" s="16"/>
      <c r="AA860" s="16"/>
      <c r="AB860" s="16"/>
      <c r="AC860" s="91"/>
      <c r="AD860" s="91"/>
      <c r="AE860" s="91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91"/>
      <c r="Z861" s="16"/>
      <c r="AA861" s="16"/>
      <c r="AB861" s="16"/>
      <c r="AC861" s="91"/>
      <c r="AD861" s="91"/>
      <c r="AE861" s="91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91"/>
      <c r="Z862" s="16"/>
      <c r="AA862" s="16"/>
      <c r="AB862" s="16"/>
      <c r="AC862" s="91"/>
      <c r="AD862" s="91"/>
      <c r="AE862" s="91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91"/>
      <c r="Z863" s="16"/>
      <c r="AA863" s="16"/>
      <c r="AB863" s="16"/>
      <c r="AC863" s="91"/>
      <c r="AD863" s="91"/>
      <c r="AE863" s="91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91"/>
      <c r="Z864" s="16"/>
      <c r="AA864" s="16"/>
      <c r="AB864" s="16"/>
      <c r="AC864" s="91"/>
      <c r="AD864" s="91"/>
      <c r="AE864" s="91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91"/>
      <c r="Z865" s="16"/>
      <c r="AA865" s="16"/>
      <c r="AB865" s="16"/>
      <c r="AC865" s="91"/>
      <c r="AD865" s="91"/>
      <c r="AE865" s="91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91"/>
      <c r="Z866" s="16"/>
      <c r="AA866" s="16"/>
      <c r="AB866" s="16"/>
      <c r="AC866" s="91"/>
      <c r="AD866" s="91"/>
      <c r="AE866" s="91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91"/>
      <c r="Z867" s="16"/>
      <c r="AA867" s="16"/>
      <c r="AB867" s="16"/>
      <c r="AC867" s="91"/>
      <c r="AD867" s="91"/>
      <c r="AE867" s="91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91"/>
      <c r="Z868" s="16"/>
      <c r="AA868" s="16"/>
      <c r="AB868" s="16"/>
      <c r="AC868" s="91"/>
      <c r="AD868" s="91"/>
      <c r="AE868" s="91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91"/>
      <c r="Z869" s="16"/>
      <c r="AA869" s="16"/>
      <c r="AB869" s="16"/>
      <c r="AC869" s="91"/>
      <c r="AD869" s="91"/>
      <c r="AE869" s="91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91"/>
      <c r="Z870" s="16"/>
      <c r="AA870" s="16"/>
      <c r="AB870" s="16"/>
      <c r="AC870" s="91"/>
      <c r="AD870" s="91"/>
      <c r="AE870" s="91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91"/>
      <c r="Z871" s="16"/>
      <c r="AA871" s="16"/>
      <c r="AB871" s="16"/>
      <c r="AC871" s="91"/>
      <c r="AD871" s="91"/>
      <c r="AE871" s="91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91"/>
      <c r="Z872" s="16"/>
      <c r="AA872" s="16"/>
      <c r="AB872" s="16"/>
      <c r="AC872" s="91"/>
      <c r="AD872" s="91"/>
      <c r="AE872" s="91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91"/>
      <c r="Z873" s="16"/>
      <c r="AA873" s="16"/>
      <c r="AB873" s="16"/>
      <c r="AC873" s="91"/>
      <c r="AD873" s="91"/>
      <c r="AE873" s="91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91"/>
      <c r="Z874" s="16"/>
      <c r="AA874" s="16"/>
      <c r="AB874" s="16"/>
      <c r="AC874" s="91"/>
      <c r="AD874" s="91"/>
      <c r="AE874" s="91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91"/>
      <c r="Z875" s="16"/>
      <c r="AA875" s="16"/>
      <c r="AB875" s="16"/>
      <c r="AC875" s="91"/>
      <c r="AD875" s="91"/>
      <c r="AE875" s="91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91"/>
      <c r="Z876" s="16"/>
      <c r="AA876" s="16"/>
      <c r="AB876" s="16"/>
      <c r="AC876" s="91"/>
      <c r="AD876" s="91"/>
      <c r="AE876" s="91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91"/>
      <c r="Z877" s="16"/>
      <c r="AA877" s="16"/>
      <c r="AB877" s="16"/>
      <c r="AC877" s="91"/>
      <c r="AD877" s="91"/>
      <c r="AE877" s="91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91"/>
      <c r="Z878" s="16"/>
      <c r="AA878" s="16"/>
      <c r="AB878" s="16"/>
      <c r="AC878" s="91"/>
      <c r="AD878" s="91"/>
      <c r="AE878" s="91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91"/>
      <c r="Z879" s="16"/>
      <c r="AA879" s="16"/>
      <c r="AB879" s="16"/>
      <c r="AC879" s="91"/>
      <c r="AD879" s="91"/>
      <c r="AE879" s="91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91"/>
      <c r="Z880" s="16"/>
      <c r="AA880" s="16"/>
      <c r="AB880" s="16"/>
      <c r="AC880" s="91"/>
      <c r="AD880" s="91"/>
      <c r="AE880" s="91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91"/>
      <c r="Z881" s="16"/>
      <c r="AA881" s="16"/>
      <c r="AB881" s="16"/>
      <c r="AC881" s="91"/>
      <c r="AD881" s="91"/>
      <c r="AE881" s="91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91"/>
      <c r="Z882" s="16"/>
      <c r="AA882" s="16"/>
      <c r="AB882" s="16"/>
      <c r="AC882" s="91"/>
      <c r="AD882" s="91"/>
      <c r="AE882" s="91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91"/>
      <c r="Z883" s="16"/>
      <c r="AA883" s="16"/>
      <c r="AB883" s="16"/>
      <c r="AC883" s="91"/>
      <c r="AD883" s="91"/>
      <c r="AE883" s="91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91"/>
      <c r="Z884" s="16"/>
      <c r="AA884" s="16"/>
      <c r="AB884" s="16"/>
      <c r="AC884" s="91"/>
      <c r="AD884" s="91"/>
      <c r="AE884" s="91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91"/>
      <c r="Z885" s="16"/>
      <c r="AA885" s="16"/>
      <c r="AB885" s="16"/>
      <c r="AC885" s="91"/>
      <c r="AD885" s="91"/>
      <c r="AE885" s="91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91"/>
      <c r="Z886" s="16"/>
      <c r="AA886" s="16"/>
      <c r="AB886" s="16"/>
      <c r="AC886" s="91"/>
      <c r="AD886" s="91"/>
      <c r="AE886" s="91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91"/>
      <c r="Z887" s="16"/>
      <c r="AA887" s="16"/>
      <c r="AB887" s="16"/>
      <c r="AC887" s="91"/>
      <c r="AD887" s="91"/>
      <c r="AE887" s="91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91"/>
      <c r="Z888" s="16"/>
      <c r="AA888" s="16"/>
      <c r="AB888" s="16"/>
      <c r="AC888" s="91"/>
      <c r="AD888" s="91"/>
      <c r="AE888" s="91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91"/>
      <c r="Z889" s="16"/>
      <c r="AA889" s="16"/>
      <c r="AB889" s="16"/>
      <c r="AC889" s="91"/>
      <c r="AD889" s="91"/>
      <c r="AE889" s="91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91"/>
      <c r="Z890" s="16"/>
      <c r="AA890" s="16"/>
      <c r="AB890" s="16"/>
      <c r="AC890" s="91"/>
      <c r="AD890" s="91"/>
      <c r="AE890" s="91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91"/>
      <c r="Z891" s="16"/>
      <c r="AA891" s="16"/>
      <c r="AB891" s="16"/>
      <c r="AC891" s="91"/>
      <c r="AD891" s="91"/>
      <c r="AE891" s="91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91"/>
      <c r="Z892" s="16"/>
      <c r="AA892" s="16"/>
      <c r="AB892" s="16"/>
      <c r="AC892" s="91"/>
      <c r="AD892" s="91"/>
      <c r="AE892" s="91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91"/>
      <c r="Z893" s="16"/>
      <c r="AA893" s="16"/>
      <c r="AB893" s="16"/>
      <c r="AC893" s="91"/>
      <c r="AD893" s="91"/>
      <c r="AE893" s="91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91"/>
      <c r="Z894" s="16"/>
      <c r="AA894" s="16"/>
      <c r="AB894" s="16"/>
      <c r="AC894" s="91"/>
      <c r="AD894" s="91"/>
      <c r="AE894" s="91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91"/>
      <c r="Z895" s="16"/>
      <c r="AA895" s="16"/>
      <c r="AB895" s="16"/>
      <c r="AC895" s="91"/>
      <c r="AD895" s="91"/>
      <c r="AE895" s="91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91"/>
      <c r="Z896" s="16"/>
      <c r="AA896" s="16"/>
      <c r="AB896" s="16"/>
      <c r="AC896" s="91"/>
      <c r="AD896" s="91"/>
      <c r="AE896" s="91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91"/>
      <c r="Z897" s="16"/>
      <c r="AA897" s="16"/>
      <c r="AB897" s="16"/>
      <c r="AC897" s="91"/>
      <c r="AD897" s="91"/>
      <c r="AE897" s="91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91"/>
      <c r="Z898" s="16"/>
      <c r="AA898" s="16"/>
      <c r="AB898" s="16"/>
      <c r="AC898" s="91"/>
      <c r="AD898" s="91"/>
      <c r="AE898" s="91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91"/>
      <c r="Z899" s="16"/>
      <c r="AA899" s="16"/>
      <c r="AB899" s="16"/>
      <c r="AC899" s="91"/>
      <c r="AD899" s="91"/>
      <c r="AE899" s="91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91"/>
      <c r="Z900" s="16"/>
      <c r="AA900" s="16"/>
      <c r="AB900" s="16"/>
      <c r="AC900" s="91"/>
      <c r="AD900" s="91"/>
      <c r="AE900" s="91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91"/>
      <c r="Z901" s="16"/>
      <c r="AA901" s="16"/>
      <c r="AB901" s="16"/>
      <c r="AC901" s="91"/>
      <c r="AD901" s="91"/>
      <c r="AE901" s="91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91"/>
      <c r="Z902" s="16"/>
      <c r="AA902" s="16"/>
      <c r="AB902" s="16"/>
      <c r="AC902" s="91"/>
      <c r="AD902" s="91"/>
      <c r="AE902" s="91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91"/>
      <c r="Z903" s="16"/>
      <c r="AA903" s="16"/>
      <c r="AB903" s="16"/>
      <c r="AC903" s="91"/>
      <c r="AD903" s="91"/>
      <c r="AE903" s="91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91"/>
      <c r="Z904" s="16"/>
      <c r="AA904" s="16"/>
      <c r="AB904" s="16"/>
      <c r="AC904" s="91"/>
      <c r="AD904" s="91"/>
      <c r="AE904" s="91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91"/>
      <c r="Z905" s="16"/>
      <c r="AA905" s="16"/>
      <c r="AB905" s="16"/>
      <c r="AC905" s="91"/>
      <c r="AD905" s="91"/>
      <c r="AE905" s="91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91"/>
      <c r="Z906" s="16"/>
      <c r="AA906" s="16"/>
      <c r="AB906" s="16"/>
      <c r="AC906" s="91"/>
      <c r="AD906" s="91"/>
      <c r="AE906" s="91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91"/>
      <c r="Z907" s="16"/>
      <c r="AA907" s="16"/>
      <c r="AB907" s="16"/>
      <c r="AC907" s="91"/>
      <c r="AD907" s="91"/>
      <c r="AE907" s="91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91"/>
      <c r="Z908" s="16"/>
      <c r="AA908" s="16"/>
      <c r="AB908" s="16"/>
      <c r="AC908" s="91"/>
      <c r="AD908" s="91"/>
      <c r="AE908" s="91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91"/>
      <c r="Z909" s="16"/>
      <c r="AA909" s="16"/>
      <c r="AB909" s="16"/>
      <c r="AC909" s="91"/>
      <c r="AD909" s="91"/>
      <c r="AE909" s="91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91"/>
      <c r="Z910" s="16"/>
      <c r="AA910" s="16"/>
      <c r="AB910" s="16"/>
      <c r="AC910" s="91"/>
      <c r="AD910" s="91"/>
      <c r="AE910" s="91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91"/>
      <c r="Z911" s="16"/>
      <c r="AA911" s="16"/>
      <c r="AB911" s="16"/>
      <c r="AC911" s="91"/>
      <c r="AD911" s="91"/>
      <c r="AE911" s="91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91"/>
      <c r="Z912" s="16"/>
      <c r="AA912" s="16"/>
      <c r="AB912" s="16"/>
      <c r="AC912" s="91"/>
      <c r="AD912" s="91"/>
      <c r="AE912" s="91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91"/>
      <c r="Z913" s="16"/>
      <c r="AA913" s="16"/>
      <c r="AB913" s="16"/>
      <c r="AC913" s="91"/>
      <c r="AD913" s="91"/>
      <c r="AE913" s="91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91"/>
      <c r="Z914" s="16"/>
      <c r="AA914" s="16"/>
      <c r="AB914" s="16"/>
      <c r="AC914" s="91"/>
      <c r="AD914" s="91"/>
      <c r="AE914" s="91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91"/>
      <c r="Z915" s="16"/>
      <c r="AA915" s="16"/>
      <c r="AB915" s="16"/>
      <c r="AC915" s="91"/>
      <c r="AD915" s="91"/>
      <c r="AE915" s="91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91"/>
      <c r="Z916" s="16"/>
      <c r="AA916" s="16"/>
      <c r="AB916" s="16"/>
      <c r="AC916" s="91"/>
      <c r="AD916" s="91"/>
      <c r="AE916" s="91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91"/>
      <c r="Z917" s="16"/>
      <c r="AA917" s="16"/>
      <c r="AB917" s="16"/>
      <c r="AC917" s="91"/>
      <c r="AD917" s="91"/>
      <c r="AE917" s="91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91"/>
      <c r="Z918" s="16"/>
      <c r="AA918" s="16"/>
      <c r="AB918" s="16"/>
      <c r="AC918" s="91"/>
      <c r="AD918" s="91"/>
      <c r="AE918" s="91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91"/>
      <c r="Z919" s="16"/>
      <c r="AA919" s="16"/>
      <c r="AB919" s="16"/>
      <c r="AC919" s="91"/>
      <c r="AD919" s="91"/>
      <c r="AE919" s="91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91"/>
      <c r="Z920" s="16"/>
      <c r="AA920" s="16"/>
      <c r="AB920" s="16"/>
      <c r="AC920" s="91"/>
      <c r="AD920" s="91"/>
      <c r="AE920" s="91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91"/>
      <c r="Z921" s="16"/>
      <c r="AA921" s="16"/>
      <c r="AB921" s="16"/>
      <c r="AC921" s="91"/>
      <c r="AD921" s="91"/>
      <c r="AE921" s="91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91"/>
      <c r="Z922" s="16"/>
      <c r="AA922" s="16"/>
      <c r="AB922" s="16"/>
      <c r="AC922" s="91"/>
      <c r="AD922" s="91"/>
      <c r="AE922" s="91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91"/>
      <c r="Z923" s="16"/>
      <c r="AA923" s="16"/>
      <c r="AB923" s="16"/>
      <c r="AC923" s="91"/>
      <c r="AD923" s="91"/>
      <c r="AE923" s="91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91"/>
      <c r="Z924" s="16"/>
      <c r="AA924" s="16"/>
      <c r="AB924" s="16"/>
      <c r="AC924" s="91"/>
      <c r="AD924" s="91"/>
      <c r="AE924" s="91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91"/>
      <c r="Z925" s="16"/>
      <c r="AA925" s="16"/>
      <c r="AB925" s="16"/>
      <c r="AC925" s="91"/>
      <c r="AD925" s="91"/>
      <c r="AE925" s="91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91"/>
      <c r="Z926" s="16"/>
      <c r="AA926" s="16"/>
      <c r="AB926" s="16"/>
      <c r="AC926" s="91"/>
      <c r="AD926" s="91"/>
      <c r="AE926" s="91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91"/>
      <c r="Z927" s="16"/>
      <c r="AA927" s="16"/>
      <c r="AB927" s="16"/>
      <c r="AC927" s="91"/>
      <c r="AD927" s="91"/>
      <c r="AE927" s="91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91"/>
      <c r="Z928" s="16"/>
      <c r="AA928" s="16"/>
      <c r="AB928" s="16"/>
      <c r="AC928" s="91"/>
      <c r="AD928" s="91"/>
      <c r="AE928" s="91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91"/>
      <c r="Z929" s="16"/>
      <c r="AA929" s="16"/>
      <c r="AB929" s="16"/>
      <c r="AC929" s="91"/>
      <c r="AD929" s="91"/>
      <c r="AE929" s="91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91"/>
      <c r="Z930" s="16"/>
      <c r="AA930" s="16"/>
      <c r="AB930" s="16"/>
      <c r="AC930" s="91"/>
      <c r="AD930" s="91"/>
      <c r="AE930" s="91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91"/>
      <c r="Z931" s="16"/>
      <c r="AA931" s="16"/>
      <c r="AB931" s="16"/>
      <c r="AC931" s="91"/>
      <c r="AD931" s="91"/>
      <c r="AE931" s="91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91"/>
      <c r="Z932" s="16"/>
      <c r="AA932" s="16"/>
      <c r="AB932" s="16"/>
      <c r="AC932" s="91"/>
      <c r="AD932" s="91"/>
      <c r="AE932" s="91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91"/>
      <c r="Z933" s="16"/>
      <c r="AA933" s="16"/>
      <c r="AB933" s="16"/>
      <c r="AC933" s="91"/>
      <c r="AD933" s="91"/>
      <c r="AE933" s="91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91"/>
      <c r="Z934" s="16"/>
      <c r="AA934" s="16"/>
      <c r="AB934" s="16"/>
      <c r="AC934" s="91"/>
      <c r="AD934" s="91"/>
      <c r="AE934" s="91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91"/>
      <c r="Z935" s="16"/>
      <c r="AA935" s="16"/>
      <c r="AB935" s="16"/>
      <c r="AC935" s="91"/>
      <c r="AD935" s="91"/>
      <c r="AE935" s="91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91"/>
      <c r="Z936" s="16"/>
      <c r="AA936" s="16"/>
      <c r="AB936" s="16"/>
      <c r="AC936" s="91"/>
      <c r="AD936" s="91"/>
      <c r="AE936" s="91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91"/>
      <c r="Z937" s="16"/>
      <c r="AA937" s="16"/>
      <c r="AB937" s="16"/>
      <c r="AC937" s="91"/>
      <c r="AD937" s="91"/>
      <c r="AE937" s="91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91"/>
      <c r="Z938" s="16"/>
      <c r="AA938" s="16"/>
      <c r="AB938" s="16"/>
      <c r="AC938" s="91"/>
      <c r="AD938" s="91"/>
      <c r="AE938" s="91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91"/>
      <c r="Z939" s="16"/>
      <c r="AA939" s="16"/>
      <c r="AB939" s="16"/>
      <c r="AC939" s="91"/>
      <c r="AD939" s="91"/>
      <c r="AE939" s="91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91"/>
      <c r="Z940" s="16"/>
      <c r="AA940" s="16"/>
      <c r="AB940" s="16"/>
      <c r="AC940" s="91"/>
      <c r="AD940" s="91"/>
      <c r="AE940" s="91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91"/>
      <c r="Z941" s="16"/>
      <c r="AA941" s="16"/>
      <c r="AB941" s="16"/>
      <c r="AC941" s="91"/>
      <c r="AD941" s="91"/>
      <c r="AE941" s="91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91"/>
      <c r="Z942" s="16"/>
      <c r="AA942" s="16"/>
      <c r="AB942" s="16"/>
      <c r="AC942" s="91"/>
      <c r="AD942" s="91"/>
      <c r="AE942" s="91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91"/>
      <c r="Z943" s="16"/>
      <c r="AA943" s="16"/>
      <c r="AB943" s="16"/>
      <c r="AC943" s="91"/>
      <c r="AD943" s="91"/>
      <c r="AE943" s="91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91"/>
      <c r="Z944" s="16"/>
      <c r="AA944" s="16"/>
      <c r="AB944" s="16"/>
      <c r="AC944" s="91"/>
      <c r="AD944" s="91"/>
      <c r="AE944" s="91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91"/>
      <c r="Z945" s="16"/>
      <c r="AA945" s="16"/>
      <c r="AB945" s="16"/>
      <c r="AC945" s="91"/>
      <c r="AD945" s="91"/>
      <c r="AE945" s="91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91"/>
      <c r="Z946" s="16"/>
      <c r="AA946" s="16"/>
      <c r="AB946" s="16"/>
      <c r="AC946" s="91"/>
      <c r="AD946" s="91"/>
      <c r="AE946" s="91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91"/>
      <c r="Z947" s="16"/>
      <c r="AA947" s="16"/>
      <c r="AB947" s="16"/>
      <c r="AC947" s="91"/>
      <c r="AD947" s="91"/>
      <c r="AE947" s="91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91"/>
      <c r="Z948" s="16"/>
      <c r="AA948" s="16"/>
      <c r="AB948" s="16"/>
      <c r="AC948" s="91"/>
      <c r="AD948" s="91"/>
      <c r="AE948" s="91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91"/>
      <c r="Z949" s="16"/>
      <c r="AA949" s="16"/>
      <c r="AB949" s="16"/>
      <c r="AC949" s="91"/>
      <c r="AD949" s="91"/>
      <c r="AE949" s="91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91"/>
      <c r="Z950" s="16"/>
      <c r="AA950" s="16"/>
      <c r="AB950" s="16"/>
      <c r="AC950" s="91"/>
      <c r="AD950" s="91"/>
      <c r="AE950" s="91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91"/>
      <c r="Z951" s="16"/>
      <c r="AA951" s="16"/>
      <c r="AB951" s="16"/>
      <c r="AC951" s="91"/>
      <c r="AD951" s="91"/>
      <c r="AE951" s="91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91"/>
      <c r="Z952" s="16"/>
      <c r="AA952" s="16"/>
      <c r="AB952" s="16"/>
      <c r="AC952" s="91"/>
      <c r="AD952" s="91"/>
      <c r="AE952" s="91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91"/>
      <c r="Z953" s="16"/>
      <c r="AA953" s="16"/>
      <c r="AB953" s="16"/>
      <c r="AC953" s="91"/>
      <c r="AD953" s="91"/>
      <c r="AE953" s="91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91"/>
      <c r="Z954" s="16"/>
      <c r="AA954" s="16"/>
      <c r="AB954" s="16"/>
      <c r="AC954" s="91"/>
      <c r="AD954" s="91"/>
      <c r="AE954" s="91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91"/>
      <c r="Z955" s="16"/>
      <c r="AA955" s="16"/>
      <c r="AB955" s="16"/>
      <c r="AC955" s="91"/>
      <c r="AD955" s="91"/>
      <c r="AE955" s="91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91"/>
      <c r="Z956" s="16"/>
      <c r="AA956" s="16"/>
      <c r="AB956" s="16"/>
      <c r="AC956" s="91"/>
      <c r="AD956" s="91"/>
      <c r="AE956" s="91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91"/>
      <c r="Z957" s="16"/>
      <c r="AA957" s="16"/>
      <c r="AB957" s="16"/>
      <c r="AC957" s="91"/>
      <c r="AD957" s="91"/>
      <c r="AE957" s="91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91"/>
      <c r="Z958" s="16"/>
      <c r="AA958" s="16"/>
      <c r="AB958" s="16"/>
      <c r="AC958" s="91"/>
      <c r="AD958" s="91"/>
      <c r="AE958" s="91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91"/>
      <c r="Z959" s="16"/>
      <c r="AA959" s="16"/>
      <c r="AB959" s="16"/>
      <c r="AC959" s="91"/>
      <c r="AD959" s="91"/>
      <c r="AE959" s="91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91"/>
      <c r="Z960" s="16"/>
      <c r="AA960" s="16"/>
      <c r="AB960" s="16"/>
      <c r="AC960" s="91"/>
      <c r="AD960" s="91"/>
      <c r="AE960" s="91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91"/>
      <c r="Z961" s="16"/>
      <c r="AA961" s="16"/>
      <c r="AB961" s="16"/>
      <c r="AC961" s="91"/>
      <c r="AD961" s="91"/>
      <c r="AE961" s="91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91"/>
      <c r="Z962" s="16"/>
      <c r="AA962" s="16"/>
      <c r="AB962" s="16"/>
      <c r="AC962" s="91"/>
      <c r="AD962" s="91"/>
      <c r="AE962" s="91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91"/>
      <c r="Z963" s="16"/>
      <c r="AA963" s="16"/>
      <c r="AB963" s="16"/>
      <c r="AC963" s="91"/>
      <c r="AD963" s="91"/>
      <c r="AE963" s="91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91"/>
      <c r="Z964" s="16"/>
      <c r="AA964" s="16"/>
      <c r="AB964" s="16"/>
      <c r="AC964" s="91"/>
      <c r="AD964" s="91"/>
      <c r="AE964" s="91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91"/>
      <c r="Z965" s="16"/>
      <c r="AA965" s="16"/>
      <c r="AB965" s="16"/>
      <c r="AC965" s="91"/>
      <c r="AD965" s="91"/>
      <c r="AE965" s="91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91"/>
      <c r="Z966" s="16"/>
      <c r="AA966" s="16"/>
      <c r="AB966" s="16"/>
      <c r="AC966" s="91"/>
      <c r="AD966" s="91"/>
      <c r="AE966" s="91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91"/>
      <c r="Z967" s="16"/>
      <c r="AA967" s="16"/>
      <c r="AB967" s="16"/>
      <c r="AC967" s="91"/>
      <c r="AD967" s="91"/>
      <c r="AE967" s="91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  <c r="BN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91"/>
      <c r="Z968" s="16"/>
      <c r="AA968" s="16"/>
      <c r="AB968" s="16"/>
      <c r="AC968" s="91"/>
      <c r="AD968" s="91"/>
      <c r="AE968" s="91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91"/>
      <c r="Z969" s="16"/>
      <c r="AA969" s="16"/>
      <c r="AB969" s="16"/>
      <c r="AC969" s="91"/>
      <c r="AD969" s="91"/>
      <c r="AE969" s="91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91"/>
      <c r="Z970" s="16"/>
      <c r="AA970" s="16"/>
      <c r="AB970" s="16"/>
      <c r="AC970" s="91"/>
      <c r="AD970" s="91"/>
      <c r="AE970" s="91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91"/>
      <c r="Z971" s="16"/>
      <c r="AA971" s="16"/>
      <c r="AB971" s="16"/>
      <c r="AC971" s="91"/>
      <c r="AD971" s="91"/>
      <c r="AE971" s="91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91"/>
      <c r="Z972" s="16"/>
      <c r="AA972" s="16"/>
      <c r="AB972" s="16"/>
      <c r="AC972" s="91"/>
      <c r="AD972" s="91"/>
      <c r="AE972" s="91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91"/>
      <c r="Z973" s="16"/>
      <c r="AA973" s="16"/>
      <c r="AB973" s="16"/>
      <c r="AC973" s="91"/>
      <c r="AD973" s="91"/>
      <c r="AE973" s="91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91"/>
      <c r="Z974" s="16"/>
      <c r="AA974" s="16"/>
      <c r="AB974" s="16"/>
      <c r="AC974" s="91"/>
      <c r="AD974" s="91"/>
      <c r="AE974" s="91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91"/>
      <c r="Z975" s="16"/>
      <c r="AA975" s="16"/>
      <c r="AB975" s="16"/>
      <c r="AC975" s="91"/>
      <c r="AD975" s="91"/>
      <c r="AE975" s="91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91"/>
      <c r="Z976" s="16"/>
      <c r="AA976" s="16"/>
      <c r="AB976" s="16"/>
      <c r="AC976" s="91"/>
      <c r="AD976" s="91"/>
      <c r="AE976" s="91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91"/>
      <c r="Z977" s="16"/>
      <c r="AA977" s="16"/>
      <c r="AB977" s="16"/>
      <c r="AC977" s="91"/>
      <c r="AD977" s="91"/>
      <c r="AE977" s="91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91"/>
      <c r="Z978" s="16"/>
      <c r="AA978" s="16"/>
      <c r="AB978" s="16"/>
      <c r="AC978" s="91"/>
      <c r="AD978" s="91"/>
      <c r="AE978" s="91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91"/>
      <c r="Z979" s="16"/>
      <c r="AA979" s="16"/>
      <c r="AB979" s="16"/>
      <c r="AC979" s="91"/>
      <c r="AD979" s="91"/>
      <c r="AE979" s="91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91"/>
      <c r="Z980" s="16"/>
      <c r="AA980" s="16"/>
      <c r="AB980" s="16"/>
      <c r="AC980" s="91"/>
      <c r="AD980" s="91"/>
      <c r="AE980" s="91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91"/>
      <c r="Z981" s="16"/>
      <c r="AA981" s="16"/>
      <c r="AB981" s="16"/>
      <c r="AC981" s="91"/>
      <c r="AD981" s="91"/>
      <c r="AE981" s="91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  <c r="BJ981" s="16"/>
      <c r="BK981" s="16"/>
      <c r="BL981" s="16"/>
      <c r="BM981" s="16"/>
      <c r="BN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91"/>
      <c r="Z982" s="16"/>
      <c r="AA982" s="16"/>
      <c r="AB982" s="16"/>
      <c r="AC982" s="91"/>
      <c r="AD982" s="91"/>
      <c r="AE982" s="91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91"/>
      <c r="Z983" s="16"/>
      <c r="AA983" s="16"/>
      <c r="AB983" s="16"/>
      <c r="AC983" s="91"/>
      <c r="AD983" s="91"/>
      <c r="AE983" s="91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91"/>
      <c r="Z984" s="16"/>
      <c r="AA984" s="16"/>
      <c r="AB984" s="16"/>
      <c r="AC984" s="91"/>
      <c r="AD984" s="91"/>
      <c r="AE984" s="91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  <c r="BN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91"/>
      <c r="Z985" s="16"/>
      <c r="AA985" s="16"/>
      <c r="AB985" s="16"/>
      <c r="AC985" s="91"/>
      <c r="AD985" s="91"/>
      <c r="AE985" s="91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  <c r="BN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91"/>
      <c r="Z986" s="16"/>
      <c r="AA986" s="16"/>
      <c r="AB986" s="16"/>
      <c r="AC986" s="91"/>
      <c r="AD986" s="91"/>
      <c r="AE986" s="91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91"/>
      <c r="Z987" s="16"/>
      <c r="AA987" s="16"/>
      <c r="AB987" s="16"/>
      <c r="AC987" s="91"/>
      <c r="AD987" s="91"/>
      <c r="AE987" s="91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91"/>
      <c r="Z988" s="16"/>
      <c r="AA988" s="16"/>
      <c r="AB988" s="16"/>
      <c r="AC988" s="91"/>
      <c r="AD988" s="91"/>
      <c r="AE988" s="91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91"/>
      <c r="Z989" s="16"/>
      <c r="AA989" s="16"/>
      <c r="AB989" s="16"/>
      <c r="AC989" s="91"/>
      <c r="AD989" s="91"/>
      <c r="AE989" s="91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91"/>
      <c r="Z990" s="16"/>
      <c r="AA990" s="16"/>
      <c r="AB990" s="16"/>
      <c r="AC990" s="91"/>
      <c r="AD990" s="91"/>
      <c r="AE990" s="91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91"/>
      <c r="Z991" s="16"/>
      <c r="AA991" s="16"/>
      <c r="AB991" s="16"/>
      <c r="AC991" s="91"/>
      <c r="AD991" s="91"/>
      <c r="AE991" s="91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91"/>
      <c r="Z992" s="16"/>
      <c r="AA992" s="16"/>
      <c r="AB992" s="16"/>
      <c r="AC992" s="91"/>
      <c r="AD992" s="91"/>
      <c r="AE992" s="91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91"/>
      <c r="Z993" s="16"/>
      <c r="AA993" s="16"/>
      <c r="AB993" s="16"/>
      <c r="AC993" s="91"/>
      <c r="AD993" s="91"/>
      <c r="AE993" s="91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91"/>
      <c r="Z994" s="16"/>
      <c r="AA994" s="16"/>
      <c r="AB994" s="16"/>
      <c r="AC994" s="91"/>
      <c r="AD994" s="91"/>
      <c r="AE994" s="91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91"/>
      <c r="Z995" s="16"/>
      <c r="AA995" s="16"/>
      <c r="AB995" s="16"/>
      <c r="AC995" s="91"/>
      <c r="AD995" s="91"/>
      <c r="AE995" s="91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91"/>
      <c r="Z996" s="16"/>
      <c r="AA996" s="16"/>
      <c r="AB996" s="16"/>
      <c r="AC996" s="91"/>
      <c r="AD996" s="91"/>
      <c r="AE996" s="91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91"/>
      <c r="Z997" s="16"/>
      <c r="AA997" s="16"/>
      <c r="AB997" s="16"/>
      <c r="AC997" s="91"/>
      <c r="AD997" s="91"/>
      <c r="AE997" s="91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91"/>
      <c r="Z998" s="16"/>
      <c r="AA998" s="16"/>
      <c r="AB998" s="16"/>
      <c r="AC998" s="91"/>
      <c r="AD998" s="91"/>
      <c r="AE998" s="91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91"/>
      <c r="Z999" s="16"/>
      <c r="AA999" s="16"/>
      <c r="AB999" s="16"/>
      <c r="AC999" s="91"/>
      <c r="AD999" s="91"/>
      <c r="AE999" s="91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  <c r="BN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91"/>
      <c r="Z1000" s="16"/>
      <c r="AA1000" s="16"/>
      <c r="AB1000" s="16"/>
      <c r="AC1000" s="91"/>
      <c r="AD1000" s="91"/>
      <c r="AE1000" s="91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  <c r="BI1000" s="16"/>
      <c r="BJ1000" s="16"/>
      <c r="BK1000" s="16"/>
      <c r="BL1000" s="16"/>
      <c r="BM1000" s="16"/>
      <c r="BN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91"/>
      <c r="Z1001" s="16"/>
      <c r="AA1001" s="16"/>
      <c r="AB1001" s="16"/>
      <c r="AC1001" s="91"/>
      <c r="AD1001" s="91"/>
      <c r="AE1001" s="91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  <c r="BB1001" s="16"/>
      <c r="BC1001" s="16"/>
      <c r="BD1001" s="16"/>
      <c r="BE1001" s="16"/>
      <c r="BF1001" s="16"/>
      <c r="BG1001" s="16"/>
      <c r="BH1001" s="16"/>
      <c r="BI1001" s="16"/>
      <c r="BJ1001" s="16"/>
      <c r="BK1001" s="16"/>
      <c r="BL1001" s="16"/>
      <c r="BM1001" s="16"/>
      <c r="BN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91"/>
      <c r="Z1002" s="16"/>
      <c r="AA1002" s="16"/>
      <c r="AB1002" s="16"/>
      <c r="AC1002" s="91"/>
      <c r="AD1002" s="91"/>
      <c r="AE1002" s="91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s="16"/>
      <c r="BG1002" s="16"/>
      <c r="BH1002" s="16"/>
      <c r="BI1002" s="16"/>
      <c r="BJ1002" s="16"/>
      <c r="BK1002" s="16"/>
      <c r="BL1002" s="16"/>
      <c r="BM1002" s="16"/>
      <c r="BN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91"/>
      <c r="Z1003" s="16"/>
      <c r="AA1003" s="16"/>
      <c r="AB1003" s="16"/>
      <c r="AC1003" s="91"/>
      <c r="AD1003" s="91"/>
      <c r="AE1003" s="91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s="16"/>
      <c r="BG1003" s="16"/>
      <c r="BH1003" s="16"/>
      <c r="BI1003" s="16"/>
      <c r="BJ1003" s="16"/>
      <c r="BK1003" s="16"/>
      <c r="BL1003" s="16"/>
      <c r="BM1003" s="16"/>
      <c r="BN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91"/>
      <c r="Z1004" s="16"/>
      <c r="AA1004" s="16"/>
      <c r="AB1004" s="16"/>
      <c r="AC1004" s="91"/>
      <c r="AD1004" s="91"/>
      <c r="AE1004" s="91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6"/>
      <c r="BD1004" s="16"/>
      <c r="BE1004" s="16"/>
      <c r="BF1004" s="16"/>
      <c r="BG1004" s="16"/>
      <c r="BH1004" s="16"/>
      <c r="BI1004" s="16"/>
      <c r="BJ1004" s="16"/>
      <c r="BK1004" s="16"/>
      <c r="BL1004" s="16"/>
      <c r="BM1004" s="16"/>
      <c r="BN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91"/>
      <c r="Z1005" s="16"/>
      <c r="AA1005" s="16"/>
      <c r="AB1005" s="16"/>
      <c r="AC1005" s="91"/>
      <c r="AD1005" s="91"/>
      <c r="AE1005" s="91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6"/>
      <c r="BE1005" s="16"/>
      <c r="BF1005" s="16"/>
      <c r="BG1005" s="16"/>
      <c r="BH1005" s="16"/>
      <c r="BI1005" s="16"/>
      <c r="BJ1005" s="16"/>
      <c r="BK1005" s="16"/>
      <c r="BL1005" s="16"/>
      <c r="BM1005" s="16"/>
      <c r="BN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91"/>
      <c r="Z1006" s="16"/>
      <c r="AA1006" s="16"/>
      <c r="AB1006" s="16"/>
      <c r="AC1006" s="91"/>
      <c r="AD1006" s="91"/>
      <c r="AE1006" s="91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/>
      <c r="BA1006" s="16"/>
      <c r="BB1006" s="16"/>
      <c r="BC1006" s="16"/>
      <c r="BD1006" s="16"/>
      <c r="BE1006" s="16"/>
      <c r="BF1006" s="16"/>
      <c r="BG1006" s="16"/>
      <c r="BH1006" s="16"/>
      <c r="BI1006" s="16"/>
      <c r="BJ1006" s="16"/>
      <c r="BK1006" s="16"/>
      <c r="BL1006" s="16"/>
      <c r="BM1006" s="16"/>
      <c r="BN1006" s="16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91"/>
      <c r="Z1007" s="16"/>
      <c r="AA1007" s="16"/>
      <c r="AB1007" s="16"/>
      <c r="AC1007" s="91"/>
      <c r="AD1007" s="91"/>
      <c r="AE1007" s="91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  <c r="BB1007" s="16"/>
      <c r="BC1007" s="16"/>
      <c r="BD1007" s="16"/>
      <c r="BE1007" s="16"/>
      <c r="BF1007" s="16"/>
      <c r="BG1007" s="16"/>
      <c r="BH1007" s="16"/>
      <c r="BI1007" s="16"/>
      <c r="BJ1007" s="16"/>
      <c r="BK1007" s="16"/>
      <c r="BL1007" s="16"/>
      <c r="BM1007" s="16"/>
      <c r="BN1007" s="16"/>
    </row>
  </sheetData>
  <conditionalFormatting sqref="D2:H32 J2:Y32 AE2:AE32">
    <cfRule type="expression" dxfId="7" priority="1">
      <formula> SUM($N2:$Y2) &gt; 0</formula>
    </cfRule>
  </conditionalFormatting>
  <conditionalFormatting sqref="AD2:AD32">
    <cfRule type="colorScale" priority="2">
      <colorScale>
        <cfvo type="min"/>
        <cfvo type="max"/>
        <color rgb="FF999999"/>
        <color rgb="FFFFFFFF"/>
      </colorScale>
    </cfRule>
  </conditionalFormatting>
  <printOptions gridLines="1" horizontalCentered="1"/>
  <pageMargins bottom="0.75" footer="0.0" header="0.0" left="0.25" right="0.25" top="0.75"/>
  <pageSetup scale="5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9.88"/>
    <col customWidth="1" min="2" max="2" width="5.75"/>
    <col customWidth="1" min="3" max="3" width="7.63"/>
    <col customWidth="1" min="4" max="4" width="11.38"/>
    <col customWidth="1" min="5" max="5" width="8.38"/>
    <col customWidth="1" min="6" max="6" width="8.13"/>
    <col customWidth="1" hidden="1" min="7" max="7" width="8.5"/>
    <col customWidth="1" min="8" max="8" width="8.0"/>
    <col customWidth="1" min="9" max="9" width="7.25"/>
    <col customWidth="1" min="10" max="10" width="8.0"/>
    <col customWidth="1" min="11" max="11" width="7.5"/>
    <col customWidth="1" min="12" max="12" width="7.75"/>
    <col customWidth="1" min="13" max="13" width="26.25"/>
    <col customWidth="1" min="14" max="15" width="8.0"/>
    <col customWidth="1" min="16" max="16" width="9.38"/>
    <col customWidth="1" min="17" max="17" width="9.0"/>
    <col customWidth="1" min="18" max="19" width="8.0"/>
    <col customWidth="1" min="20" max="20" width="8.75"/>
    <col customWidth="1" min="21" max="21" width="9.5"/>
    <col customWidth="1" min="22" max="22" width="9.13"/>
    <col customWidth="1" min="23" max="23" width="8.63"/>
    <col customWidth="1" min="24" max="24" width="10.0"/>
    <col customWidth="1" min="25" max="26" width="9.75"/>
    <col customWidth="1" min="27" max="27" width="8.88"/>
    <col customWidth="1" min="28" max="29" width="13.13"/>
    <col customWidth="1" hidden="1" min="30" max="30" width="7.63"/>
    <col customWidth="1" min="31" max="31" width="60.5"/>
  </cols>
  <sheetData>
    <row r="1">
      <c r="A1" s="155" t="s">
        <v>74</v>
      </c>
      <c r="B1" s="155" t="s">
        <v>1</v>
      </c>
      <c r="C1" s="155" t="s">
        <v>2</v>
      </c>
      <c r="D1" s="155" t="s">
        <v>3</v>
      </c>
      <c r="E1" s="156" t="s">
        <v>4</v>
      </c>
      <c r="F1" s="155" t="s">
        <v>5</v>
      </c>
      <c r="G1" s="155" t="s">
        <v>113</v>
      </c>
      <c r="H1" s="155" t="s">
        <v>7</v>
      </c>
      <c r="I1" s="155" t="s">
        <v>8</v>
      </c>
      <c r="J1" s="156" t="s">
        <v>9</v>
      </c>
      <c r="K1" s="156" t="s">
        <v>10</v>
      </c>
      <c r="L1" s="156" t="s">
        <v>11</v>
      </c>
      <c r="M1" s="155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114</v>
      </c>
      <c r="S1" s="156" t="s">
        <v>115</v>
      </c>
      <c r="T1" s="156" t="s">
        <v>19</v>
      </c>
      <c r="U1" s="156" t="s">
        <v>20</v>
      </c>
      <c r="V1" s="156" t="s">
        <v>21</v>
      </c>
      <c r="W1" s="156" t="s">
        <v>116</v>
      </c>
      <c r="X1" s="156" t="s">
        <v>117</v>
      </c>
      <c r="Y1" s="156" t="s">
        <v>118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7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  <c r="BI1" s="158"/>
      <c r="BJ1" s="158"/>
      <c r="BK1" s="158"/>
      <c r="BL1" s="158"/>
      <c r="BM1" s="158"/>
      <c r="BN1" s="158"/>
    </row>
    <row r="2">
      <c r="A2" s="26">
        <v>43405.0</v>
      </c>
      <c r="B2" s="159">
        <v>1757.0</v>
      </c>
      <c r="C2" s="159">
        <v>1828.0</v>
      </c>
      <c r="D2" s="160" t="str">
        <f t="shared" ref="D2:D32" si="1">choose(weekday(A2),"Fred/Phil", "Jane/Murr", "Tom","Sue/Anne","Shawn/Orems","Jeff", "Rob")</f>
        <v>Shawn/Orems</v>
      </c>
      <c r="E2" s="161"/>
      <c r="F2" s="162"/>
      <c r="G2" s="163">
        <v>43405.0</v>
      </c>
      <c r="H2" s="162"/>
      <c r="I2" s="11">
        <f t="shared" ref="I2:I23" si="2">iferror(24*( DATEDIF(A2,G2,"D")+TIMEVALUE(H2)-TIMEVALUE(F2)),0)</f>
        <v>0</v>
      </c>
      <c r="J2" s="164"/>
      <c r="K2" s="50"/>
      <c r="L2" s="50"/>
      <c r="M2" s="165"/>
      <c r="N2" s="165">
        <v>0.0</v>
      </c>
      <c r="O2" s="165">
        <v>0.0</v>
      </c>
      <c r="P2" s="165">
        <v>0.0</v>
      </c>
      <c r="Q2" s="165">
        <v>0.0</v>
      </c>
      <c r="R2" s="165">
        <v>0.0</v>
      </c>
      <c r="S2" s="165">
        <v>0.0</v>
      </c>
      <c r="T2" s="165">
        <v>0.0</v>
      </c>
      <c r="U2" s="165">
        <v>0.0</v>
      </c>
      <c r="V2" s="165">
        <v>0.0</v>
      </c>
      <c r="W2" s="165">
        <v>0.0</v>
      </c>
      <c r="X2" s="165">
        <v>0.0</v>
      </c>
      <c r="Y2" s="165">
        <v>0.0</v>
      </c>
      <c r="Z2" s="166">
        <f t="shared" ref="Z2:Z23" si="3">sum(N2:Q2)</f>
        <v>0</v>
      </c>
      <c r="AA2" s="166">
        <f t="shared" ref="AA2:AA23" si="4">sum(R2:V2)</f>
        <v>0</v>
      </c>
      <c r="AB2" s="167">
        <f t="shared" ref="AB2:AB23" si="5">sum(N2:O2)</f>
        <v>0</v>
      </c>
      <c r="AC2" s="167">
        <f t="shared" ref="AC2:AC23" si="6">sum(R2:S2,V2)</f>
        <v>0</v>
      </c>
      <c r="AD2" s="15">
        <v>0.43</v>
      </c>
      <c r="AE2" s="168"/>
      <c r="AF2" s="16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</row>
    <row r="3">
      <c r="A3" s="26">
        <v>43406.0</v>
      </c>
      <c r="B3" s="159">
        <v>1756.0</v>
      </c>
      <c r="C3" s="159">
        <v>1827.0</v>
      </c>
      <c r="D3" s="160" t="str">
        <f t="shared" si="1"/>
        <v>Jeff</v>
      </c>
      <c r="E3" s="169" t="s">
        <v>33</v>
      </c>
      <c r="F3" s="170">
        <v>0.8125</v>
      </c>
      <c r="G3" s="171">
        <v>43406.0</v>
      </c>
      <c r="H3" s="170">
        <v>0.8125</v>
      </c>
      <c r="I3" s="11">
        <f t="shared" si="2"/>
        <v>0</v>
      </c>
      <c r="J3" s="172">
        <v>0.0</v>
      </c>
      <c r="K3" s="160">
        <v>60.0</v>
      </c>
      <c r="L3" s="160">
        <v>60.0</v>
      </c>
      <c r="M3" s="160" t="s">
        <v>119</v>
      </c>
      <c r="N3" s="160">
        <v>0.0</v>
      </c>
      <c r="O3" s="160">
        <v>0.0</v>
      </c>
      <c r="P3" s="160">
        <v>0.0</v>
      </c>
      <c r="Q3" s="160">
        <v>0.0</v>
      </c>
      <c r="R3" s="160">
        <v>0.0</v>
      </c>
      <c r="S3" s="160">
        <v>0.0</v>
      </c>
      <c r="T3" s="160">
        <v>0.0</v>
      </c>
      <c r="U3" s="160">
        <v>0.0</v>
      </c>
      <c r="V3" s="160">
        <v>0.0</v>
      </c>
      <c r="W3" s="160">
        <v>0.0</v>
      </c>
      <c r="X3" s="160">
        <v>0.0</v>
      </c>
      <c r="Y3" s="160">
        <v>0.0</v>
      </c>
      <c r="Z3" s="166">
        <f t="shared" si="3"/>
        <v>0</v>
      </c>
      <c r="AA3" s="166">
        <f t="shared" si="4"/>
        <v>0</v>
      </c>
      <c r="AB3" s="167">
        <f t="shared" si="5"/>
        <v>0</v>
      </c>
      <c r="AC3" s="167">
        <f t="shared" si="6"/>
        <v>0</v>
      </c>
      <c r="AD3" s="15">
        <v>0.32</v>
      </c>
      <c r="AE3" s="173" t="s">
        <v>120</v>
      </c>
      <c r="AF3" s="22"/>
      <c r="AG3" s="174"/>
      <c r="AH3" s="174"/>
      <c r="AI3" s="174"/>
      <c r="AJ3" s="174"/>
      <c r="AK3" s="174"/>
      <c r="AL3" s="174"/>
      <c r="AM3" s="174"/>
      <c r="AN3" s="174"/>
      <c r="AO3" s="174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174"/>
      <c r="BA3" s="174"/>
      <c r="BB3" s="174"/>
      <c r="BC3" s="174"/>
      <c r="BD3" s="174"/>
      <c r="BE3" s="174"/>
      <c r="BF3" s="174"/>
      <c r="BG3" s="174"/>
      <c r="BH3" s="174"/>
      <c r="BI3" s="174"/>
      <c r="BJ3" s="174"/>
      <c r="BK3" s="174"/>
      <c r="BL3" s="174"/>
      <c r="BM3" s="174"/>
      <c r="BN3" s="174"/>
    </row>
    <row r="4">
      <c r="A4" s="23">
        <v>43407.0</v>
      </c>
      <c r="B4" s="159">
        <v>1755.0</v>
      </c>
      <c r="C4" s="159">
        <v>1826.0</v>
      </c>
      <c r="D4" s="160" t="str">
        <f t="shared" si="1"/>
        <v>Rob</v>
      </c>
      <c r="E4" s="161"/>
      <c r="F4" s="175"/>
      <c r="G4" s="163">
        <v>43407.0</v>
      </c>
      <c r="H4" s="175"/>
      <c r="I4" s="11">
        <f t="shared" si="2"/>
        <v>0</v>
      </c>
      <c r="J4" s="164"/>
      <c r="K4" s="50"/>
      <c r="L4" s="50"/>
      <c r="M4" s="165"/>
      <c r="N4" s="165">
        <v>0.0</v>
      </c>
      <c r="O4" s="165">
        <v>0.0</v>
      </c>
      <c r="P4" s="165">
        <v>0.0</v>
      </c>
      <c r="Q4" s="165">
        <v>0.0</v>
      </c>
      <c r="R4" s="165">
        <v>0.0</v>
      </c>
      <c r="S4" s="165">
        <v>0.0</v>
      </c>
      <c r="T4" s="165">
        <v>0.0</v>
      </c>
      <c r="U4" s="165">
        <v>0.0</v>
      </c>
      <c r="V4" s="165">
        <v>0.0</v>
      </c>
      <c r="W4" s="165">
        <v>0.0</v>
      </c>
      <c r="X4" s="165">
        <v>0.0</v>
      </c>
      <c r="Y4" s="165">
        <v>0.0</v>
      </c>
      <c r="Z4" s="166">
        <f t="shared" si="3"/>
        <v>0</v>
      </c>
      <c r="AA4" s="166">
        <f t="shared" si="4"/>
        <v>0</v>
      </c>
      <c r="AB4" s="167">
        <f t="shared" si="5"/>
        <v>0</v>
      </c>
      <c r="AC4" s="167">
        <f t="shared" si="6"/>
        <v>0</v>
      </c>
      <c r="AD4" s="15">
        <v>0.22</v>
      </c>
      <c r="AE4" s="168"/>
      <c r="AF4" s="16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</row>
    <row r="5">
      <c r="A5" s="23">
        <v>43408.0</v>
      </c>
      <c r="B5">
        <v>1653.0</v>
      </c>
      <c r="C5">
        <v>1724.0</v>
      </c>
      <c r="D5" s="160" t="str">
        <f t="shared" si="1"/>
        <v>Fred/Phil</v>
      </c>
      <c r="E5" s="169"/>
      <c r="F5" s="176"/>
      <c r="G5" s="171">
        <v>43408.0</v>
      </c>
      <c r="H5" s="176"/>
      <c r="I5" s="11">
        <f t="shared" si="2"/>
        <v>0</v>
      </c>
      <c r="J5" s="172"/>
      <c r="K5" s="174"/>
      <c r="L5" s="174"/>
      <c r="M5" s="160"/>
      <c r="N5" s="160">
        <v>0.0</v>
      </c>
      <c r="O5" s="160">
        <v>0.0</v>
      </c>
      <c r="P5" s="160">
        <v>0.0</v>
      </c>
      <c r="Q5" s="160">
        <v>0.0</v>
      </c>
      <c r="R5" s="160">
        <v>0.0</v>
      </c>
      <c r="S5" s="160">
        <v>0.0</v>
      </c>
      <c r="T5" s="160">
        <v>0.0</v>
      </c>
      <c r="U5" s="160">
        <v>0.0</v>
      </c>
      <c r="V5" s="160">
        <v>0.0</v>
      </c>
      <c r="W5" s="160">
        <v>0.0</v>
      </c>
      <c r="X5" s="160">
        <v>0.0</v>
      </c>
      <c r="Y5" s="160">
        <v>0.0</v>
      </c>
      <c r="Z5" s="166">
        <f t="shared" si="3"/>
        <v>0</v>
      </c>
      <c r="AA5" s="166">
        <f t="shared" si="4"/>
        <v>0</v>
      </c>
      <c r="AB5" s="167">
        <f t="shared" si="5"/>
        <v>0</v>
      </c>
      <c r="AC5" s="167">
        <f t="shared" si="6"/>
        <v>0</v>
      </c>
      <c r="AD5" s="15">
        <v>0.13</v>
      </c>
      <c r="AE5" s="177"/>
      <c r="AF5" s="22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  <c r="BF5" s="174"/>
      <c r="BG5" s="174"/>
      <c r="BH5" s="174"/>
      <c r="BI5" s="174"/>
      <c r="BJ5" s="174"/>
      <c r="BK5" s="174"/>
      <c r="BL5" s="174"/>
      <c r="BM5" s="174"/>
      <c r="BN5" s="174"/>
    </row>
    <row r="6">
      <c r="A6" s="23">
        <v>43409.0</v>
      </c>
      <c r="B6">
        <v>1652.0</v>
      </c>
      <c r="C6">
        <v>1723.0</v>
      </c>
      <c r="D6" s="160" t="str">
        <f t="shared" si="1"/>
        <v>Jane/Murr</v>
      </c>
      <c r="E6" s="161" t="s">
        <v>33</v>
      </c>
      <c r="F6" s="178">
        <v>0.7291666666666666</v>
      </c>
      <c r="G6" s="163">
        <v>43409.0</v>
      </c>
      <c r="H6" s="175"/>
      <c r="I6" s="11">
        <f t="shared" si="2"/>
        <v>0</v>
      </c>
      <c r="J6" s="164"/>
      <c r="K6" s="165">
        <v>47.0</v>
      </c>
      <c r="L6" s="165">
        <v>48.0</v>
      </c>
      <c r="M6" s="165" t="s">
        <v>35</v>
      </c>
      <c r="N6" s="165">
        <v>0.0</v>
      </c>
      <c r="O6" s="165">
        <v>0.0</v>
      </c>
      <c r="P6" s="165">
        <v>0.0</v>
      </c>
      <c r="Q6" s="165">
        <v>0.0</v>
      </c>
      <c r="R6" s="165">
        <v>0.0</v>
      </c>
      <c r="S6" s="165">
        <v>0.0</v>
      </c>
      <c r="T6" s="165">
        <v>0.0</v>
      </c>
      <c r="U6" s="165">
        <v>0.0</v>
      </c>
      <c r="V6" s="165">
        <v>0.0</v>
      </c>
      <c r="W6" s="165">
        <v>0.0</v>
      </c>
      <c r="X6" s="165">
        <v>0.0</v>
      </c>
      <c r="Y6" s="165">
        <v>0.0</v>
      </c>
      <c r="Z6" s="166">
        <f t="shared" si="3"/>
        <v>0</v>
      </c>
      <c r="AA6" s="166">
        <f t="shared" si="4"/>
        <v>0</v>
      </c>
      <c r="AB6" s="167">
        <f t="shared" si="5"/>
        <v>0</v>
      </c>
      <c r="AC6" s="167">
        <f t="shared" si="6"/>
        <v>0</v>
      </c>
      <c r="AD6" s="15">
        <v>0.07</v>
      </c>
      <c r="AE6" s="168"/>
      <c r="AF6" s="16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</row>
    <row r="7">
      <c r="A7" s="25">
        <v>43410.0</v>
      </c>
      <c r="B7">
        <v>1651.0</v>
      </c>
      <c r="C7">
        <v>1722.0</v>
      </c>
      <c r="D7" s="160" t="str">
        <f t="shared" si="1"/>
        <v>Tom</v>
      </c>
      <c r="E7" s="169"/>
      <c r="F7" s="176"/>
      <c r="G7" s="171">
        <v>43410.0</v>
      </c>
      <c r="H7" s="176"/>
      <c r="I7" s="11">
        <f t="shared" si="2"/>
        <v>0</v>
      </c>
      <c r="J7" s="172"/>
      <c r="K7" s="160"/>
      <c r="L7" s="160"/>
      <c r="M7" s="160"/>
      <c r="N7" s="160">
        <v>0.0</v>
      </c>
      <c r="O7" s="160">
        <v>0.0</v>
      </c>
      <c r="P7" s="160">
        <v>0.0</v>
      </c>
      <c r="Q7" s="160">
        <v>0.0</v>
      </c>
      <c r="R7" s="160">
        <v>0.0</v>
      </c>
      <c r="S7" s="160">
        <v>0.0</v>
      </c>
      <c r="T7" s="160">
        <v>0.0</v>
      </c>
      <c r="U7" s="160">
        <v>0.0</v>
      </c>
      <c r="V7" s="160">
        <v>0.0</v>
      </c>
      <c r="W7" s="160">
        <v>0.0</v>
      </c>
      <c r="X7" s="160">
        <v>0.0</v>
      </c>
      <c r="Y7" s="160">
        <v>0.0</v>
      </c>
      <c r="Z7" s="166">
        <f t="shared" si="3"/>
        <v>0</v>
      </c>
      <c r="AA7" s="166">
        <f t="shared" si="4"/>
        <v>0</v>
      </c>
      <c r="AB7" s="167">
        <f t="shared" si="5"/>
        <v>0</v>
      </c>
      <c r="AC7" s="167">
        <f t="shared" si="6"/>
        <v>0</v>
      </c>
      <c r="AD7" s="15">
        <v>0.02</v>
      </c>
      <c r="AE7" s="173"/>
      <c r="AF7" s="179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74"/>
      <c r="BL7" s="174"/>
      <c r="BM7" s="174"/>
      <c r="BN7" s="174"/>
    </row>
    <row r="8">
      <c r="A8" s="25">
        <v>43411.0</v>
      </c>
      <c r="B8">
        <v>1649.0</v>
      </c>
      <c r="C8">
        <v>1721.0</v>
      </c>
      <c r="D8" s="160" t="str">
        <f t="shared" si="1"/>
        <v>Sue/Anne</v>
      </c>
      <c r="E8" s="161"/>
      <c r="F8" s="178"/>
      <c r="G8" s="163">
        <v>43411.0</v>
      </c>
      <c r="H8" s="178"/>
      <c r="I8" s="11">
        <f t="shared" si="2"/>
        <v>0</v>
      </c>
      <c r="J8" s="164"/>
      <c r="K8" s="165"/>
      <c r="L8" s="165"/>
      <c r="M8" s="165"/>
      <c r="N8" s="165">
        <v>0.0</v>
      </c>
      <c r="O8" s="165">
        <v>0.0</v>
      </c>
      <c r="P8" s="165">
        <v>0.0</v>
      </c>
      <c r="Q8" s="165">
        <v>0.0</v>
      </c>
      <c r="R8" s="165">
        <v>0.0</v>
      </c>
      <c r="S8" s="165">
        <v>0.0</v>
      </c>
      <c r="T8" s="165">
        <v>0.0</v>
      </c>
      <c r="U8" s="165">
        <v>0.0</v>
      </c>
      <c r="V8" s="165">
        <v>0.0</v>
      </c>
      <c r="W8" s="165">
        <v>0.0</v>
      </c>
      <c r="X8" s="165">
        <v>0.0</v>
      </c>
      <c r="Y8" s="165">
        <v>0.0</v>
      </c>
      <c r="Z8" s="166">
        <f t="shared" si="3"/>
        <v>0</v>
      </c>
      <c r="AA8" s="166">
        <f t="shared" si="4"/>
        <v>0</v>
      </c>
      <c r="AB8" s="167">
        <f t="shared" si="5"/>
        <v>0</v>
      </c>
      <c r="AC8" s="167">
        <f t="shared" si="6"/>
        <v>0</v>
      </c>
      <c r="AD8" s="15">
        <v>0.0</v>
      </c>
      <c r="AE8" s="180"/>
      <c r="AF8" s="14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</row>
    <row r="9">
      <c r="A9" s="25">
        <v>43412.0</v>
      </c>
      <c r="B9">
        <v>1648.0</v>
      </c>
      <c r="C9">
        <v>1720.0</v>
      </c>
      <c r="D9" s="160" t="str">
        <f t="shared" si="1"/>
        <v>Shawn/Orems</v>
      </c>
      <c r="E9" s="169" t="s">
        <v>33</v>
      </c>
      <c r="F9" s="181"/>
      <c r="G9" s="171">
        <v>43412.0</v>
      </c>
      <c r="H9" s="181"/>
      <c r="I9" s="11">
        <f t="shared" si="2"/>
        <v>0</v>
      </c>
      <c r="J9" s="172"/>
      <c r="K9" s="160"/>
      <c r="L9" s="160"/>
      <c r="M9" s="160"/>
      <c r="N9" s="160">
        <v>0.0</v>
      </c>
      <c r="O9" s="160">
        <v>0.0</v>
      </c>
      <c r="P9" s="160">
        <v>0.0</v>
      </c>
      <c r="Q9" s="160">
        <v>0.0</v>
      </c>
      <c r="R9" s="160">
        <v>0.0</v>
      </c>
      <c r="S9" s="160">
        <v>0.0</v>
      </c>
      <c r="T9" s="160">
        <v>0.0</v>
      </c>
      <c r="U9" s="160">
        <v>0.0</v>
      </c>
      <c r="V9" s="160">
        <v>0.0</v>
      </c>
      <c r="W9" s="160">
        <v>0.0</v>
      </c>
      <c r="X9" s="160">
        <v>0.0</v>
      </c>
      <c r="Y9" s="160">
        <v>0.0</v>
      </c>
      <c r="Z9" s="166">
        <f t="shared" si="3"/>
        <v>0</v>
      </c>
      <c r="AA9" s="166">
        <f t="shared" si="4"/>
        <v>0</v>
      </c>
      <c r="AB9" s="167">
        <f t="shared" si="5"/>
        <v>0</v>
      </c>
      <c r="AC9" s="167">
        <f t="shared" si="6"/>
        <v>0</v>
      </c>
      <c r="AD9" s="15">
        <v>0.01</v>
      </c>
      <c r="AE9" s="173"/>
      <c r="AF9" s="179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174"/>
      <c r="BH9" s="174"/>
      <c r="BI9" s="174"/>
      <c r="BJ9" s="174"/>
      <c r="BK9" s="174"/>
      <c r="BL9" s="174"/>
      <c r="BM9" s="174"/>
      <c r="BN9" s="174"/>
    </row>
    <row r="10">
      <c r="A10" s="23">
        <v>43413.0</v>
      </c>
      <c r="B10">
        <v>1647.0</v>
      </c>
      <c r="C10">
        <v>1718.0</v>
      </c>
      <c r="D10" s="160" t="str">
        <f t="shared" si="1"/>
        <v>Jeff</v>
      </c>
      <c r="E10" s="161" t="s">
        <v>40</v>
      </c>
      <c r="F10" s="162">
        <v>0.7708333333333334</v>
      </c>
      <c r="G10" s="163">
        <v>43413.0</v>
      </c>
      <c r="H10" s="162">
        <v>0.7743055555555556</v>
      </c>
      <c r="I10" s="11">
        <f t="shared" si="2"/>
        <v>0.08333333333</v>
      </c>
      <c r="J10" s="164"/>
      <c r="K10" s="165">
        <v>47.0</v>
      </c>
      <c r="L10" s="165">
        <v>47.0</v>
      </c>
      <c r="M10" s="165" t="s">
        <v>121</v>
      </c>
      <c r="N10" s="165">
        <v>0.0</v>
      </c>
      <c r="O10" s="165">
        <v>0.0</v>
      </c>
      <c r="P10" s="165">
        <v>0.0</v>
      </c>
      <c r="Q10" s="165">
        <v>0.0</v>
      </c>
      <c r="R10" s="165">
        <v>0.0</v>
      </c>
      <c r="S10" s="165">
        <v>0.0</v>
      </c>
      <c r="T10" s="165">
        <v>0.0</v>
      </c>
      <c r="U10" s="165">
        <v>0.0</v>
      </c>
      <c r="V10" s="165">
        <v>0.0</v>
      </c>
      <c r="W10" s="165">
        <v>0.0</v>
      </c>
      <c r="X10" s="165">
        <v>0.0</v>
      </c>
      <c r="Y10" s="165">
        <v>0.0</v>
      </c>
      <c r="Z10" s="166">
        <f t="shared" si="3"/>
        <v>0</v>
      </c>
      <c r="AA10" s="166">
        <f t="shared" si="4"/>
        <v>0</v>
      </c>
      <c r="AB10" s="167">
        <f t="shared" si="5"/>
        <v>0</v>
      </c>
      <c r="AC10" s="167">
        <f t="shared" si="6"/>
        <v>0</v>
      </c>
      <c r="AD10" s="15">
        <v>0.03</v>
      </c>
      <c r="AE10" s="180"/>
      <c r="AF10" s="14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</row>
    <row r="11">
      <c r="A11" s="23">
        <v>43414.0</v>
      </c>
      <c r="B11">
        <v>1646.0</v>
      </c>
      <c r="C11">
        <v>1717.0</v>
      </c>
      <c r="D11" s="160" t="str">
        <f t="shared" si="1"/>
        <v>Rob</v>
      </c>
      <c r="E11" s="169"/>
      <c r="F11" s="181"/>
      <c r="G11" s="171">
        <v>43414.0</v>
      </c>
      <c r="H11" s="181"/>
      <c r="I11" s="11">
        <f t="shared" si="2"/>
        <v>0</v>
      </c>
      <c r="J11" s="172"/>
      <c r="K11" s="160"/>
      <c r="L11" s="160"/>
      <c r="M11" s="160"/>
      <c r="N11" s="160">
        <v>0.0</v>
      </c>
      <c r="O11" s="160">
        <v>0.0</v>
      </c>
      <c r="P11" s="160">
        <v>0.0</v>
      </c>
      <c r="Q11" s="160">
        <v>0.0</v>
      </c>
      <c r="R11" s="160">
        <v>0.0</v>
      </c>
      <c r="S11" s="160">
        <v>0.0</v>
      </c>
      <c r="T11" s="160">
        <v>0.0</v>
      </c>
      <c r="U11" s="160">
        <v>0.0</v>
      </c>
      <c r="V11" s="160">
        <v>0.0</v>
      </c>
      <c r="W11" s="160">
        <v>0.0</v>
      </c>
      <c r="X11" s="160">
        <v>0.0</v>
      </c>
      <c r="Y11" s="160">
        <v>0.0</v>
      </c>
      <c r="Z11" s="166">
        <f t="shared" si="3"/>
        <v>0</v>
      </c>
      <c r="AA11" s="166">
        <f t="shared" si="4"/>
        <v>0</v>
      </c>
      <c r="AB11" s="167">
        <f t="shared" si="5"/>
        <v>0</v>
      </c>
      <c r="AC11" s="167">
        <f t="shared" si="6"/>
        <v>0</v>
      </c>
      <c r="AD11" s="15">
        <v>0.08</v>
      </c>
      <c r="AE11" s="173"/>
      <c r="AF11" s="179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  <c r="BI11" s="174"/>
      <c r="BJ11" s="174"/>
      <c r="BK11" s="174"/>
      <c r="BL11" s="174"/>
      <c r="BM11" s="174"/>
      <c r="BN11" s="174"/>
    </row>
    <row r="12">
      <c r="A12" s="23">
        <v>43415.0</v>
      </c>
      <c r="B12">
        <v>1644.0</v>
      </c>
      <c r="C12">
        <v>1716.0</v>
      </c>
      <c r="D12" s="160" t="str">
        <f t="shared" si="1"/>
        <v>Fred/Phil</v>
      </c>
      <c r="E12" s="161"/>
      <c r="F12" s="162"/>
      <c r="G12" s="163">
        <v>43415.0</v>
      </c>
      <c r="H12" s="162"/>
      <c r="I12" s="11">
        <f t="shared" si="2"/>
        <v>0</v>
      </c>
      <c r="J12" s="164"/>
      <c r="K12" s="165"/>
      <c r="L12" s="165"/>
      <c r="M12" s="165"/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5">
        <v>0.0</v>
      </c>
      <c r="X12" s="165">
        <v>0.0</v>
      </c>
      <c r="Y12" s="165">
        <v>0.0</v>
      </c>
      <c r="Z12" s="166">
        <f t="shared" si="3"/>
        <v>0</v>
      </c>
      <c r="AA12" s="166">
        <f t="shared" si="4"/>
        <v>0</v>
      </c>
      <c r="AB12" s="167">
        <f t="shared" si="5"/>
        <v>0</v>
      </c>
      <c r="AC12" s="167">
        <f t="shared" si="6"/>
        <v>0</v>
      </c>
      <c r="AD12" s="15">
        <v>0.14</v>
      </c>
      <c r="AE12" s="180"/>
      <c r="AF12" s="182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</row>
    <row r="13">
      <c r="A13" s="23">
        <v>43416.0</v>
      </c>
      <c r="B13">
        <v>1643.0</v>
      </c>
      <c r="C13">
        <v>1715.0</v>
      </c>
      <c r="D13" s="160" t="str">
        <f t="shared" si="1"/>
        <v>Jane/Murr</v>
      </c>
      <c r="E13" s="169" t="s">
        <v>33</v>
      </c>
      <c r="F13" s="183">
        <v>0.7291666666666666</v>
      </c>
      <c r="G13" s="171">
        <v>43416.0</v>
      </c>
      <c r="H13" s="183">
        <v>0.7291666666666666</v>
      </c>
      <c r="I13" s="11">
        <f t="shared" si="2"/>
        <v>0</v>
      </c>
      <c r="J13" s="172"/>
      <c r="K13" s="160">
        <v>48.0</v>
      </c>
      <c r="L13" s="160">
        <v>348.0</v>
      </c>
      <c r="M13" s="160" t="s">
        <v>122</v>
      </c>
      <c r="N13" s="160">
        <v>0.0</v>
      </c>
      <c r="O13" s="160">
        <v>0.0</v>
      </c>
      <c r="P13" s="160">
        <v>0.0</v>
      </c>
      <c r="Q13" s="160">
        <v>0.0</v>
      </c>
      <c r="R13" s="160">
        <v>0.0</v>
      </c>
      <c r="S13" s="160">
        <v>0.0</v>
      </c>
      <c r="T13" s="160">
        <v>0.0</v>
      </c>
      <c r="U13" s="160">
        <v>0.0</v>
      </c>
      <c r="V13" s="160">
        <v>0.0</v>
      </c>
      <c r="W13" s="160">
        <v>0.0</v>
      </c>
      <c r="X13" s="160">
        <v>0.0</v>
      </c>
      <c r="Y13" s="160">
        <v>0.0</v>
      </c>
      <c r="Z13" s="166">
        <f t="shared" si="3"/>
        <v>0</v>
      </c>
      <c r="AA13" s="166">
        <f t="shared" si="4"/>
        <v>0</v>
      </c>
      <c r="AB13" s="167">
        <f t="shared" si="5"/>
        <v>0</v>
      </c>
      <c r="AC13" s="167">
        <f t="shared" si="6"/>
        <v>0</v>
      </c>
      <c r="AD13" s="15">
        <v>0.21</v>
      </c>
      <c r="AE13" s="173"/>
      <c r="AF13" s="179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  <c r="AX13" s="174"/>
      <c r="AY13" s="174"/>
      <c r="AZ13" s="174"/>
      <c r="BA13" s="174"/>
      <c r="BB13" s="174"/>
      <c r="BC13" s="174"/>
      <c r="BD13" s="174"/>
      <c r="BE13" s="174"/>
      <c r="BF13" s="174"/>
      <c r="BG13" s="174"/>
      <c r="BH13" s="174"/>
      <c r="BI13" s="174"/>
      <c r="BJ13" s="174"/>
      <c r="BK13" s="174"/>
      <c r="BL13" s="174"/>
      <c r="BM13" s="174"/>
      <c r="BN13" s="174"/>
    </row>
    <row r="14">
      <c r="A14" s="26">
        <v>43417.0</v>
      </c>
      <c r="B14">
        <v>1642.0</v>
      </c>
      <c r="C14">
        <v>1714.0</v>
      </c>
      <c r="D14" s="160" t="str">
        <f t="shared" si="1"/>
        <v>Tom</v>
      </c>
      <c r="E14" s="161"/>
      <c r="F14" s="184"/>
      <c r="G14" s="163">
        <v>43417.0</v>
      </c>
      <c r="H14" s="162"/>
      <c r="I14" s="11">
        <f t="shared" si="2"/>
        <v>0</v>
      </c>
      <c r="J14" s="164"/>
      <c r="K14" s="165"/>
      <c r="L14" s="165"/>
      <c r="M14" s="165"/>
      <c r="N14" s="165">
        <v>0.0</v>
      </c>
      <c r="O14" s="165">
        <v>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5">
        <v>0.0</v>
      </c>
      <c r="X14" s="165">
        <v>0.0</v>
      </c>
      <c r="Y14" s="165">
        <v>0.0</v>
      </c>
      <c r="Z14" s="166">
        <f t="shared" si="3"/>
        <v>0</v>
      </c>
      <c r="AA14" s="166">
        <f t="shared" si="4"/>
        <v>0</v>
      </c>
      <c r="AB14" s="167">
        <f t="shared" si="5"/>
        <v>0</v>
      </c>
      <c r="AC14" s="167">
        <f t="shared" si="6"/>
        <v>0</v>
      </c>
      <c r="AD14" s="15">
        <v>0.29</v>
      </c>
      <c r="AE14" s="180"/>
      <c r="AF14" s="14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</row>
    <row r="15">
      <c r="A15" s="26">
        <v>43418.0</v>
      </c>
      <c r="B15">
        <v>1641.0</v>
      </c>
      <c r="C15">
        <v>1713.0</v>
      </c>
      <c r="D15" s="160" t="str">
        <f t="shared" si="1"/>
        <v>Sue/Anne</v>
      </c>
      <c r="E15" s="169"/>
      <c r="F15" s="183"/>
      <c r="G15" s="171">
        <v>43418.0</v>
      </c>
      <c r="H15" s="183"/>
      <c r="I15" s="11">
        <f t="shared" si="2"/>
        <v>0</v>
      </c>
      <c r="J15" s="181"/>
      <c r="K15" s="160"/>
      <c r="L15" s="160"/>
      <c r="M15" s="160"/>
      <c r="N15" s="160">
        <v>0.0</v>
      </c>
      <c r="O15" s="160">
        <v>0.0</v>
      </c>
      <c r="P15" s="160">
        <v>0.0</v>
      </c>
      <c r="Q15" s="160">
        <v>0.0</v>
      </c>
      <c r="R15" s="160">
        <v>0.0</v>
      </c>
      <c r="S15" s="160">
        <v>0.0</v>
      </c>
      <c r="T15" s="160">
        <v>0.0</v>
      </c>
      <c r="U15" s="160">
        <v>0.0</v>
      </c>
      <c r="V15" s="160">
        <v>0.0</v>
      </c>
      <c r="W15" s="160">
        <v>0.0</v>
      </c>
      <c r="X15" s="160">
        <v>0.0</v>
      </c>
      <c r="Y15" s="160">
        <v>0.0</v>
      </c>
      <c r="Z15" s="166">
        <f t="shared" si="3"/>
        <v>0</v>
      </c>
      <c r="AA15" s="166">
        <f t="shared" si="4"/>
        <v>0</v>
      </c>
      <c r="AB15" s="167">
        <f t="shared" si="5"/>
        <v>0</v>
      </c>
      <c r="AC15" s="167">
        <f t="shared" si="6"/>
        <v>0</v>
      </c>
      <c r="AD15" s="15">
        <v>0.38</v>
      </c>
      <c r="AE15" s="173"/>
      <c r="AF15" s="179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  <c r="BK15" s="174"/>
      <c r="BL15" s="174"/>
      <c r="BM15" s="174"/>
      <c r="BN15" s="174"/>
    </row>
    <row r="16">
      <c r="A16" s="26">
        <v>43419.0</v>
      </c>
      <c r="B16">
        <v>1640.0</v>
      </c>
      <c r="C16">
        <v>1712.0</v>
      </c>
      <c r="D16" s="160" t="str">
        <f t="shared" si="1"/>
        <v>Shawn/Orems</v>
      </c>
      <c r="E16" s="161" t="s">
        <v>33</v>
      </c>
      <c r="F16" s="162"/>
      <c r="G16" s="163">
        <v>43419.0</v>
      </c>
      <c r="H16" s="184"/>
      <c r="I16" s="11">
        <f t="shared" si="2"/>
        <v>0</v>
      </c>
      <c r="J16" s="162"/>
      <c r="K16" s="165"/>
      <c r="L16" s="165"/>
      <c r="M16" s="185"/>
      <c r="N16" s="165">
        <v>0.0</v>
      </c>
      <c r="O16" s="165">
        <v>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5">
        <v>0.0</v>
      </c>
      <c r="X16" s="165">
        <v>0.0</v>
      </c>
      <c r="Y16" s="165">
        <v>0.0</v>
      </c>
      <c r="Z16" s="166">
        <f t="shared" si="3"/>
        <v>0</v>
      </c>
      <c r="AA16" s="166">
        <f t="shared" si="4"/>
        <v>0</v>
      </c>
      <c r="AB16" s="167">
        <f t="shared" si="5"/>
        <v>0</v>
      </c>
      <c r="AC16" s="167">
        <f t="shared" si="6"/>
        <v>0</v>
      </c>
      <c r="AD16" s="15">
        <v>0.47</v>
      </c>
      <c r="AE16" s="180"/>
      <c r="AF16" s="14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</row>
    <row r="17">
      <c r="A17" s="26">
        <v>43420.0</v>
      </c>
      <c r="B17">
        <v>1639.0</v>
      </c>
      <c r="C17">
        <v>1711.0</v>
      </c>
      <c r="D17" s="160" t="str">
        <f t="shared" si="1"/>
        <v>Jeff</v>
      </c>
      <c r="E17" s="169" t="s">
        <v>33</v>
      </c>
      <c r="F17" s="183">
        <v>0.725</v>
      </c>
      <c r="G17" s="171">
        <v>43420.0</v>
      </c>
      <c r="H17" s="183">
        <v>0.725</v>
      </c>
      <c r="I17" s="11">
        <f t="shared" si="2"/>
        <v>0</v>
      </c>
      <c r="J17" s="181"/>
      <c r="K17" s="160">
        <v>54.0</v>
      </c>
      <c r="L17" s="160">
        <v>54.0</v>
      </c>
      <c r="M17" s="160" t="s">
        <v>123</v>
      </c>
      <c r="N17" s="160">
        <v>0.0</v>
      </c>
      <c r="O17" s="160">
        <v>0.0</v>
      </c>
      <c r="P17" s="160">
        <v>0.0</v>
      </c>
      <c r="Q17" s="160">
        <v>0.0</v>
      </c>
      <c r="R17" s="160">
        <v>0.0</v>
      </c>
      <c r="S17" s="160">
        <v>0.0</v>
      </c>
      <c r="T17" s="160">
        <v>0.0</v>
      </c>
      <c r="U17" s="160">
        <v>0.0</v>
      </c>
      <c r="V17" s="160">
        <v>0.0</v>
      </c>
      <c r="W17" s="160">
        <v>0.0</v>
      </c>
      <c r="X17" s="160">
        <v>0.0</v>
      </c>
      <c r="Y17" s="160">
        <v>0.0</v>
      </c>
      <c r="Z17" s="166">
        <f t="shared" si="3"/>
        <v>0</v>
      </c>
      <c r="AA17" s="166">
        <f t="shared" si="4"/>
        <v>0</v>
      </c>
      <c r="AB17" s="167">
        <f t="shared" si="5"/>
        <v>0</v>
      </c>
      <c r="AC17" s="167">
        <f t="shared" si="6"/>
        <v>0</v>
      </c>
      <c r="AD17" s="15">
        <v>0.57</v>
      </c>
      <c r="AE17" s="173"/>
      <c r="AF17" s="179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74"/>
      <c r="BB17" s="174"/>
      <c r="BC17" s="174"/>
      <c r="BD17" s="174"/>
      <c r="BE17" s="174"/>
      <c r="BF17" s="174"/>
      <c r="BG17" s="174"/>
      <c r="BH17" s="174"/>
      <c r="BI17" s="174"/>
      <c r="BJ17" s="174"/>
      <c r="BK17" s="174"/>
      <c r="BL17" s="174"/>
      <c r="BM17" s="174"/>
      <c r="BN17" s="174"/>
    </row>
    <row r="18">
      <c r="A18" s="26">
        <v>43421.0</v>
      </c>
      <c r="B18">
        <v>1638.0</v>
      </c>
      <c r="C18">
        <v>1710.0</v>
      </c>
      <c r="D18" s="160" t="str">
        <f t="shared" si="1"/>
        <v>Rob</v>
      </c>
      <c r="E18" s="161"/>
      <c r="F18" s="184"/>
      <c r="G18" s="163">
        <v>43421.0</v>
      </c>
      <c r="H18" s="184"/>
      <c r="I18" s="11">
        <f t="shared" si="2"/>
        <v>0</v>
      </c>
      <c r="J18" s="162"/>
      <c r="K18" s="165"/>
      <c r="L18" s="165"/>
      <c r="M18" s="165"/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5">
        <v>0.0</v>
      </c>
      <c r="X18" s="165">
        <v>0.0</v>
      </c>
      <c r="Y18" s="165">
        <v>0.0</v>
      </c>
      <c r="Z18" s="166">
        <f t="shared" si="3"/>
        <v>0</v>
      </c>
      <c r="AA18" s="166">
        <f t="shared" si="4"/>
        <v>0</v>
      </c>
      <c r="AB18" s="167">
        <f t="shared" si="5"/>
        <v>0</v>
      </c>
      <c r="AC18" s="167">
        <f t="shared" si="6"/>
        <v>0</v>
      </c>
      <c r="AD18" s="15">
        <v>0.66</v>
      </c>
      <c r="AE18" s="168"/>
      <c r="AF18" s="16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</row>
    <row r="19">
      <c r="A19" s="26">
        <v>43422.0</v>
      </c>
      <c r="B19">
        <v>1637.0</v>
      </c>
      <c r="C19">
        <v>1710.0</v>
      </c>
      <c r="D19" s="160" t="str">
        <f t="shared" si="1"/>
        <v>Fred/Phil</v>
      </c>
      <c r="E19" s="169"/>
      <c r="F19" s="183"/>
      <c r="G19" s="171">
        <v>43422.0</v>
      </c>
      <c r="H19" s="183"/>
      <c r="I19" s="11">
        <f t="shared" si="2"/>
        <v>0</v>
      </c>
      <c r="J19" s="181"/>
      <c r="K19" s="160"/>
      <c r="L19" s="160"/>
      <c r="M19" s="160"/>
      <c r="N19" s="160">
        <v>0.0</v>
      </c>
      <c r="O19" s="160">
        <v>0.0</v>
      </c>
      <c r="P19" s="160">
        <v>0.0</v>
      </c>
      <c r="Q19" s="160">
        <v>0.0</v>
      </c>
      <c r="R19" s="160">
        <v>0.0</v>
      </c>
      <c r="S19" s="160">
        <v>0.0</v>
      </c>
      <c r="T19" s="160">
        <v>0.0</v>
      </c>
      <c r="U19" s="160">
        <v>0.0</v>
      </c>
      <c r="V19" s="160">
        <v>0.0</v>
      </c>
      <c r="W19" s="160">
        <v>0.0</v>
      </c>
      <c r="X19" s="160">
        <v>0.0</v>
      </c>
      <c r="Y19" s="160">
        <v>0.0</v>
      </c>
      <c r="Z19" s="166">
        <f t="shared" si="3"/>
        <v>0</v>
      </c>
      <c r="AA19" s="166">
        <f t="shared" si="4"/>
        <v>0</v>
      </c>
      <c r="AB19" s="167">
        <f t="shared" si="5"/>
        <v>0</v>
      </c>
      <c r="AC19" s="167">
        <f t="shared" si="6"/>
        <v>0</v>
      </c>
      <c r="AD19" s="15">
        <v>0.75</v>
      </c>
      <c r="AE19" s="173"/>
      <c r="AF19" s="179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174"/>
      <c r="BB19" s="174"/>
      <c r="BC19" s="174"/>
      <c r="BD19" s="174"/>
      <c r="BE19" s="174"/>
      <c r="BF19" s="174"/>
      <c r="BG19" s="174"/>
      <c r="BH19" s="174"/>
      <c r="BI19" s="174"/>
      <c r="BJ19" s="174"/>
      <c r="BK19" s="174"/>
      <c r="BL19" s="174"/>
      <c r="BM19" s="174"/>
      <c r="BN19" s="174"/>
    </row>
    <row r="20">
      <c r="A20" s="27">
        <v>43423.0</v>
      </c>
      <c r="B20">
        <v>1636.0</v>
      </c>
      <c r="C20">
        <v>1709.0</v>
      </c>
      <c r="D20" s="160" t="str">
        <f t="shared" si="1"/>
        <v>Jane/Murr</v>
      </c>
      <c r="E20" s="161" t="s">
        <v>33</v>
      </c>
      <c r="F20" s="184">
        <v>0.7291666666666666</v>
      </c>
      <c r="G20" s="163">
        <v>43423.0</v>
      </c>
      <c r="H20" s="184">
        <v>0.7291666666666666</v>
      </c>
      <c r="I20" s="11">
        <f t="shared" si="2"/>
        <v>0</v>
      </c>
      <c r="J20" s="164"/>
      <c r="K20" s="165">
        <v>48.0</v>
      </c>
      <c r="L20" s="165"/>
      <c r="M20" s="165" t="s">
        <v>35</v>
      </c>
      <c r="N20" s="165">
        <v>0.0</v>
      </c>
      <c r="O20" s="165">
        <v>0.0</v>
      </c>
      <c r="P20" s="165">
        <v>0.0</v>
      </c>
      <c r="Q20" s="165">
        <v>0.0</v>
      </c>
      <c r="R20" s="165">
        <v>0.0</v>
      </c>
      <c r="S20" s="165">
        <v>0.0</v>
      </c>
      <c r="T20" s="165">
        <v>0.0</v>
      </c>
      <c r="U20" s="165">
        <v>0.0</v>
      </c>
      <c r="V20" s="165">
        <v>0.0</v>
      </c>
      <c r="W20" s="165">
        <v>0.0</v>
      </c>
      <c r="X20" s="165">
        <v>0.0</v>
      </c>
      <c r="Y20" s="165">
        <v>0.0</v>
      </c>
      <c r="Z20" s="166">
        <f t="shared" si="3"/>
        <v>0</v>
      </c>
      <c r="AA20" s="166">
        <f t="shared" si="4"/>
        <v>0</v>
      </c>
      <c r="AB20" s="167">
        <f t="shared" si="5"/>
        <v>0</v>
      </c>
      <c r="AC20" s="167">
        <f t="shared" si="6"/>
        <v>0</v>
      </c>
      <c r="AD20" s="15">
        <v>0.83</v>
      </c>
      <c r="AE20" s="180"/>
      <c r="AF20" s="7" t="s">
        <v>124</v>
      </c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</row>
    <row r="21">
      <c r="A21" s="27">
        <v>43424.0</v>
      </c>
      <c r="B21">
        <v>1635.0</v>
      </c>
      <c r="C21">
        <v>1708.0</v>
      </c>
      <c r="D21" s="160" t="str">
        <f t="shared" si="1"/>
        <v>Tom</v>
      </c>
      <c r="E21" s="169"/>
      <c r="F21" s="183"/>
      <c r="G21" s="171">
        <v>43424.0</v>
      </c>
      <c r="H21" s="183"/>
      <c r="I21" s="11">
        <f t="shared" si="2"/>
        <v>0</v>
      </c>
      <c r="J21" s="172"/>
      <c r="K21" s="160"/>
      <c r="L21" s="160"/>
      <c r="M21" s="160"/>
      <c r="N21" s="160">
        <v>0.0</v>
      </c>
      <c r="O21" s="160">
        <v>0.0</v>
      </c>
      <c r="P21" s="160">
        <v>0.0</v>
      </c>
      <c r="Q21" s="160">
        <v>0.0</v>
      </c>
      <c r="R21" s="160">
        <v>0.0</v>
      </c>
      <c r="S21" s="160">
        <v>0.0</v>
      </c>
      <c r="T21" s="160">
        <v>0.0</v>
      </c>
      <c r="U21" s="160">
        <v>0.0</v>
      </c>
      <c r="V21" s="160">
        <v>0.0</v>
      </c>
      <c r="W21" s="160">
        <v>0.0</v>
      </c>
      <c r="X21" s="160">
        <v>0.0</v>
      </c>
      <c r="Y21" s="160">
        <v>0.0</v>
      </c>
      <c r="Z21" s="166">
        <f t="shared" si="3"/>
        <v>0</v>
      </c>
      <c r="AA21" s="166">
        <f t="shared" si="4"/>
        <v>0</v>
      </c>
      <c r="AB21" s="167">
        <f t="shared" si="5"/>
        <v>0</v>
      </c>
      <c r="AC21" s="167">
        <f t="shared" si="6"/>
        <v>0</v>
      </c>
      <c r="AD21" s="15">
        <v>0.9</v>
      </c>
      <c r="AE21" s="173"/>
      <c r="AF21" s="179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</row>
    <row r="22">
      <c r="A22" s="27">
        <v>43425.0</v>
      </c>
      <c r="B22">
        <v>1635.0</v>
      </c>
      <c r="C22">
        <v>1707.0</v>
      </c>
      <c r="D22" s="160" t="str">
        <f t="shared" si="1"/>
        <v>Sue/Anne</v>
      </c>
      <c r="E22" s="161" t="s">
        <v>40</v>
      </c>
      <c r="F22" s="184">
        <v>0.7708333333333334</v>
      </c>
      <c r="G22" s="163">
        <v>43425.0</v>
      </c>
      <c r="H22" s="184">
        <v>0.78125</v>
      </c>
      <c r="I22" s="11">
        <f t="shared" si="2"/>
        <v>0.25</v>
      </c>
      <c r="J22" s="164"/>
      <c r="K22" s="165">
        <v>48.0</v>
      </c>
      <c r="L22" s="165">
        <v>47.0</v>
      </c>
      <c r="M22" s="165" t="s">
        <v>125</v>
      </c>
      <c r="N22" s="165">
        <v>0.0</v>
      </c>
      <c r="O22" s="165">
        <v>0.0</v>
      </c>
      <c r="P22" s="165">
        <v>0.0</v>
      </c>
      <c r="Q22" s="165">
        <v>0.0</v>
      </c>
      <c r="R22" s="165">
        <v>0.0</v>
      </c>
      <c r="S22" s="165">
        <v>0.0</v>
      </c>
      <c r="T22" s="165">
        <v>0.0</v>
      </c>
      <c r="U22" s="165">
        <v>0.0</v>
      </c>
      <c r="V22" s="165">
        <v>0.0</v>
      </c>
      <c r="W22" s="165">
        <v>0.0</v>
      </c>
      <c r="X22" s="165">
        <v>0.0</v>
      </c>
      <c r="Y22" s="165">
        <v>0.0</v>
      </c>
      <c r="Z22" s="166">
        <f t="shared" si="3"/>
        <v>0</v>
      </c>
      <c r="AA22" s="166">
        <f t="shared" si="4"/>
        <v>0</v>
      </c>
      <c r="AB22" s="167">
        <f t="shared" si="5"/>
        <v>0</v>
      </c>
      <c r="AC22" s="167">
        <f t="shared" si="6"/>
        <v>0</v>
      </c>
      <c r="AD22" s="15">
        <v>0.95</v>
      </c>
      <c r="AE22" s="180"/>
      <c r="AF22" s="182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</row>
    <row r="23">
      <c r="A23" s="30">
        <v>43426.0</v>
      </c>
      <c r="B23">
        <v>1634.0</v>
      </c>
      <c r="C23">
        <v>1707.0</v>
      </c>
      <c r="D23" s="160" t="str">
        <f t="shared" si="1"/>
        <v>Shawn/Orems</v>
      </c>
      <c r="E23" s="169" t="s">
        <v>126</v>
      </c>
      <c r="F23" s="181">
        <v>0.21875</v>
      </c>
      <c r="G23" s="171">
        <v>43426.0</v>
      </c>
      <c r="H23" s="181">
        <v>0.22916666666666666</v>
      </c>
      <c r="I23" s="11">
        <f t="shared" si="2"/>
        <v>0.25</v>
      </c>
      <c r="J23" s="172"/>
      <c r="K23" s="160">
        <v>47.0</v>
      </c>
      <c r="L23" s="160"/>
      <c r="M23" s="160" t="s">
        <v>107</v>
      </c>
      <c r="N23" s="160">
        <v>0.0</v>
      </c>
      <c r="O23" s="160">
        <v>0.0</v>
      </c>
      <c r="P23" s="160">
        <v>0.0</v>
      </c>
      <c r="Q23" s="160">
        <v>0.0</v>
      </c>
      <c r="R23" s="160">
        <v>0.0</v>
      </c>
      <c r="S23" s="160">
        <v>0.0</v>
      </c>
      <c r="T23" s="160">
        <v>0.0</v>
      </c>
      <c r="U23" s="160">
        <v>0.0</v>
      </c>
      <c r="V23" s="160">
        <v>0.0</v>
      </c>
      <c r="W23" s="160">
        <v>0.0</v>
      </c>
      <c r="X23" s="160">
        <v>0.0</v>
      </c>
      <c r="Y23" s="160">
        <v>0.0</v>
      </c>
      <c r="Z23" s="166">
        <f t="shared" si="3"/>
        <v>0</v>
      </c>
      <c r="AA23" s="166">
        <f t="shared" si="4"/>
        <v>0</v>
      </c>
      <c r="AB23" s="167">
        <f t="shared" si="5"/>
        <v>0</v>
      </c>
      <c r="AC23" s="167">
        <f t="shared" si="6"/>
        <v>0</v>
      </c>
      <c r="AD23" s="15">
        <v>0.99</v>
      </c>
      <c r="AE23" s="173"/>
      <c r="AF23" s="186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</row>
    <row r="24">
      <c r="A24" s="187">
        <v>43426.0</v>
      </c>
      <c r="D24" s="160" t="str">
        <f t="shared" si="1"/>
        <v>Shawn/Orems</v>
      </c>
      <c r="E24" s="169" t="s">
        <v>40</v>
      </c>
      <c r="F24" s="181">
        <v>0.2708333333333333</v>
      </c>
      <c r="G24" s="171"/>
      <c r="H24" s="181">
        <v>0.28125</v>
      </c>
      <c r="I24" s="188">
        <v>0.25</v>
      </c>
      <c r="J24" s="172"/>
      <c r="K24" s="160">
        <v>47.0</v>
      </c>
      <c r="L24" s="160"/>
      <c r="M24" s="160" t="s">
        <v>127</v>
      </c>
      <c r="N24" s="160">
        <v>0.0</v>
      </c>
      <c r="O24" s="160">
        <v>0.0</v>
      </c>
      <c r="P24" s="160">
        <v>0.0</v>
      </c>
      <c r="Q24" s="160">
        <v>0.0</v>
      </c>
      <c r="R24" s="160">
        <v>0.0</v>
      </c>
      <c r="S24" s="160"/>
      <c r="T24" s="160"/>
      <c r="U24" s="160"/>
      <c r="V24" s="160"/>
      <c r="W24" s="160"/>
      <c r="X24" s="160"/>
      <c r="Y24" s="160"/>
      <c r="Z24" s="166"/>
      <c r="AA24" s="166"/>
      <c r="AB24" s="167"/>
      <c r="AC24" s="167"/>
      <c r="AD24" s="15"/>
      <c r="AE24" s="173"/>
      <c r="AF24" s="186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4"/>
      <c r="AX24" s="174"/>
      <c r="AY24" s="174"/>
      <c r="AZ24" s="174"/>
      <c r="BA24" s="174"/>
      <c r="BB24" s="174"/>
      <c r="BC24" s="174"/>
      <c r="BD24" s="174"/>
      <c r="BE24" s="174"/>
      <c r="BF24" s="174"/>
      <c r="BG24" s="174"/>
      <c r="BH24" s="174"/>
      <c r="BI24" s="174"/>
      <c r="BJ24" s="174"/>
      <c r="BK24" s="174"/>
      <c r="BL24" s="174"/>
      <c r="BM24" s="174"/>
      <c r="BN24" s="174"/>
    </row>
    <row r="25">
      <c r="A25" s="30">
        <v>43427.0</v>
      </c>
      <c r="B25">
        <v>1633.0</v>
      </c>
      <c r="C25">
        <v>1706.0</v>
      </c>
      <c r="D25" s="160" t="str">
        <f t="shared" si="1"/>
        <v>Jeff</v>
      </c>
      <c r="E25" s="161" t="s">
        <v>40</v>
      </c>
      <c r="F25" s="184">
        <v>0.7111111111111111</v>
      </c>
      <c r="G25" s="163">
        <v>43427.0</v>
      </c>
      <c r="H25" s="184">
        <v>0.75</v>
      </c>
      <c r="I25" s="11">
        <f t="shared" ref="I25:I32" si="7">iferror(24*( DATEDIF(A25,G25,"D")+TIMEVALUE(H25)-TIMEVALUE(F25)),0)</f>
        <v>0.9333333333</v>
      </c>
      <c r="J25" s="164"/>
      <c r="K25" s="165">
        <v>47.0</v>
      </c>
      <c r="L25" s="165">
        <v>46.0</v>
      </c>
      <c r="M25" s="165" t="s">
        <v>128</v>
      </c>
      <c r="N25" s="165">
        <v>0.0</v>
      </c>
      <c r="O25" s="165">
        <v>0.0</v>
      </c>
      <c r="P25" s="165">
        <v>0.0</v>
      </c>
      <c r="Q25" s="165">
        <v>0.0</v>
      </c>
      <c r="R25" s="165">
        <v>0.0</v>
      </c>
      <c r="S25" s="165">
        <v>0.0</v>
      </c>
      <c r="T25" s="165">
        <v>0.0</v>
      </c>
      <c r="U25" s="165">
        <v>0.0</v>
      </c>
      <c r="V25" s="165">
        <v>0.0</v>
      </c>
      <c r="W25" s="165">
        <v>0.0</v>
      </c>
      <c r="X25" s="165">
        <v>0.0</v>
      </c>
      <c r="Y25" s="165">
        <v>0.0</v>
      </c>
      <c r="Z25" s="166">
        <f t="shared" ref="Z25:Z32" si="8">sum(N25:Q25)</f>
        <v>0</v>
      </c>
      <c r="AA25" s="166">
        <f t="shared" ref="AA25:AA32" si="9">sum(R25:V25)</f>
        <v>0</v>
      </c>
      <c r="AB25" s="167">
        <f t="shared" ref="AB25:AB32" si="10">sum(N25:O25)</f>
        <v>0</v>
      </c>
      <c r="AC25" s="167">
        <f t="shared" ref="AC25:AC32" si="11">sum(R25:S25,V25)</f>
        <v>0</v>
      </c>
      <c r="AD25" s="15">
        <v>1.0</v>
      </c>
      <c r="AE25" s="180" t="s">
        <v>129</v>
      </c>
      <c r="AF25" s="14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</row>
    <row r="26">
      <c r="A26" s="30">
        <v>43428.0</v>
      </c>
      <c r="B26">
        <v>1632.0</v>
      </c>
      <c r="C26">
        <v>1705.0</v>
      </c>
      <c r="D26" s="160" t="str">
        <f t="shared" si="1"/>
        <v>Rob</v>
      </c>
      <c r="E26" s="169" t="s">
        <v>46</v>
      </c>
      <c r="F26" s="183">
        <v>0.19791666666666666</v>
      </c>
      <c r="G26" s="171">
        <v>43428.0</v>
      </c>
      <c r="H26" s="183"/>
      <c r="I26" s="11">
        <f t="shared" si="7"/>
        <v>0</v>
      </c>
      <c r="J26" s="172"/>
      <c r="K26" s="160">
        <v>43.0</v>
      </c>
      <c r="L26" s="160"/>
      <c r="M26" s="160" t="s">
        <v>130</v>
      </c>
      <c r="N26" s="160">
        <v>0.0</v>
      </c>
      <c r="O26" s="160">
        <v>0.0</v>
      </c>
      <c r="P26" s="160">
        <v>0.0</v>
      </c>
      <c r="Q26" s="160">
        <v>0.0</v>
      </c>
      <c r="R26" s="160">
        <v>0.0</v>
      </c>
      <c r="S26" s="160">
        <v>0.0</v>
      </c>
      <c r="T26" s="160">
        <v>0.0</v>
      </c>
      <c r="U26" s="160">
        <v>0.0</v>
      </c>
      <c r="V26" s="160">
        <v>0.0</v>
      </c>
      <c r="W26" s="160">
        <v>0.0</v>
      </c>
      <c r="X26" s="160">
        <v>0.0</v>
      </c>
      <c r="Y26" s="160">
        <v>0.0</v>
      </c>
      <c r="Z26" s="166">
        <f t="shared" si="8"/>
        <v>0</v>
      </c>
      <c r="AA26" s="166">
        <f t="shared" si="9"/>
        <v>0</v>
      </c>
      <c r="AB26" s="167">
        <f t="shared" si="10"/>
        <v>0</v>
      </c>
      <c r="AC26" s="167">
        <f t="shared" si="11"/>
        <v>0</v>
      </c>
      <c r="AD26" s="15">
        <v>0.98</v>
      </c>
      <c r="AE26" s="173"/>
      <c r="AF26" s="179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  <c r="BA26" s="174"/>
      <c r="BB26" s="174"/>
      <c r="BC26" s="174"/>
      <c r="BD26" s="174"/>
      <c r="BE26" s="174"/>
      <c r="BF26" s="174"/>
      <c r="BG26" s="174"/>
      <c r="BH26" s="174"/>
      <c r="BI26" s="174"/>
      <c r="BJ26" s="174"/>
      <c r="BK26" s="174"/>
      <c r="BL26" s="174"/>
      <c r="BM26" s="174"/>
      <c r="BN26" s="174"/>
    </row>
    <row r="27">
      <c r="A27" s="27">
        <v>43429.0</v>
      </c>
      <c r="B27">
        <v>1632.0</v>
      </c>
      <c r="C27">
        <v>1705.0</v>
      </c>
      <c r="D27" s="160" t="str">
        <f t="shared" si="1"/>
        <v>Fred/Phil</v>
      </c>
      <c r="E27" s="161" t="s">
        <v>40</v>
      </c>
      <c r="F27" s="184">
        <v>0.7152777777777778</v>
      </c>
      <c r="G27" s="163">
        <v>43429.0</v>
      </c>
      <c r="H27" s="184">
        <v>0.75</v>
      </c>
      <c r="I27" s="11">
        <f t="shared" si="7"/>
        <v>0.8333333333</v>
      </c>
      <c r="J27" s="164"/>
      <c r="K27" s="165">
        <v>44.0</v>
      </c>
      <c r="L27" s="165">
        <v>43.0</v>
      </c>
      <c r="M27" s="165" t="s">
        <v>131</v>
      </c>
      <c r="N27" s="165">
        <v>0.0</v>
      </c>
      <c r="O27" s="165">
        <v>0.0</v>
      </c>
      <c r="P27" s="165">
        <v>0.0</v>
      </c>
      <c r="Q27" s="165">
        <v>0.0</v>
      </c>
      <c r="R27" s="165">
        <v>0.0</v>
      </c>
      <c r="S27" s="165">
        <v>0.0</v>
      </c>
      <c r="T27" s="165">
        <v>0.0</v>
      </c>
      <c r="U27" s="165">
        <v>0.0</v>
      </c>
      <c r="V27" s="165">
        <v>0.0</v>
      </c>
      <c r="W27" s="165">
        <v>0.0</v>
      </c>
      <c r="X27" s="165">
        <v>0.0</v>
      </c>
      <c r="Y27" s="165">
        <v>0.0</v>
      </c>
      <c r="Z27" s="166">
        <f t="shared" si="8"/>
        <v>0</v>
      </c>
      <c r="AA27" s="166">
        <f t="shared" si="9"/>
        <v>0</v>
      </c>
      <c r="AB27" s="167">
        <f t="shared" si="10"/>
        <v>0</v>
      </c>
      <c r="AC27" s="167">
        <f t="shared" si="11"/>
        <v>0</v>
      </c>
      <c r="AD27" s="15">
        <v>0.94</v>
      </c>
      <c r="AE27" s="180"/>
      <c r="AF27" s="14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</row>
    <row r="28">
      <c r="A28" s="27">
        <v>43430.0</v>
      </c>
      <c r="B28">
        <v>1631.0</v>
      </c>
      <c r="C28">
        <v>1704.0</v>
      </c>
      <c r="D28" s="160" t="str">
        <f t="shared" si="1"/>
        <v>Jane/Murr</v>
      </c>
      <c r="E28" s="169" t="s">
        <v>40</v>
      </c>
      <c r="F28" s="181">
        <v>0.7152777777777778</v>
      </c>
      <c r="G28" s="171">
        <v>43430.0</v>
      </c>
      <c r="H28" s="183">
        <v>0.7708333333333334</v>
      </c>
      <c r="I28" s="11">
        <f t="shared" si="7"/>
        <v>1.333333333</v>
      </c>
      <c r="J28" s="172"/>
      <c r="K28" s="160">
        <v>50.0</v>
      </c>
      <c r="L28" s="160">
        <v>51.0</v>
      </c>
      <c r="M28" s="160" t="s">
        <v>132</v>
      </c>
      <c r="N28" s="160">
        <v>0.0</v>
      </c>
      <c r="O28" s="160">
        <v>0.0</v>
      </c>
      <c r="P28" s="160">
        <v>0.0</v>
      </c>
      <c r="Q28" s="160">
        <v>0.0</v>
      </c>
      <c r="R28" s="160">
        <v>0.0</v>
      </c>
      <c r="S28" s="160">
        <v>0.0</v>
      </c>
      <c r="T28" s="160">
        <v>0.0</v>
      </c>
      <c r="U28" s="160">
        <v>0.0</v>
      </c>
      <c r="V28" s="160">
        <v>0.0</v>
      </c>
      <c r="W28" s="160">
        <v>0.0</v>
      </c>
      <c r="X28" s="160">
        <v>0.0</v>
      </c>
      <c r="Y28" s="160">
        <v>0.0</v>
      </c>
      <c r="Z28" s="166">
        <f t="shared" si="8"/>
        <v>0</v>
      </c>
      <c r="AA28" s="166">
        <f t="shared" si="9"/>
        <v>0</v>
      </c>
      <c r="AB28" s="167">
        <f t="shared" si="10"/>
        <v>0</v>
      </c>
      <c r="AC28" s="167">
        <f t="shared" si="11"/>
        <v>0</v>
      </c>
      <c r="AD28" s="15">
        <v>0.88</v>
      </c>
      <c r="AE28" s="173"/>
      <c r="AF28" s="179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/>
      <c r="BE28" s="174"/>
      <c r="BF28" s="174"/>
      <c r="BG28" s="174"/>
      <c r="BH28" s="174"/>
      <c r="BI28" s="174"/>
      <c r="BJ28" s="174"/>
      <c r="BK28" s="174"/>
      <c r="BL28" s="174"/>
      <c r="BM28" s="174"/>
      <c r="BN28" s="174"/>
    </row>
    <row r="29">
      <c r="A29" s="27">
        <v>43431.0</v>
      </c>
      <c r="B29">
        <v>1631.0</v>
      </c>
      <c r="C29">
        <v>1704.0</v>
      </c>
      <c r="D29" s="160" t="str">
        <f t="shared" si="1"/>
        <v>Tom</v>
      </c>
      <c r="E29" s="161"/>
      <c r="F29" s="184"/>
      <c r="G29" s="163">
        <v>43431.0</v>
      </c>
      <c r="H29" s="184"/>
      <c r="I29" s="11">
        <f t="shared" si="7"/>
        <v>0</v>
      </c>
      <c r="J29" s="164"/>
      <c r="K29" s="165"/>
      <c r="L29" s="165"/>
      <c r="M29" s="165"/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5">
        <v>0.0</v>
      </c>
      <c r="X29" s="165">
        <v>0.0</v>
      </c>
      <c r="Y29" s="165">
        <v>0.0</v>
      </c>
      <c r="Z29" s="166">
        <f t="shared" si="8"/>
        <v>0</v>
      </c>
      <c r="AA29" s="166">
        <f t="shared" si="9"/>
        <v>0</v>
      </c>
      <c r="AB29" s="167">
        <f t="shared" si="10"/>
        <v>0</v>
      </c>
      <c r="AC29" s="167">
        <f t="shared" si="11"/>
        <v>0</v>
      </c>
      <c r="AD29" s="15">
        <v>0.79</v>
      </c>
      <c r="AE29" s="180"/>
      <c r="AF29" s="14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</row>
    <row r="30">
      <c r="A30" s="26">
        <v>43432.0</v>
      </c>
      <c r="B30">
        <v>1630.0</v>
      </c>
      <c r="C30">
        <v>1703.0</v>
      </c>
      <c r="D30" s="160" t="str">
        <f t="shared" si="1"/>
        <v>Sue/Anne</v>
      </c>
      <c r="E30" s="169"/>
      <c r="F30" s="183"/>
      <c r="G30" s="171">
        <v>43432.0</v>
      </c>
      <c r="H30" s="183"/>
      <c r="I30" s="11">
        <f t="shared" si="7"/>
        <v>0</v>
      </c>
      <c r="J30" s="172"/>
      <c r="K30" s="160"/>
      <c r="L30" s="160"/>
      <c r="M30" s="160"/>
      <c r="N30" s="160">
        <v>0.0</v>
      </c>
      <c r="O30" s="160">
        <v>0.0</v>
      </c>
      <c r="P30" s="160">
        <v>0.0</v>
      </c>
      <c r="Q30" s="160">
        <v>0.0</v>
      </c>
      <c r="R30" s="160">
        <v>0.0</v>
      </c>
      <c r="S30" s="160">
        <v>0.0</v>
      </c>
      <c r="T30" s="160">
        <v>0.0</v>
      </c>
      <c r="U30" s="160">
        <v>0.0</v>
      </c>
      <c r="V30" s="160">
        <v>0.0</v>
      </c>
      <c r="W30" s="160">
        <v>0.0</v>
      </c>
      <c r="X30" s="160">
        <v>0.0</v>
      </c>
      <c r="Y30" s="160">
        <v>0.0</v>
      </c>
      <c r="Z30" s="166">
        <f t="shared" si="8"/>
        <v>0</v>
      </c>
      <c r="AA30" s="166">
        <f t="shared" si="9"/>
        <v>0</v>
      </c>
      <c r="AB30" s="167">
        <f t="shared" si="10"/>
        <v>0</v>
      </c>
      <c r="AC30" s="167">
        <f t="shared" si="11"/>
        <v>0</v>
      </c>
      <c r="AD30" s="15">
        <v>0.69</v>
      </c>
      <c r="AE30" s="173"/>
      <c r="AF30" s="22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4"/>
      <c r="BB30" s="174"/>
      <c r="BC30" s="174"/>
      <c r="BD30" s="174"/>
      <c r="BE30" s="174"/>
      <c r="BF30" s="174"/>
      <c r="BG30" s="174"/>
      <c r="BH30" s="174"/>
      <c r="BI30" s="174"/>
      <c r="BJ30" s="174"/>
      <c r="BK30" s="174"/>
      <c r="BL30" s="174"/>
      <c r="BM30" s="174"/>
      <c r="BN30" s="174"/>
    </row>
    <row r="31">
      <c r="A31" s="26">
        <v>43433.0</v>
      </c>
      <c r="B31">
        <v>1630.0</v>
      </c>
      <c r="C31">
        <v>1703.0</v>
      </c>
      <c r="D31" s="160" t="str">
        <f t="shared" si="1"/>
        <v>Shawn/Orems</v>
      </c>
      <c r="E31" s="161" t="s">
        <v>33</v>
      </c>
      <c r="F31" s="184">
        <v>0.7291666666666666</v>
      </c>
      <c r="G31" s="163">
        <v>43433.0</v>
      </c>
      <c r="H31" s="184"/>
      <c r="I31" s="11">
        <f t="shared" si="7"/>
        <v>0</v>
      </c>
      <c r="J31" s="164"/>
      <c r="K31" s="165">
        <v>47.0</v>
      </c>
      <c r="L31" s="165"/>
      <c r="M31" s="165" t="s">
        <v>35</v>
      </c>
      <c r="N31" s="165">
        <v>0.0</v>
      </c>
      <c r="O31" s="165">
        <v>0.0</v>
      </c>
      <c r="P31" s="165">
        <v>0.0</v>
      </c>
      <c r="Q31" s="165">
        <v>0.0</v>
      </c>
      <c r="R31" s="165">
        <v>0.0</v>
      </c>
      <c r="S31" s="165">
        <v>0.0</v>
      </c>
      <c r="T31" s="165">
        <v>0.0</v>
      </c>
      <c r="U31" s="165">
        <v>0.0</v>
      </c>
      <c r="V31" s="165">
        <v>0.0</v>
      </c>
      <c r="W31" s="165">
        <v>0.0</v>
      </c>
      <c r="X31" s="165">
        <v>0.0</v>
      </c>
      <c r="Y31" s="165">
        <v>0.0</v>
      </c>
      <c r="Z31" s="166">
        <f t="shared" si="8"/>
        <v>0</v>
      </c>
      <c r="AA31" s="166">
        <f t="shared" si="9"/>
        <v>0</v>
      </c>
      <c r="AB31" s="167">
        <f t="shared" si="10"/>
        <v>0</v>
      </c>
      <c r="AC31" s="167">
        <f t="shared" si="11"/>
        <v>0</v>
      </c>
      <c r="AD31" s="15">
        <v>0.58</v>
      </c>
      <c r="AE31" s="180"/>
      <c r="AF31" s="14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</row>
    <row r="32">
      <c r="A32" s="26">
        <v>43434.0</v>
      </c>
      <c r="B32">
        <v>1629.0</v>
      </c>
      <c r="C32">
        <v>1703.0</v>
      </c>
      <c r="D32" s="160" t="str">
        <f t="shared" si="1"/>
        <v>Jeff</v>
      </c>
      <c r="E32" s="169" t="s">
        <v>40</v>
      </c>
      <c r="F32" s="183">
        <v>0.7083333333333334</v>
      </c>
      <c r="G32" s="171">
        <v>43434.0</v>
      </c>
      <c r="H32" s="183">
        <v>0.7534722222222222</v>
      </c>
      <c r="I32" s="11">
        <f t="shared" si="7"/>
        <v>1.083333333</v>
      </c>
      <c r="J32" s="172"/>
      <c r="K32" s="160">
        <v>44.0</v>
      </c>
      <c r="L32" s="160">
        <v>44.0</v>
      </c>
      <c r="M32" s="160" t="s">
        <v>133</v>
      </c>
      <c r="N32" s="160">
        <v>0.0</v>
      </c>
      <c r="O32" s="160">
        <v>0.0</v>
      </c>
      <c r="P32" s="160">
        <v>0.0</v>
      </c>
      <c r="Q32" s="160">
        <v>0.0</v>
      </c>
      <c r="R32" s="160">
        <v>0.0</v>
      </c>
      <c r="S32" s="160">
        <v>0.0</v>
      </c>
      <c r="T32" s="160">
        <v>0.0</v>
      </c>
      <c r="U32" s="160">
        <v>0.0</v>
      </c>
      <c r="V32" s="160">
        <v>0.0</v>
      </c>
      <c r="W32" s="160">
        <v>0.0</v>
      </c>
      <c r="X32" s="160">
        <v>0.0</v>
      </c>
      <c r="Y32" s="160">
        <v>0.0</v>
      </c>
      <c r="Z32" s="166">
        <f t="shared" si="8"/>
        <v>0</v>
      </c>
      <c r="AA32" s="166">
        <f t="shared" si="9"/>
        <v>0</v>
      </c>
      <c r="AB32" s="167">
        <f t="shared" si="10"/>
        <v>0</v>
      </c>
      <c r="AC32" s="167">
        <f t="shared" si="11"/>
        <v>0</v>
      </c>
      <c r="AD32" s="15">
        <v>0.47</v>
      </c>
      <c r="AE32" s="173" t="s">
        <v>134</v>
      </c>
      <c r="AF32" s="179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74"/>
      <c r="BB32" s="174"/>
      <c r="BC32" s="174"/>
      <c r="BD32" s="174"/>
      <c r="BE32" s="174"/>
      <c r="BF32" s="174"/>
      <c r="BG32" s="174"/>
      <c r="BH32" s="174"/>
      <c r="BI32" s="174"/>
      <c r="BJ32" s="174"/>
      <c r="BK32" s="174"/>
      <c r="BL32" s="174"/>
      <c r="BM32" s="174"/>
      <c r="BN32" s="174"/>
    </row>
    <row r="33">
      <c r="A33" s="189" t="s">
        <v>135</v>
      </c>
      <c r="B33" s="7"/>
      <c r="C33" s="7"/>
      <c r="D33" s="7"/>
      <c r="E33" s="8"/>
      <c r="F33" s="24"/>
      <c r="G33" s="190"/>
      <c r="H33" s="190"/>
      <c r="I33" s="166"/>
      <c r="J33" s="140"/>
      <c r="K33" s="140"/>
      <c r="L33" s="140"/>
      <c r="M33" s="140"/>
      <c r="N33" s="165" t="s">
        <v>136</v>
      </c>
      <c r="O33" s="165"/>
      <c r="P33" s="165"/>
      <c r="Q33" s="165"/>
      <c r="R33" s="165"/>
      <c r="S33" s="165"/>
      <c r="T33" s="165"/>
      <c r="U33" s="165"/>
      <c r="V33" s="165"/>
      <c r="W33" s="165"/>
      <c r="X33" s="165" t="s">
        <v>137</v>
      </c>
      <c r="Y33" s="165" t="s">
        <v>137</v>
      </c>
      <c r="Z33" s="166" t="s">
        <v>137</v>
      </c>
      <c r="AA33" s="166" t="s">
        <v>137</v>
      </c>
      <c r="AB33" s="166"/>
      <c r="AC33" s="166"/>
      <c r="AD33" s="15" t="s">
        <v>137</v>
      </c>
      <c r="AE33" s="69"/>
      <c r="AF33" s="14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</row>
    <row r="34">
      <c r="A34" s="165"/>
      <c r="B34" s="40"/>
      <c r="C34" s="40"/>
      <c r="D34" s="40"/>
      <c r="E34" s="37" t="s">
        <v>66</v>
      </c>
      <c r="F34" s="38"/>
      <c r="I34" s="35">
        <f t="shared" ref="I34:J34" si="12">sum(I2:I33)</f>
        <v>5.016666667</v>
      </c>
      <c r="J34" s="35">
        <f t="shared" si="12"/>
        <v>0</v>
      </c>
      <c r="K34" s="191"/>
      <c r="L34" s="191"/>
      <c r="M34" s="40"/>
      <c r="N34" s="36">
        <f t="shared" ref="N34:AC34" si="13">sum(N2:N33)</f>
        <v>0</v>
      </c>
      <c r="O34" s="36">
        <f t="shared" si="13"/>
        <v>0</v>
      </c>
      <c r="P34" s="36">
        <f t="shared" si="13"/>
        <v>0</v>
      </c>
      <c r="Q34" s="36">
        <f t="shared" si="13"/>
        <v>0</v>
      </c>
      <c r="R34" s="36">
        <f t="shared" si="13"/>
        <v>0</v>
      </c>
      <c r="S34" s="36">
        <f t="shared" si="13"/>
        <v>0</v>
      </c>
      <c r="T34" s="36">
        <f t="shared" si="13"/>
        <v>0</v>
      </c>
      <c r="U34" s="36">
        <f t="shared" si="13"/>
        <v>0</v>
      </c>
      <c r="V34" s="36">
        <f t="shared" si="13"/>
        <v>0</v>
      </c>
      <c r="W34" s="36">
        <f t="shared" si="13"/>
        <v>0</v>
      </c>
      <c r="X34" s="36">
        <f t="shared" si="13"/>
        <v>0</v>
      </c>
      <c r="Y34" s="36">
        <f t="shared" si="13"/>
        <v>0</v>
      </c>
      <c r="Z34" s="36">
        <f t="shared" si="13"/>
        <v>0</v>
      </c>
      <c r="AA34" s="36">
        <f t="shared" si="13"/>
        <v>0</v>
      </c>
      <c r="AB34" s="36">
        <f t="shared" si="13"/>
        <v>0</v>
      </c>
      <c r="AC34" s="36">
        <f t="shared" si="13"/>
        <v>0</v>
      </c>
      <c r="AD34" s="50"/>
      <c r="AE34" s="168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</row>
    <row r="35">
      <c r="A35" s="50"/>
      <c r="B35" s="40"/>
      <c r="C35" s="40"/>
      <c r="D35" s="40"/>
      <c r="E35" s="37" t="s">
        <v>67</v>
      </c>
      <c r="F35" s="38"/>
      <c r="I35" s="39">
        <f>'November 2018'!I$34</f>
        <v>5.016666667</v>
      </c>
      <c r="J35" s="39">
        <f>'November 2018'!J$34</f>
        <v>0</v>
      </c>
      <c r="K35" s="40"/>
      <c r="L35" s="40"/>
      <c r="M35" s="40"/>
      <c r="N35" s="41">
        <f>'November 2018'!N$34</f>
        <v>0</v>
      </c>
      <c r="O35" s="41">
        <f>'November 2018'!O$34</f>
        <v>0</v>
      </c>
      <c r="P35" s="41">
        <f>'November 2018'!P$34</f>
        <v>0</v>
      </c>
      <c r="Q35" s="41">
        <f>'November 2018'!Q$34</f>
        <v>0</v>
      </c>
      <c r="R35" s="41">
        <f>'November 2018'!R$34</f>
        <v>0</v>
      </c>
      <c r="S35" s="41">
        <f>'November 2018'!S$34</f>
        <v>0</v>
      </c>
      <c r="T35" s="41">
        <f>'November 2018'!T$34</f>
        <v>0</v>
      </c>
      <c r="U35" s="41">
        <f>'November 2018'!U$34</f>
        <v>0</v>
      </c>
      <c r="V35" s="41">
        <f>'November 2018'!V$34</f>
        <v>0</v>
      </c>
      <c r="W35" s="41">
        <f>'November 2018'!W$34</f>
        <v>0</v>
      </c>
      <c r="X35" s="41">
        <f>'November 2018'!X$34</f>
        <v>0</v>
      </c>
      <c r="Y35" s="41">
        <f>'November 2018'!Y$34</f>
        <v>0</v>
      </c>
      <c r="Z35" s="41">
        <f>'November 2018'!Z$34</f>
        <v>0</v>
      </c>
      <c r="AA35" s="41">
        <f>'November 2018'!AA$34</f>
        <v>0</v>
      </c>
      <c r="AB35" s="41">
        <f>'November 2018'!AB$34</f>
        <v>0</v>
      </c>
      <c r="AC35" s="192">
        <f>'November 2018'!AC34</f>
        <v>0</v>
      </c>
      <c r="AD35" s="50"/>
      <c r="AE35" s="168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</row>
    <row r="36">
      <c r="A36" s="50"/>
      <c r="B36" s="40"/>
      <c r="C36" s="40"/>
      <c r="D36" s="40"/>
      <c r="E36" s="37" t="s">
        <v>68</v>
      </c>
      <c r="F36" s="38"/>
      <c r="I36" s="39">
        <f>'November 2018'!I$34+'December 2018'!I$33+'January 2019'!I$33+'February 2019'!I$33+'March 2019'!I$33+'April 2019'!I$33</f>
        <v>145.8102778</v>
      </c>
      <c r="J36" s="39">
        <f>'November 2018'!J34+'December 2018'!J33+'January 2019'!J33+'February 2019'!J33+'March 2019'!J33+'April 2019'!J33</f>
        <v>558.9616667</v>
      </c>
      <c r="K36" s="40"/>
      <c r="L36" s="40"/>
      <c r="M36" s="40"/>
      <c r="N36" s="41">
        <f>'November 2018'!N34+'December 2018'!N33+'January 2019'!N33+'February 2019'!N33+'March 2019'!N33+'April 2019'!N33</f>
        <v>90</v>
      </c>
      <c r="O36" s="41">
        <f>'November 2018'!O34+'December 2018'!O33+'January 2019'!O33+'February 2019'!O33+'March 2019'!O33+'April 2019'!O33</f>
        <v>1134</v>
      </c>
      <c r="P36" s="41">
        <f>'November 2018'!P34+'December 2018'!P33+'January 2019'!P33+'February 2019'!P33+'March 2019'!P33+'April 2019'!P33</f>
        <v>3</v>
      </c>
      <c r="Q36" s="41">
        <f>'November 2018'!Q34+'December 2018'!Q33+'January 2019'!Q33+'February 2019'!Q33+'March 2019'!Q33+'April 2019'!Q33</f>
        <v>4</v>
      </c>
      <c r="R36" s="41">
        <f>'November 2018'!R34+'December 2018'!R33+'January 2019'!R33+'February 2019'!R33+'March 2019'!R33+'April 2019'!R33</f>
        <v>124</v>
      </c>
      <c r="S36" s="41">
        <f>'November 2018'!S34+'December 2018'!S33+'January 2019'!S33+'February 2019'!S33+'March 2019'!S33+'April 2019'!S33</f>
        <v>791</v>
      </c>
      <c r="T36" s="41">
        <f>'November 2018'!T34+'December 2018'!T33+'January 2019'!T33+'February 2019'!T33+'March 2019'!T33+'April 2019'!T33</f>
        <v>6</v>
      </c>
      <c r="U36" s="41">
        <f>'November 2018'!U34+'December 2018'!U33+'January 2019'!U33+'February 2019'!U33+'March 2019'!U33+'April 2019'!U33</f>
        <v>17</v>
      </c>
      <c r="V36" s="41">
        <f>'November 2018'!V34+'December 2018'!V33+'January 2019'!V33+'February 2019'!V33+'March 2019'!V33+'April 2019'!V33</f>
        <v>6</v>
      </c>
      <c r="W36" s="41">
        <f>'November 2018'!W34+'December 2018'!W33+'January 2019'!W33+'February 2019'!W33+'March 2019'!W33+'April 2019'!W33</f>
        <v>4</v>
      </c>
      <c r="X36" s="41">
        <f>'November 2018'!X34+'December 2018'!X33+'January 2019'!X33+'February 2019'!X33+'March 2019'!X33+'April 2019'!X33</f>
        <v>24</v>
      </c>
      <c r="Y36" s="41">
        <f>'November 2018'!Y34+'December 2018'!Y33+'January 2019'!Y33+'February 2019'!Y33+'March 2019'!Y33+'April 2019'!Y33</f>
        <v>7</v>
      </c>
      <c r="Z36" s="41">
        <f>'November 2018'!Z34+'December 2018'!Z33+'January 2019'!Z33+'February 2019'!Z33+'March 2019'!Z33+'April 2019'!Z33</f>
        <v>1231</v>
      </c>
      <c r="AA36" s="41">
        <f>'November 2018'!AA34+'December 2018'!AA33+'January 2019'!AA33+'February 2019'!AA33+'March 2019'!AA33+'April 2019'!AA33</f>
        <v>944</v>
      </c>
      <c r="AB36" s="41">
        <f>'November 2018'!AB34+'December 2018'!AB33+'January 2019'!AB33+'February 2019'!AB33+'March 2019'!AB33+'April 2019'!AB33</f>
        <v>1224</v>
      </c>
      <c r="AC36" s="41">
        <f>'November 2018'!AC34+'December 2018'!AC33+'January 2019'!AC33+'February 2019'!AC33+'March 2019'!AC33+'April 2019'!AC33</f>
        <v>921</v>
      </c>
      <c r="AD36" s="50"/>
      <c r="AE36" s="168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</row>
    <row r="37">
      <c r="A37" s="40"/>
      <c r="B37" s="40"/>
      <c r="C37" s="40"/>
      <c r="D37" s="40"/>
      <c r="E37" s="33" t="s">
        <v>69</v>
      </c>
      <c r="F37" s="40"/>
      <c r="G37" s="40"/>
      <c r="H37" s="40"/>
      <c r="I37" s="40"/>
      <c r="J37" s="40"/>
      <c r="K37" s="40"/>
      <c r="L37" s="40"/>
      <c r="M37" s="40"/>
      <c r="N37" s="44"/>
      <c r="O37" s="45"/>
      <c r="P37" s="45"/>
      <c r="Q37" s="46"/>
      <c r="R37" s="46"/>
      <c r="S37" s="46"/>
      <c r="T37" s="46"/>
      <c r="U37" s="47"/>
      <c r="V37" s="48"/>
      <c r="W37" s="47"/>
      <c r="X37" s="47"/>
      <c r="Y37" s="49"/>
      <c r="Z37" s="46">
        <v>433.0</v>
      </c>
      <c r="AA37" s="46">
        <v>297.0</v>
      </c>
      <c r="AB37" s="46"/>
      <c r="AC37" s="49"/>
      <c r="AD37" s="49"/>
      <c r="AE37" s="49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9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50"/>
      <c r="BM37" s="50"/>
      <c r="BN37" s="50"/>
    </row>
    <row r="38">
      <c r="A38" s="40"/>
      <c r="B38" s="40"/>
      <c r="C38" s="40"/>
      <c r="D38" s="40"/>
      <c r="E38" s="33" t="s">
        <v>70</v>
      </c>
      <c r="F38" s="40"/>
      <c r="G38" s="40"/>
      <c r="H38" s="40"/>
      <c r="I38" s="40"/>
      <c r="J38" s="40"/>
      <c r="K38" s="40"/>
      <c r="L38" s="40"/>
      <c r="M38" s="40"/>
      <c r="N38" s="44"/>
      <c r="O38" s="45"/>
      <c r="P38" s="45"/>
      <c r="Q38" s="46"/>
      <c r="R38" s="46"/>
      <c r="S38" s="46"/>
      <c r="T38" s="46"/>
      <c r="U38" s="47"/>
      <c r="V38" s="48"/>
      <c r="W38" s="47"/>
      <c r="X38" s="47"/>
      <c r="Y38" s="49"/>
      <c r="Z38" s="46">
        <v>834.0</v>
      </c>
      <c r="AA38" s="46">
        <v>751.0</v>
      </c>
      <c r="AB38" s="46"/>
      <c r="AC38" s="49"/>
      <c r="AD38" s="49"/>
      <c r="AE38" s="49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9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50"/>
      <c r="BM38" s="50"/>
      <c r="BN38" s="50"/>
    </row>
    <row r="39">
      <c r="A39" s="40"/>
      <c r="B39" s="40"/>
      <c r="C39" s="40"/>
      <c r="D39" s="40"/>
      <c r="E39" s="33" t="s">
        <v>71</v>
      </c>
      <c r="F39" s="40"/>
      <c r="G39" s="40"/>
      <c r="H39" s="40"/>
      <c r="I39" s="40"/>
      <c r="J39" s="40"/>
      <c r="K39" s="40"/>
      <c r="L39" s="40"/>
      <c r="M39" s="40"/>
      <c r="N39" s="44"/>
      <c r="O39" s="45"/>
      <c r="P39" s="45"/>
      <c r="Q39" s="46"/>
      <c r="R39" s="46"/>
      <c r="S39" s="46"/>
      <c r="T39" s="46"/>
      <c r="U39" s="47"/>
      <c r="V39" s="48"/>
      <c r="W39" s="47"/>
      <c r="X39" s="47"/>
      <c r="Y39" s="49"/>
      <c r="Z39" s="46">
        <v>688.0</v>
      </c>
      <c r="AA39" s="46">
        <v>1040.0</v>
      </c>
      <c r="AB39" s="46"/>
      <c r="AC39" s="49"/>
      <c r="AD39" s="49"/>
      <c r="AE39" s="49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9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50"/>
      <c r="BM39" s="50"/>
      <c r="BN39" s="50"/>
    </row>
    <row r="40">
      <c r="A40" s="40"/>
      <c r="B40" s="40"/>
      <c r="C40" s="40"/>
      <c r="D40" s="51"/>
      <c r="E40" s="33" t="s">
        <v>72</v>
      </c>
      <c r="F40" s="40"/>
      <c r="G40" s="40"/>
      <c r="H40" s="40"/>
      <c r="I40" s="40"/>
      <c r="J40" s="40"/>
      <c r="K40" s="40"/>
      <c r="L40" s="40"/>
      <c r="M40" s="51"/>
      <c r="N40" s="52"/>
      <c r="O40" s="53"/>
      <c r="P40" s="53"/>
      <c r="Q40" s="54"/>
      <c r="R40" s="54"/>
      <c r="S40" s="55"/>
      <c r="T40" s="55"/>
      <c r="U40" s="56"/>
      <c r="V40" s="57"/>
      <c r="W40" s="54"/>
      <c r="X40" s="54"/>
      <c r="Y40" s="58"/>
      <c r="Z40" s="54">
        <v>695.0</v>
      </c>
      <c r="AA40" s="54">
        <v>750.0</v>
      </c>
      <c r="AB40" s="54"/>
      <c r="AC40" s="58"/>
      <c r="AD40" s="58"/>
      <c r="AE40" s="58"/>
      <c r="AF40" s="33"/>
      <c r="AG40" s="33"/>
      <c r="AH40" s="33"/>
      <c r="AI40" s="33"/>
      <c r="AJ40" s="33"/>
      <c r="AK40" s="33"/>
      <c r="AL40" s="54"/>
      <c r="AM40" s="54"/>
      <c r="AN40" s="59"/>
      <c r="AO40" s="59"/>
      <c r="AP40" s="59"/>
      <c r="AQ40" s="58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50"/>
      <c r="BM40" s="50"/>
      <c r="BN40" s="50"/>
    </row>
    <row r="41">
      <c r="A41" s="40"/>
      <c r="B41" s="40"/>
      <c r="C41" s="40"/>
      <c r="D41" s="51"/>
      <c r="E41" s="33" t="s">
        <v>73</v>
      </c>
      <c r="F41" s="40"/>
      <c r="G41" s="40"/>
      <c r="H41" s="40"/>
      <c r="I41" s="40"/>
      <c r="J41" s="40"/>
      <c r="K41" s="40"/>
      <c r="L41" s="40"/>
      <c r="M41" s="51"/>
      <c r="N41" s="52"/>
      <c r="O41" s="53"/>
      <c r="P41" s="53"/>
      <c r="Q41" s="54"/>
      <c r="R41" s="54"/>
      <c r="S41" s="55"/>
      <c r="T41" s="55"/>
      <c r="U41" s="56"/>
      <c r="V41" s="57"/>
      <c r="W41" s="54"/>
      <c r="X41" s="54"/>
      <c r="Y41" s="58"/>
      <c r="Z41" s="54">
        <v>580.0</v>
      </c>
      <c r="AA41" s="54">
        <v>572.0</v>
      </c>
      <c r="AB41" s="54"/>
      <c r="AC41" s="58"/>
      <c r="AD41" s="58"/>
      <c r="AE41" s="58"/>
      <c r="AF41" s="33"/>
      <c r="AG41" s="33"/>
      <c r="AH41" s="33"/>
      <c r="AI41" s="33"/>
      <c r="AJ41" s="33"/>
      <c r="AK41" s="33"/>
      <c r="AL41" s="54"/>
      <c r="AM41" s="54"/>
      <c r="AN41" s="59"/>
      <c r="AO41" s="59"/>
      <c r="AP41" s="59"/>
      <c r="AQ41" s="58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50"/>
      <c r="BM41" s="50"/>
      <c r="BN41" s="50"/>
    </row>
    <row r="42">
      <c r="A42" s="50"/>
      <c r="B42" s="50"/>
      <c r="C42" s="50"/>
      <c r="D42" s="50"/>
      <c r="E42" s="158"/>
      <c r="F42" s="175"/>
      <c r="G42" s="175"/>
      <c r="H42" s="175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168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</row>
    <row r="43">
      <c r="A43" s="50"/>
      <c r="B43" s="50"/>
      <c r="C43" s="50"/>
      <c r="D43" s="50"/>
      <c r="E43" s="158"/>
      <c r="F43" s="175"/>
      <c r="G43" s="175"/>
      <c r="H43" s="175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168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</row>
    <row r="44">
      <c r="A44" s="50"/>
      <c r="B44" s="50"/>
      <c r="C44" s="50"/>
      <c r="D44" s="50"/>
      <c r="E44" s="158"/>
      <c r="F44" s="175"/>
      <c r="G44" s="175"/>
      <c r="H44" s="175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168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</row>
    <row r="45">
      <c r="A45" s="50"/>
      <c r="B45" s="50"/>
      <c r="C45" s="50"/>
      <c r="D45" s="50"/>
      <c r="E45" s="158"/>
      <c r="F45" s="175"/>
      <c r="G45" s="175"/>
      <c r="H45" s="175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168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</row>
    <row r="46">
      <c r="A46" s="50"/>
      <c r="B46" s="50"/>
      <c r="C46" s="50"/>
      <c r="D46" s="50"/>
      <c r="E46" s="158"/>
      <c r="F46" s="175"/>
      <c r="G46" s="175"/>
      <c r="H46" s="175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168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</row>
    <row r="47">
      <c r="A47" s="50"/>
      <c r="B47" s="50"/>
      <c r="C47" s="50"/>
      <c r="D47" s="50"/>
      <c r="E47" s="158"/>
      <c r="F47" s="175"/>
      <c r="G47" s="175"/>
      <c r="H47" s="175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168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</row>
    <row r="48">
      <c r="A48" s="50"/>
      <c r="B48" s="50"/>
      <c r="C48" s="50"/>
      <c r="D48" s="50"/>
      <c r="E48" s="158"/>
      <c r="F48" s="175"/>
      <c r="G48" s="175"/>
      <c r="H48" s="175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168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</row>
    <row r="49">
      <c r="A49" s="50"/>
      <c r="B49" s="50"/>
      <c r="C49" s="50"/>
      <c r="D49" s="50"/>
      <c r="E49" s="158"/>
      <c r="F49" s="175"/>
      <c r="G49" s="175"/>
      <c r="H49" s="175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168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</row>
    <row r="50">
      <c r="A50" s="50"/>
      <c r="B50" s="50"/>
      <c r="C50" s="50"/>
      <c r="D50" s="50"/>
      <c r="E50" s="158"/>
      <c r="F50" s="175"/>
      <c r="G50" s="175"/>
      <c r="H50" s="175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168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</row>
    <row r="51">
      <c r="A51" s="50"/>
      <c r="B51" s="50"/>
      <c r="C51" s="50"/>
      <c r="D51" s="50"/>
      <c r="E51" s="158"/>
      <c r="F51" s="175"/>
      <c r="G51" s="175"/>
      <c r="H51" s="175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168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</row>
    <row r="52">
      <c r="A52" s="50"/>
      <c r="B52" s="50"/>
      <c r="C52" s="50"/>
      <c r="D52" s="50"/>
      <c r="E52" s="158"/>
      <c r="F52" s="175"/>
      <c r="G52" s="175"/>
      <c r="H52" s="175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168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</row>
    <row r="53">
      <c r="A53" s="50"/>
      <c r="B53" s="50"/>
      <c r="C53" s="50"/>
      <c r="D53" s="50"/>
      <c r="E53" s="158"/>
      <c r="F53" s="175"/>
      <c r="G53" s="175"/>
      <c r="H53" s="175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168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</row>
    <row r="54">
      <c r="A54" s="50"/>
      <c r="B54" s="50"/>
      <c r="C54" s="50"/>
      <c r="D54" s="50"/>
      <c r="E54" s="158"/>
      <c r="F54" s="175"/>
      <c r="G54" s="175"/>
      <c r="H54" s="175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168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</row>
    <row r="55">
      <c r="A55" s="50"/>
      <c r="B55" s="50"/>
      <c r="C55" s="50"/>
      <c r="D55" s="50"/>
      <c r="E55" s="158"/>
      <c r="F55" s="175"/>
      <c r="G55" s="175"/>
      <c r="H55" s="175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168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</row>
    <row r="56">
      <c r="A56" s="50"/>
      <c r="B56" s="50"/>
      <c r="C56" s="50"/>
      <c r="D56" s="50"/>
      <c r="E56" s="158"/>
      <c r="F56" s="175"/>
      <c r="G56" s="175"/>
      <c r="H56" s="175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168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</row>
    <row r="57">
      <c r="A57" s="50"/>
      <c r="B57" s="50"/>
      <c r="C57" s="50"/>
      <c r="D57" s="50"/>
      <c r="E57" s="158"/>
      <c r="F57" s="175"/>
      <c r="G57" s="175"/>
      <c r="H57" s="175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168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</row>
    <row r="58">
      <c r="A58" s="50"/>
      <c r="B58" s="50"/>
      <c r="C58" s="50"/>
      <c r="D58" s="50"/>
      <c r="E58" s="158"/>
      <c r="F58" s="175"/>
      <c r="G58" s="175"/>
      <c r="H58" s="175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168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</row>
    <row r="59">
      <c r="A59" s="50"/>
      <c r="B59" s="50"/>
      <c r="C59" s="50"/>
      <c r="D59" s="50"/>
      <c r="E59" s="158"/>
      <c r="F59" s="175"/>
      <c r="G59" s="175"/>
      <c r="H59" s="175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168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</row>
    <row r="60">
      <c r="A60" s="50"/>
      <c r="B60" s="50"/>
      <c r="C60" s="50"/>
      <c r="D60" s="50"/>
      <c r="E60" s="158"/>
      <c r="F60" s="175"/>
      <c r="G60" s="175"/>
      <c r="H60" s="175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168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</row>
    <row r="61">
      <c r="A61" s="50"/>
      <c r="B61" s="50"/>
      <c r="C61" s="50"/>
      <c r="D61" s="50"/>
      <c r="E61" s="158"/>
      <c r="F61" s="175"/>
      <c r="G61" s="175"/>
      <c r="H61" s="175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168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</row>
    <row r="62">
      <c r="A62" s="50"/>
      <c r="B62" s="50"/>
      <c r="C62" s="50"/>
      <c r="D62" s="50"/>
      <c r="E62" s="158"/>
      <c r="F62" s="175"/>
      <c r="G62" s="175"/>
      <c r="H62" s="175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168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</row>
    <row r="63">
      <c r="A63" s="50"/>
      <c r="B63" s="50"/>
      <c r="C63" s="50"/>
      <c r="D63" s="50"/>
      <c r="E63" s="158"/>
      <c r="F63" s="175"/>
      <c r="G63" s="175"/>
      <c r="H63" s="175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168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</row>
    <row r="64">
      <c r="A64" s="50"/>
      <c r="B64" s="50"/>
      <c r="C64" s="50"/>
      <c r="D64" s="50"/>
      <c r="E64" s="158"/>
      <c r="F64" s="175"/>
      <c r="G64" s="175"/>
      <c r="H64" s="175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168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</row>
    <row r="65">
      <c r="A65" s="50"/>
      <c r="B65" s="50"/>
      <c r="C65" s="50"/>
      <c r="D65" s="50"/>
      <c r="E65" s="158"/>
      <c r="F65" s="175"/>
      <c r="G65" s="175"/>
      <c r="H65" s="175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168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</row>
    <row r="66">
      <c r="A66" s="50"/>
      <c r="B66" s="50"/>
      <c r="C66" s="50"/>
      <c r="D66" s="50"/>
      <c r="E66" s="158"/>
      <c r="F66" s="175"/>
      <c r="G66" s="175"/>
      <c r="H66" s="175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168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</row>
    <row r="67">
      <c r="A67" s="50"/>
      <c r="B67" s="50"/>
      <c r="C67" s="50"/>
      <c r="D67" s="50"/>
      <c r="E67" s="158"/>
      <c r="F67" s="175"/>
      <c r="G67" s="175"/>
      <c r="H67" s="175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168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</row>
    <row r="68">
      <c r="A68" s="50"/>
      <c r="B68" s="50"/>
      <c r="C68" s="50"/>
      <c r="D68" s="50"/>
      <c r="E68" s="158"/>
      <c r="F68" s="175"/>
      <c r="G68" s="175"/>
      <c r="H68" s="175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168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</row>
    <row r="69">
      <c r="A69" s="50"/>
      <c r="B69" s="50"/>
      <c r="C69" s="50"/>
      <c r="D69" s="50"/>
      <c r="E69" s="158"/>
      <c r="F69" s="175"/>
      <c r="G69" s="175"/>
      <c r="H69" s="175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168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</row>
    <row r="70">
      <c r="A70" s="50"/>
      <c r="B70" s="50"/>
      <c r="C70" s="50"/>
      <c r="D70" s="50"/>
      <c r="E70" s="158"/>
      <c r="F70" s="175"/>
      <c r="G70" s="175"/>
      <c r="H70" s="175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168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</row>
    <row r="71">
      <c r="A71" s="50"/>
      <c r="B71" s="50"/>
      <c r="C71" s="50"/>
      <c r="D71" s="50"/>
      <c r="E71" s="158"/>
      <c r="F71" s="175"/>
      <c r="G71" s="175"/>
      <c r="H71" s="175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168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</row>
    <row r="72">
      <c r="A72" s="50"/>
      <c r="B72" s="50"/>
      <c r="C72" s="50"/>
      <c r="D72" s="50"/>
      <c r="E72" s="158"/>
      <c r="F72" s="175"/>
      <c r="G72" s="175"/>
      <c r="H72" s="175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168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</row>
    <row r="73">
      <c r="A73" s="50"/>
      <c r="B73" s="50"/>
      <c r="C73" s="50"/>
      <c r="D73" s="50"/>
      <c r="E73" s="158"/>
      <c r="F73" s="175"/>
      <c r="G73" s="175"/>
      <c r="H73" s="175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168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</row>
    <row r="74">
      <c r="A74" s="50"/>
      <c r="B74" s="50"/>
      <c r="C74" s="50"/>
      <c r="D74" s="50"/>
      <c r="E74" s="158"/>
      <c r="F74" s="175"/>
      <c r="G74" s="175"/>
      <c r="H74" s="175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168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</row>
    <row r="75">
      <c r="A75" s="50"/>
      <c r="B75" s="50"/>
      <c r="C75" s="50"/>
      <c r="D75" s="50"/>
      <c r="E75" s="158"/>
      <c r="F75" s="175"/>
      <c r="G75" s="175"/>
      <c r="H75" s="175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168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</row>
    <row r="76">
      <c r="A76" s="50"/>
      <c r="B76" s="50"/>
      <c r="C76" s="50"/>
      <c r="D76" s="50"/>
      <c r="E76" s="158"/>
      <c r="F76" s="175"/>
      <c r="G76" s="175"/>
      <c r="H76" s="175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168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</row>
    <row r="77">
      <c r="A77" s="50"/>
      <c r="B77" s="50"/>
      <c r="C77" s="50"/>
      <c r="D77" s="50"/>
      <c r="E77" s="158"/>
      <c r="F77" s="175"/>
      <c r="G77" s="175"/>
      <c r="H77" s="175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168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</row>
    <row r="78">
      <c r="A78" s="50"/>
      <c r="B78" s="50"/>
      <c r="C78" s="50"/>
      <c r="D78" s="50"/>
      <c r="E78" s="158"/>
      <c r="F78" s="175"/>
      <c r="G78" s="175"/>
      <c r="H78" s="175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168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</row>
    <row r="79">
      <c r="A79" s="50"/>
      <c r="B79" s="50"/>
      <c r="C79" s="50"/>
      <c r="D79" s="50"/>
      <c r="E79" s="158"/>
      <c r="F79" s="175"/>
      <c r="G79" s="175"/>
      <c r="H79" s="175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168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</row>
    <row r="80">
      <c r="A80" s="50"/>
      <c r="B80" s="50"/>
      <c r="C80" s="50"/>
      <c r="D80" s="50"/>
      <c r="E80" s="158"/>
      <c r="F80" s="175"/>
      <c r="G80" s="175"/>
      <c r="H80" s="175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168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</row>
    <row r="81">
      <c r="A81" s="50"/>
      <c r="B81" s="50"/>
      <c r="C81" s="50"/>
      <c r="D81" s="50"/>
      <c r="E81" s="158"/>
      <c r="F81" s="175"/>
      <c r="G81" s="175"/>
      <c r="H81" s="175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168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</row>
    <row r="82">
      <c r="A82" s="50"/>
      <c r="B82" s="50"/>
      <c r="C82" s="50"/>
      <c r="D82" s="50"/>
      <c r="E82" s="158"/>
      <c r="F82" s="175"/>
      <c r="G82" s="175"/>
      <c r="H82" s="175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168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</row>
    <row r="83">
      <c r="A83" s="50"/>
      <c r="B83" s="50"/>
      <c r="C83" s="50"/>
      <c r="D83" s="50"/>
      <c r="E83" s="158"/>
      <c r="F83" s="175"/>
      <c r="G83" s="175"/>
      <c r="H83" s="175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168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</row>
    <row r="84">
      <c r="A84" s="50"/>
      <c r="B84" s="50"/>
      <c r="C84" s="50"/>
      <c r="D84" s="50"/>
      <c r="E84" s="158"/>
      <c r="F84" s="175"/>
      <c r="G84" s="175"/>
      <c r="H84" s="175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168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</row>
    <row r="85">
      <c r="A85" s="50"/>
      <c r="B85" s="50"/>
      <c r="C85" s="50"/>
      <c r="D85" s="50"/>
      <c r="E85" s="158"/>
      <c r="F85" s="175"/>
      <c r="G85" s="175"/>
      <c r="H85" s="175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168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</row>
    <row r="86">
      <c r="A86" s="50"/>
      <c r="B86" s="50"/>
      <c r="C86" s="50"/>
      <c r="D86" s="50"/>
      <c r="E86" s="158"/>
      <c r="F86" s="175"/>
      <c r="G86" s="175"/>
      <c r="H86" s="175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168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</row>
    <row r="87">
      <c r="A87" s="50"/>
      <c r="B87" s="50"/>
      <c r="C87" s="50"/>
      <c r="D87" s="50"/>
      <c r="E87" s="158"/>
      <c r="F87" s="175"/>
      <c r="G87" s="175"/>
      <c r="H87" s="175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168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</row>
    <row r="88">
      <c r="A88" s="50"/>
      <c r="B88" s="50"/>
      <c r="C88" s="50"/>
      <c r="D88" s="50"/>
      <c r="E88" s="158"/>
      <c r="F88" s="175"/>
      <c r="G88" s="175"/>
      <c r="H88" s="175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168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</row>
    <row r="89">
      <c r="A89" s="50"/>
      <c r="B89" s="50"/>
      <c r="C89" s="50"/>
      <c r="D89" s="50"/>
      <c r="E89" s="158"/>
      <c r="F89" s="175"/>
      <c r="G89" s="175"/>
      <c r="H89" s="175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168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</row>
    <row r="90">
      <c r="A90" s="50"/>
      <c r="B90" s="50"/>
      <c r="C90" s="50"/>
      <c r="D90" s="50"/>
      <c r="E90" s="158"/>
      <c r="F90" s="175"/>
      <c r="G90" s="175"/>
      <c r="H90" s="175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168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</row>
    <row r="91">
      <c r="A91" s="50"/>
      <c r="B91" s="50"/>
      <c r="C91" s="50"/>
      <c r="D91" s="50"/>
      <c r="E91" s="158"/>
      <c r="F91" s="175"/>
      <c r="G91" s="175"/>
      <c r="H91" s="175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168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</row>
    <row r="92">
      <c r="A92" s="50"/>
      <c r="B92" s="50"/>
      <c r="C92" s="50"/>
      <c r="D92" s="50"/>
      <c r="E92" s="158"/>
      <c r="F92" s="175"/>
      <c r="G92" s="175"/>
      <c r="H92" s="175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168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</row>
    <row r="93">
      <c r="A93" s="50"/>
      <c r="B93" s="50"/>
      <c r="C93" s="50"/>
      <c r="D93" s="50"/>
      <c r="E93" s="158"/>
      <c r="F93" s="175"/>
      <c r="G93" s="175"/>
      <c r="H93" s="175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168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</row>
    <row r="94">
      <c r="A94" s="50"/>
      <c r="B94" s="50"/>
      <c r="C94" s="50"/>
      <c r="D94" s="50"/>
      <c r="E94" s="158"/>
      <c r="F94" s="175"/>
      <c r="G94" s="175"/>
      <c r="H94" s="175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168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</row>
    <row r="95">
      <c r="A95" s="50"/>
      <c r="B95" s="50"/>
      <c r="C95" s="50"/>
      <c r="D95" s="50"/>
      <c r="E95" s="158"/>
      <c r="F95" s="175"/>
      <c r="G95" s="175"/>
      <c r="H95" s="175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168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</row>
    <row r="96">
      <c r="A96" s="50"/>
      <c r="B96" s="50"/>
      <c r="C96" s="50"/>
      <c r="D96" s="50"/>
      <c r="E96" s="158"/>
      <c r="F96" s="175"/>
      <c r="G96" s="175"/>
      <c r="H96" s="175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168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</row>
    <row r="97">
      <c r="A97" s="50"/>
      <c r="B97" s="50"/>
      <c r="C97" s="50"/>
      <c r="D97" s="50"/>
      <c r="E97" s="158"/>
      <c r="F97" s="175"/>
      <c r="G97" s="175"/>
      <c r="H97" s="175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168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</row>
    <row r="98">
      <c r="A98" s="50"/>
      <c r="B98" s="50"/>
      <c r="C98" s="50"/>
      <c r="D98" s="50"/>
      <c r="E98" s="158"/>
      <c r="F98" s="175"/>
      <c r="G98" s="175"/>
      <c r="H98" s="175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168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</row>
    <row r="99">
      <c r="A99" s="50"/>
      <c r="B99" s="50"/>
      <c r="C99" s="50"/>
      <c r="D99" s="50"/>
      <c r="E99" s="158"/>
      <c r="F99" s="175"/>
      <c r="G99" s="175"/>
      <c r="H99" s="175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168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</row>
    <row r="100">
      <c r="A100" s="50"/>
      <c r="B100" s="50"/>
      <c r="C100" s="50"/>
      <c r="D100" s="50"/>
      <c r="E100" s="158"/>
      <c r="F100" s="175"/>
      <c r="G100" s="175"/>
      <c r="H100" s="175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168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</row>
    <row r="101">
      <c r="A101" s="50"/>
      <c r="B101" s="50"/>
      <c r="C101" s="50"/>
      <c r="D101" s="50"/>
      <c r="E101" s="158"/>
      <c r="F101" s="175"/>
      <c r="G101" s="175"/>
      <c r="H101" s="175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168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</row>
    <row r="102">
      <c r="A102" s="50"/>
      <c r="B102" s="50"/>
      <c r="C102" s="50"/>
      <c r="D102" s="50"/>
      <c r="E102" s="158"/>
      <c r="F102" s="175"/>
      <c r="G102" s="175"/>
      <c r="H102" s="175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168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</row>
    <row r="103">
      <c r="A103" s="50"/>
      <c r="B103" s="50"/>
      <c r="C103" s="50"/>
      <c r="D103" s="50"/>
      <c r="E103" s="158"/>
      <c r="F103" s="175"/>
      <c r="G103" s="175"/>
      <c r="H103" s="175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168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</row>
    <row r="104">
      <c r="A104" s="50"/>
      <c r="B104" s="50"/>
      <c r="C104" s="50"/>
      <c r="D104" s="50"/>
      <c r="E104" s="158"/>
      <c r="F104" s="175"/>
      <c r="G104" s="175"/>
      <c r="H104" s="175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168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</row>
    <row r="105">
      <c r="A105" s="50"/>
      <c r="B105" s="50"/>
      <c r="C105" s="50"/>
      <c r="D105" s="50"/>
      <c r="E105" s="158"/>
      <c r="F105" s="175"/>
      <c r="G105" s="175"/>
      <c r="H105" s="175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168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</row>
    <row r="106">
      <c r="A106" s="50"/>
      <c r="B106" s="50"/>
      <c r="C106" s="50"/>
      <c r="D106" s="50"/>
      <c r="E106" s="158"/>
      <c r="F106" s="175"/>
      <c r="G106" s="175"/>
      <c r="H106" s="175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168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</row>
    <row r="107">
      <c r="A107" s="50"/>
      <c r="B107" s="50"/>
      <c r="C107" s="50"/>
      <c r="D107" s="50"/>
      <c r="E107" s="158"/>
      <c r="F107" s="175"/>
      <c r="G107" s="175"/>
      <c r="H107" s="175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168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</row>
    <row r="108">
      <c r="A108" s="50"/>
      <c r="B108" s="50"/>
      <c r="C108" s="50"/>
      <c r="D108" s="50"/>
      <c r="E108" s="158"/>
      <c r="F108" s="175"/>
      <c r="G108" s="175"/>
      <c r="H108" s="175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168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</row>
    <row r="109">
      <c r="A109" s="50"/>
      <c r="B109" s="50"/>
      <c r="C109" s="50"/>
      <c r="D109" s="50"/>
      <c r="E109" s="158"/>
      <c r="F109" s="175"/>
      <c r="G109" s="175"/>
      <c r="H109" s="175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168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</row>
    <row r="110">
      <c r="A110" s="50"/>
      <c r="B110" s="50"/>
      <c r="C110" s="50"/>
      <c r="D110" s="50"/>
      <c r="E110" s="158"/>
      <c r="F110" s="175"/>
      <c r="G110" s="175"/>
      <c r="H110" s="175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168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</row>
    <row r="111">
      <c r="A111" s="50"/>
      <c r="B111" s="50"/>
      <c r="C111" s="50"/>
      <c r="D111" s="50"/>
      <c r="E111" s="158"/>
      <c r="F111" s="175"/>
      <c r="G111" s="175"/>
      <c r="H111" s="175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168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</row>
    <row r="112">
      <c r="A112" s="50"/>
      <c r="B112" s="50"/>
      <c r="C112" s="50"/>
      <c r="D112" s="50"/>
      <c r="E112" s="158"/>
      <c r="F112" s="175"/>
      <c r="G112" s="175"/>
      <c r="H112" s="175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168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</row>
    <row r="113">
      <c r="A113" s="50"/>
      <c r="B113" s="50"/>
      <c r="C113" s="50"/>
      <c r="D113" s="50"/>
      <c r="E113" s="158"/>
      <c r="F113" s="175"/>
      <c r="G113" s="175"/>
      <c r="H113" s="175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168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  <c r="BM113" s="50"/>
      <c r="BN113" s="50"/>
    </row>
    <row r="114">
      <c r="A114" s="50"/>
      <c r="B114" s="50"/>
      <c r="C114" s="50"/>
      <c r="D114" s="50"/>
      <c r="E114" s="158"/>
      <c r="F114" s="175"/>
      <c r="G114" s="175"/>
      <c r="H114" s="175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168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</row>
    <row r="115">
      <c r="A115" s="50"/>
      <c r="B115" s="50"/>
      <c r="C115" s="50"/>
      <c r="D115" s="50"/>
      <c r="E115" s="158"/>
      <c r="F115" s="175"/>
      <c r="G115" s="175"/>
      <c r="H115" s="175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168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</row>
    <row r="116">
      <c r="A116" s="50"/>
      <c r="B116" s="50"/>
      <c r="C116" s="50"/>
      <c r="D116" s="50"/>
      <c r="E116" s="158"/>
      <c r="F116" s="175"/>
      <c r="G116" s="175"/>
      <c r="H116" s="175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168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</row>
    <row r="117">
      <c r="A117" s="50"/>
      <c r="B117" s="50"/>
      <c r="C117" s="50"/>
      <c r="D117" s="50"/>
      <c r="E117" s="158"/>
      <c r="F117" s="175"/>
      <c r="G117" s="175"/>
      <c r="H117" s="175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168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50"/>
      <c r="BN117" s="50"/>
    </row>
    <row r="118">
      <c r="A118" s="50"/>
      <c r="B118" s="50"/>
      <c r="C118" s="50"/>
      <c r="D118" s="50"/>
      <c r="E118" s="158"/>
      <c r="F118" s="175"/>
      <c r="G118" s="175"/>
      <c r="H118" s="175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168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</row>
    <row r="119">
      <c r="A119" s="50"/>
      <c r="B119" s="50"/>
      <c r="C119" s="50"/>
      <c r="D119" s="50"/>
      <c r="E119" s="158"/>
      <c r="F119" s="175"/>
      <c r="G119" s="175"/>
      <c r="H119" s="175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168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</row>
    <row r="120">
      <c r="A120" s="50"/>
      <c r="B120" s="50"/>
      <c r="C120" s="50"/>
      <c r="D120" s="50"/>
      <c r="E120" s="158"/>
      <c r="F120" s="175"/>
      <c r="G120" s="175"/>
      <c r="H120" s="175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168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50"/>
      <c r="BN120" s="50"/>
    </row>
    <row r="121">
      <c r="A121" s="50"/>
      <c r="B121" s="50"/>
      <c r="C121" s="50"/>
      <c r="D121" s="50"/>
      <c r="E121" s="158"/>
      <c r="F121" s="175"/>
      <c r="G121" s="175"/>
      <c r="H121" s="175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168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  <c r="BL121" s="50"/>
      <c r="BM121" s="50"/>
      <c r="BN121" s="50"/>
    </row>
    <row r="122">
      <c r="A122" s="50"/>
      <c r="B122" s="50"/>
      <c r="C122" s="50"/>
      <c r="D122" s="50"/>
      <c r="E122" s="158"/>
      <c r="F122" s="175"/>
      <c r="G122" s="175"/>
      <c r="H122" s="175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168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</row>
    <row r="123">
      <c r="A123" s="50"/>
      <c r="B123" s="50"/>
      <c r="C123" s="50"/>
      <c r="D123" s="50"/>
      <c r="E123" s="158"/>
      <c r="F123" s="175"/>
      <c r="G123" s="175"/>
      <c r="H123" s="175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168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</row>
    <row r="124">
      <c r="A124" s="50"/>
      <c r="B124" s="50"/>
      <c r="C124" s="50"/>
      <c r="D124" s="50"/>
      <c r="E124" s="158"/>
      <c r="F124" s="175"/>
      <c r="G124" s="175"/>
      <c r="H124" s="175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168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0"/>
    </row>
    <row r="125">
      <c r="A125" s="50"/>
      <c r="B125" s="50"/>
      <c r="C125" s="50"/>
      <c r="D125" s="50"/>
      <c r="E125" s="158"/>
      <c r="F125" s="175"/>
      <c r="G125" s="175"/>
      <c r="H125" s="175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168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50"/>
      <c r="BN125" s="50"/>
    </row>
    <row r="126">
      <c r="A126" s="50"/>
      <c r="B126" s="50"/>
      <c r="C126" s="50"/>
      <c r="D126" s="50"/>
      <c r="E126" s="158"/>
      <c r="F126" s="175"/>
      <c r="G126" s="175"/>
      <c r="H126" s="175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168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50"/>
      <c r="BN126" s="50"/>
    </row>
    <row r="127">
      <c r="A127" s="50"/>
      <c r="B127" s="50"/>
      <c r="C127" s="50"/>
      <c r="D127" s="50"/>
      <c r="E127" s="158"/>
      <c r="F127" s="175"/>
      <c r="G127" s="175"/>
      <c r="H127" s="175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168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  <c r="BM127" s="50"/>
      <c r="BN127" s="50"/>
    </row>
    <row r="128">
      <c r="A128" s="50"/>
      <c r="B128" s="50"/>
      <c r="C128" s="50"/>
      <c r="D128" s="50"/>
      <c r="E128" s="158"/>
      <c r="F128" s="175"/>
      <c r="G128" s="175"/>
      <c r="H128" s="175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168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</row>
    <row r="129">
      <c r="A129" s="50"/>
      <c r="B129" s="50"/>
      <c r="C129" s="50"/>
      <c r="D129" s="50"/>
      <c r="E129" s="158"/>
      <c r="F129" s="175"/>
      <c r="G129" s="175"/>
      <c r="H129" s="175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168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  <c r="BM129" s="50"/>
      <c r="BN129" s="50"/>
    </row>
    <row r="130">
      <c r="A130" s="50"/>
      <c r="B130" s="50"/>
      <c r="C130" s="50"/>
      <c r="D130" s="50"/>
      <c r="E130" s="158"/>
      <c r="F130" s="175"/>
      <c r="G130" s="175"/>
      <c r="H130" s="175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168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  <c r="BM130" s="50"/>
      <c r="BN130" s="50"/>
    </row>
    <row r="131">
      <c r="A131" s="50"/>
      <c r="B131" s="50"/>
      <c r="C131" s="50"/>
      <c r="D131" s="50"/>
      <c r="E131" s="158"/>
      <c r="F131" s="175"/>
      <c r="G131" s="175"/>
      <c r="H131" s="175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168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</row>
    <row r="132">
      <c r="A132" s="50"/>
      <c r="B132" s="50"/>
      <c r="C132" s="50"/>
      <c r="D132" s="50"/>
      <c r="E132" s="158"/>
      <c r="F132" s="175"/>
      <c r="G132" s="175"/>
      <c r="H132" s="175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168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  <c r="BM132" s="50"/>
      <c r="BN132" s="50"/>
    </row>
    <row r="133">
      <c r="A133" s="50"/>
      <c r="B133" s="50"/>
      <c r="C133" s="50"/>
      <c r="D133" s="50"/>
      <c r="E133" s="158"/>
      <c r="F133" s="175"/>
      <c r="G133" s="175"/>
      <c r="H133" s="175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168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</row>
    <row r="134">
      <c r="A134" s="50"/>
      <c r="B134" s="50"/>
      <c r="C134" s="50"/>
      <c r="D134" s="50"/>
      <c r="E134" s="158"/>
      <c r="F134" s="175"/>
      <c r="G134" s="175"/>
      <c r="H134" s="175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168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  <c r="BM134" s="50"/>
      <c r="BN134" s="50"/>
    </row>
    <row r="135">
      <c r="A135" s="50"/>
      <c r="B135" s="50"/>
      <c r="C135" s="50"/>
      <c r="D135" s="50"/>
      <c r="E135" s="158"/>
      <c r="F135" s="175"/>
      <c r="G135" s="175"/>
      <c r="H135" s="175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168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0"/>
    </row>
    <row r="136">
      <c r="A136" s="50"/>
      <c r="B136" s="50"/>
      <c r="C136" s="50"/>
      <c r="D136" s="50"/>
      <c r="E136" s="158"/>
      <c r="F136" s="175"/>
      <c r="G136" s="175"/>
      <c r="H136" s="175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168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/>
      <c r="BJ136" s="50"/>
      <c r="BK136" s="50"/>
      <c r="BL136" s="50"/>
      <c r="BM136" s="50"/>
      <c r="BN136" s="50"/>
    </row>
    <row r="137">
      <c r="A137" s="50"/>
      <c r="B137" s="50"/>
      <c r="C137" s="50"/>
      <c r="D137" s="50"/>
      <c r="E137" s="158"/>
      <c r="F137" s="175"/>
      <c r="G137" s="175"/>
      <c r="H137" s="175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168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0"/>
    </row>
    <row r="138">
      <c r="A138" s="50"/>
      <c r="B138" s="50"/>
      <c r="C138" s="50"/>
      <c r="D138" s="50"/>
      <c r="E138" s="158"/>
      <c r="F138" s="175"/>
      <c r="G138" s="175"/>
      <c r="H138" s="175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168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</row>
    <row r="139">
      <c r="A139" s="50"/>
      <c r="B139" s="50"/>
      <c r="C139" s="50"/>
      <c r="D139" s="50"/>
      <c r="E139" s="158"/>
      <c r="F139" s="175"/>
      <c r="G139" s="175"/>
      <c r="H139" s="175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168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</row>
    <row r="140">
      <c r="A140" s="50"/>
      <c r="B140" s="50"/>
      <c r="C140" s="50"/>
      <c r="D140" s="50"/>
      <c r="E140" s="158"/>
      <c r="F140" s="175"/>
      <c r="G140" s="175"/>
      <c r="H140" s="175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168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</row>
    <row r="141">
      <c r="A141" s="50"/>
      <c r="B141" s="50"/>
      <c r="C141" s="50"/>
      <c r="D141" s="50"/>
      <c r="E141" s="158"/>
      <c r="F141" s="175"/>
      <c r="G141" s="175"/>
      <c r="H141" s="175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168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</row>
    <row r="142">
      <c r="A142" s="50"/>
      <c r="B142" s="50"/>
      <c r="C142" s="50"/>
      <c r="D142" s="50"/>
      <c r="E142" s="158"/>
      <c r="F142" s="175"/>
      <c r="G142" s="175"/>
      <c r="H142" s="175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168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</row>
    <row r="143">
      <c r="A143" s="50"/>
      <c r="B143" s="50"/>
      <c r="C143" s="50"/>
      <c r="D143" s="50"/>
      <c r="E143" s="158"/>
      <c r="F143" s="175"/>
      <c r="G143" s="175"/>
      <c r="H143" s="175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168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</row>
    <row r="144">
      <c r="A144" s="50"/>
      <c r="B144" s="50"/>
      <c r="C144" s="50"/>
      <c r="D144" s="50"/>
      <c r="E144" s="158"/>
      <c r="F144" s="175"/>
      <c r="G144" s="175"/>
      <c r="H144" s="175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168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</row>
    <row r="145">
      <c r="A145" s="50"/>
      <c r="B145" s="50"/>
      <c r="C145" s="50"/>
      <c r="D145" s="50"/>
      <c r="E145" s="158"/>
      <c r="F145" s="175"/>
      <c r="G145" s="175"/>
      <c r="H145" s="175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168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</row>
    <row r="146">
      <c r="A146" s="50"/>
      <c r="B146" s="50"/>
      <c r="C146" s="50"/>
      <c r="D146" s="50"/>
      <c r="E146" s="158"/>
      <c r="F146" s="175"/>
      <c r="G146" s="175"/>
      <c r="H146" s="175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168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</row>
    <row r="147">
      <c r="A147" s="50"/>
      <c r="B147" s="50"/>
      <c r="C147" s="50"/>
      <c r="D147" s="50"/>
      <c r="E147" s="158"/>
      <c r="F147" s="175"/>
      <c r="G147" s="175"/>
      <c r="H147" s="175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168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</row>
    <row r="148">
      <c r="A148" s="50"/>
      <c r="B148" s="50"/>
      <c r="C148" s="50"/>
      <c r="D148" s="50"/>
      <c r="E148" s="158"/>
      <c r="F148" s="175"/>
      <c r="G148" s="175"/>
      <c r="H148" s="175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168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</row>
    <row r="149">
      <c r="A149" s="50"/>
      <c r="B149" s="50"/>
      <c r="C149" s="50"/>
      <c r="D149" s="50"/>
      <c r="E149" s="158"/>
      <c r="F149" s="175"/>
      <c r="G149" s="175"/>
      <c r="H149" s="175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168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</row>
    <row r="150">
      <c r="A150" s="50"/>
      <c r="B150" s="50"/>
      <c r="C150" s="50"/>
      <c r="D150" s="50"/>
      <c r="E150" s="158"/>
      <c r="F150" s="175"/>
      <c r="G150" s="175"/>
      <c r="H150" s="175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168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</row>
    <row r="151">
      <c r="A151" s="50"/>
      <c r="B151" s="50"/>
      <c r="C151" s="50"/>
      <c r="D151" s="50"/>
      <c r="E151" s="158"/>
      <c r="F151" s="175"/>
      <c r="G151" s="175"/>
      <c r="H151" s="175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168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0"/>
    </row>
    <row r="152">
      <c r="A152" s="50"/>
      <c r="B152" s="50"/>
      <c r="C152" s="50"/>
      <c r="D152" s="50"/>
      <c r="E152" s="158"/>
      <c r="F152" s="175"/>
      <c r="G152" s="175"/>
      <c r="H152" s="175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168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</row>
    <row r="153">
      <c r="A153" s="50"/>
      <c r="B153" s="50"/>
      <c r="C153" s="50"/>
      <c r="D153" s="50"/>
      <c r="E153" s="158"/>
      <c r="F153" s="175"/>
      <c r="G153" s="175"/>
      <c r="H153" s="175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168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</row>
    <row r="154">
      <c r="A154" s="50"/>
      <c r="B154" s="50"/>
      <c r="C154" s="50"/>
      <c r="D154" s="50"/>
      <c r="E154" s="158"/>
      <c r="F154" s="175"/>
      <c r="G154" s="175"/>
      <c r="H154" s="175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168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</row>
    <row r="155">
      <c r="A155" s="50"/>
      <c r="B155" s="50"/>
      <c r="C155" s="50"/>
      <c r="D155" s="50"/>
      <c r="E155" s="158"/>
      <c r="F155" s="175"/>
      <c r="G155" s="175"/>
      <c r="H155" s="175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168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</row>
    <row r="156">
      <c r="A156" s="50"/>
      <c r="B156" s="50"/>
      <c r="C156" s="50"/>
      <c r="D156" s="50"/>
      <c r="E156" s="158"/>
      <c r="F156" s="175"/>
      <c r="G156" s="175"/>
      <c r="H156" s="175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168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</row>
    <row r="157">
      <c r="A157" s="50"/>
      <c r="B157" s="50"/>
      <c r="C157" s="50"/>
      <c r="D157" s="50"/>
      <c r="E157" s="158"/>
      <c r="F157" s="175"/>
      <c r="G157" s="175"/>
      <c r="H157" s="175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168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</row>
    <row r="158">
      <c r="A158" s="50"/>
      <c r="B158" s="50"/>
      <c r="C158" s="50"/>
      <c r="D158" s="50"/>
      <c r="E158" s="158"/>
      <c r="F158" s="175"/>
      <c r="G158" s="175"/>
      <c r="H158" s="175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168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</row>
    <row r="159">
      <c r="A159" s="50"/>
      <c r="B159" s="50"/>
      <c r="C159" s="50"/>
      <c r="D159" s="50"/>
      <c r="E159" s="158"/>
      <c r="F159" s="175"/>
      <c r="G159" s="175"/>
      <c r="H159" s="175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168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50"/>
      <c r="BN159" s="50"/>
    </row>
    <row r="160">
      <c r="A160" s="50"/>
      <c r="B160" s="50"/>
      <c r="C160" s="50"/>
      <c r="D160" s="50"/>
      <c r="E160" s="158"/>
      <c r="F160" s="175"/>
      <c r="G160" s="175"/>
      <c r="H160" s="175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168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</row>
    <row r="161">
      <c r="A161" s="50"/>
      <c r="B161" s="50"/>
      <c r="C161" s="50"/>
      <c r="D161" s="50"/>
      <c r="E161" s="158"/>
      <c r="F161" s="175"/>
      <c r="G161" s="175"/>
      <c r="H161" s="175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168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  <c r="BM161" s="50"/>
      <c r="BN161" s="50"/>
    </row>
    <row r="162">
      <c r="A162" s="50"/>
      <c r="B162" s="50"/>
      <c r="C162" s="50"/>
      <c r="D162" s="50"/>
      <c r="E162" s="158"/>
      <c r="F162" s="175"/>
      <c r="G162" s="175"/>
      <c r="H162" s="175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168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</row>
    <row r="163">
      <c r="A163" s="50"/>
      <c r="B163" s="50"/>
      <c r="C163" s="50"/>
      <c r="D163" s="50"/>
      <c r="E163" s="158"/>
      <c r="F163" s="175"/>
      <c r="G163" s="175"/>
      <c r="H163" s="175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168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  <c r="BM163" s="50"/>
      <c r="BN163" s="50"/>
    </row>
    <row r="164">
      <c r="A164" s="50"/>
      <c r="B164" s="50"/>
      <c r="C164" s="50"/>
      <c r="D164" s="50"/>
      <c r="E164" s="158"/>
      <c r="F164" s="175"/>
      <c r="G164" s="175"/>
      <c r="H164" s="175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168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50"/>
      <c r="BN164" s="50"/>
    </row>
    <row r="165">
      <c r="A165" s="50"/>
      <c r="B165" s="50"/>
      <c r="C165" s="50"/>
      <c r="D165" s="50"/>
      <c r="E165" s="158"/>
      <c r="F165" s="175"/>
      <c r="G165" s="175"/>
      <c r="H165" s="175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168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</row>
    <row r="166">
      <c r="A166" s="50"/>
      <c r="B166" s="50"/>
      <c r="C166" s="50"/>
      <c r="D166" s="50"/>
      <c r="E166" s="158"/>
      <c r="F166" s="175"/>
      <c r="G166" s="175"/>
      <c r="H166" s="175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168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  <c r="BK166" s="50"/>
      <c r="BL166" s="50"/>
      <c r="BM166" s="50"/>
      <c r="BN166" s="50"/>
    </row>
    <row r="167">
      <c r="A167" s="50"/>
      <c r="B167" s="50"/>
      <c r="C167" s="50"/>
      <c r="D167" s="50"/>
      <c r="E167" s="158"/>
      <c r="F167" s="175"/>
      <c r="G167" s="175"/>
      <c r="H167" s="175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168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</row>
    <row r="168">
      <c r="A168" s="50"/>
      <c r="B168" s="50"/>
      <c r="C168" s="50"/>
      <c r="D168" s="50"/>
      <c r="E168" s="158"/>
      <c r="F168" s="175"/>
      <c r="G168" s="175"/>
      <c r="H168" s="175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168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50"/>
      <c r="BN168" s="50"/>
    </row>
    <row r="169">
      <c r="A169" s="50"/>
      <c r="B169" s="50"/>
      <c r="C169" s="50"/>
      <c r="D169" s="50"/>
      <c r="E169" s="158"/>
      <c r="F169" s="175"/>
      <c r="G169" s="175"/>
      <c r="H169" s="175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168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  <c r="BM169" s="50"/>
      <c r="BN169" s="50"/>
    </row>
    <row r="170">
      <c r="A170" s="50"/>
      <c r="B170" s="50"/>
      <c r="C170" s="50"/>
      <c r="D170" s="50"/>
      <c r="E170" s="158"/>
      <c r="F170" s="175"/>
      <c r="G170" s="175"/>
      <c r="H170" s="175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168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  <c r="BM170" s="50"/>
      <c r="BN170" s="50"/>
    </row>
    <row r="171">
      <c r="A171" s="50"/>
      <c r="B171" s="50"/>
      <c r="C171" s="50"/>
      <c r="D171" s="50"/>
      <c r="E171" s="158"/>
      <c r="F171" s="175"/>
      <c r="G171" s="175"/>
      <c r="H171" s="175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168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50"/>
      <c r="BN171" s="50"/>
    </row>
    <row r="172">
      <c r="A172" s="50"/>
      <c r="B172" s="50"/>
      <c r="C172" s="50"/>
      <c r="D172" s="50"/>
      <c r="E172" s="158"/>
      <c r="F172" s="175"/>
      <c r="G172" s="175"/>
      <c r="H172" s="175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168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  <c r="BM172" s="50"/>
      <c r="BN172" s="50"/>
    </row>
    <row r="173">
      <c r="A173" s="50"/>
      <c r="B173" s="50"/>
      <c r="C173" s="50"/>
      <c r="D173" s="50"/>
      <c r="E173" s="158"/>
      <c r="F173" s="175"/>
      <c r="G173" s="175"/>
      <c r="H173" s="175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168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</row>
    <row r="174">
      <c r="A174" s="50"/>
      <c r="B174" s="50"/>
      <c r="C174" s="50"/>
      <c r="D174" s="50"/>
      <c r="E174" s="158"/>
      <c r="F174" s="175"/>
      <c r="G174" s="175"/>
      <c r="H174" s="175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168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</row>
    <row r="175">
      <c r="A175" s="50"/>
      <c r="B175" s="50"/>
      <c r="C175" s="50"/>
      <c r="D175" s="50"/>
      <c r="E175" s="158"/>
      <c r="F175" s="175"/>
      <c r="G175" s="175"/>
      <c r="H175" s="175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168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50"/>
      <c r="BN175" s="50"/>
    </row>
    <row r="176">
      <c r="A176" s="50"/>
      <c r="B176" s="50"/>
      <c r="C176" s="50"/>
      <c r="D176" s="50"/>
      <c r="E176" s="158"/>
      <c r="F176" s="175"/>
      <c r="G176" s="175"/>
      <c r="H176" s="175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168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  <c r="BM176" s="50"/>
      <c r="BN176" s="50"/>
    </row>
    <row r="177">
      <c r="A177" s="50"/>
      <c r="B177" s="50"/>
      <c r="C177" s="50"/>
      <c r="D177" s="50"/>
      <c r="E177" s="158"/>
      <c r="F177" s="175"/>
      <c r="G177" s="175"/>
      <c r="H177" s="175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168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50"/>
      <c r="BN177" s="50"/>
    </row>
    <row r="178">
      <c r="A178" s="50"/>
      <c r="B178" s="50"/>
      <c r="C178" s="50"/>
      <c r="D178" s="50"/>
      <c r="E178" s="158"/>
      <c r="F178" s="175"/>
      <c r="G178" s="175"/>
      <c r="H178" s="175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168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</row>
    <row r="179">
      <c r="A179" s="50"/>
      <c r="B179" s="50"/>
      <c r="C179" s="50"/>
      <c r="D179" s="50"/>
      <c r="E179" s="158"/>
      <c r="F179" s="175"/>
      <c r="G179" s="175"/>
      <c r="H179" s="175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168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  <c r="BM179" s="50"/>
      <c r="BN179" s="50"/>
    </row>
    <row r="180">
      <c r="A180" s="50"/>
      <c r="B180" s="50"/>
      <c r="C180" s="50"/>
      <c r="D180" s="50"/>
      <c r="E180" s="158"/>
      <c r="F180" s="175"/>
      <c r="G180" s="175"/>
      <c r="H180" s="175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168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  <c r="BM180" s="50"/>
      <c r="BN180" s="50"/>
    </row>
    <row r="181">
      <c r="A181" s="50"/>
      <c r="B181" s="50"/>
      <c r="C181" s="50"/>
      <c r="D181" s="50"/>
      <c r="E181" s="158"/>
      <c r="F181" s="175"/>
      <c r="G181" s="175"/>
      <c r="H181" s="175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168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</row>
    <row r="182">
      <c r="A182" s="50"/>
      <c r="B182" s="50"/>
      <c r="C182" s="50"/>
      <c r="D182" s="50"/>
      <c r="E182" s="158"/>
      <c r="F182" s="175"/>
      <c r="G182" s="175"/>
      <c r="H182" s="175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168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</row>
    <row r="183">
      <c r="A183" s="50"/>
      <c r="B183" s="50"/>
      <c r="C183" s="50"/>
      <c r="D183" s="50"/>
      <c r="E183" s="158"/>
      <c r="F183" s="175"/>
      <c r="G183" s="175"/>
      <c r="H183" s="175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168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</row>
    <row r="184">
      <c r="A184" s="50"/>
      <c r="B184" s="50"/>
      <c r="C184" s="50"/>
      <c r="D184" s="50"/>
      <c r="E184" s="158"/>
      <c r="F184" s="175"/>
      <c r="G184" s="175"/>
      <c r="H184" s="175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168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</row>
    <row r="185">
      <c r="A185" s="50"/>
      <c r="B185" s="50"/>
      <c r="C185" s="50"/>
      <c r="D185" s="50"/>
      <c r="E185" s="158"/>
      <c r="F185" s="175"/>
      <c r="G185" s="175"/>
      <c r="H185" s="175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168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</row>
    <row r="186">
      <c r="A186" s="50"/>
      <c r="B186" s="50"/>
      <c r="C186" s="50"/>
      <c r="D186" s="50"/>
      <c r="E186" s="158"/>
      <c r="F186" s="175"/>
      <c r="G186" s="175"/>
      <c r="H186" s="175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168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50"/>
      <c r="BN186" s="50"/>
    </row>
    <row r="187">
      <c r="A187" s="50"/>
      <c r="B187" s="50"/>
      <c r="C187" s="50"/>
      <c r="D187" s="50"/>
      <c r="E187" s="158"/>
      <c r="F187" s="175"/>
      <c r="G187" s="175"/>
      <c r="H187" s="175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168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</row>
    <row r="188">
      <c r="A188" s="50"/>
      <c r="B188" s="50"/>
      <c r="C188" s="50"/>
      <c r="D188" s="50"/>
      <c r="E188" s="158"/>
      <c r="F188" s="175"/>
      <c r="G188" s="175"/>
      <c r="H188" s="175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168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</row>
    <row r="189">
      <c r="A189" s="50"/>
      <c r="B189" s="50"/>
      <c r="C189" s="50"/>
      <c r="D189" s="50"/>
      <c r="E189" s="158"/>
      <c r="F189" s="175"/>
      <c r="G189" s="175"/>
      <c r="H189" s="175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168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</row>
    <row r="190">
      <c r="A190" s="50"/>
      <c r="B190" s="50"/>
      <c r="C190" s="50"/>
      <c r="D190" s="50"/>
      <c r="E190" s="158"/>
      <c r="F190" s="175"/>
      <c r="G190" s="175"/>
      <c r="H190" s="175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168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  <c r="BL190" s="50"/>
      <c r="BM190" s="50"/>
      <c r="BN190" s="50"/>
    </row>
    <row r="191">
      <c r="A191" s="50"/>
      <c r="B191" s="50"/>
      <c r="C191" s="50"/>
      <c r="D191" s="50"/>
      <c r="E191" s="158"/>
      <c r="F191" s="175"/>
      <c r="G191" s="175"/>
      <c r="H191" s="175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168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/>
      <c r="BL191" s="50"/>
      <c r="BM191" s="50"/>
      <c r="BN191" s="50"/>
    </row>
    <row r="192">
      <c r="A192" s="50"/>
      <c r="B192" s="50"/>
      <c r="C192" s="50"/>
      <c r="D192" s="50"/>
      <c r="E192" s="158"/>
      <c r="F192" s="175"/>
      <c r="G192" s="175"/>
      <c r="H192" s="175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168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/>
      <c r="BL192" s="50"/>
      <c r="BM192" s="50"/>
      <c r="BN192" s="50"/>
    </row>
    <row r="193">
      <c r="A193" s="50"/>
      <c r="B193" s="50"/>
      <c r="C193" s="50"/>
      <c r="D193" s="50"/>
      <c r="E193" s="158"/>
      <c r="F193" s="175"/>
      <c r="G193" s="175"/>
      <c r="H193" s="175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168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  <c r="BK193" s="50"/>
      <c r="BL193" s="50"/>
      <c r="BM193" s="50"/>
      <c r="BN193" s="50"/>
    </row>
    <row r="194">
      <c r="A194" s="50"/>
      <c r="B194" s="50"/>
      <c r="C194" s="50"/>
      <c r="D194" s="50"/>
      <c r="E194" s="158"/>
      <c r="F194" s="175"/>
      <c r="G194" s="175"/>
      <c r="H194" s="175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168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  <c r="BL194" s="50"/>
      <c r="BM194" s="50"/>
      <c r="BN194" s="50"/>
    </row>
    <row r="195">
      <c r="A195" s="50"/>
      <c r="B195" s="50"/>
      <c r="C195" s="50"/>
      <c r="D195" s="50"/>
      <c r="E195" s="158"/>
      <c r="F195" s="175"/>
      <c r="G195" s="175"/>
      <c r="H195" s="175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168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  <c r="BM195" s="50"/>
      <c r="BN195" s="50"/>
    </row>
    <row r="196">
      <c r="A196" s="50"/>
      <c r="B196" s="50"/>
      <c r="C196" s="50"/>
      <c r="D196" s="50"/>
      <c r="E196" s="158"/>
      <c r="F196" s="175"/>
      <c r="G196" s="175"/>
      <c r="H196" s="175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168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50"/>
      <c r="BN196" s="50"/>
    </row>
    <row r="197">
      <c r="A197" s="50"/>
      <c r="B197" s="50"/>
      <c r="C197" s="50"/>
      <c r="D197" s="50"/>
      <c r="E197" s="158"/>
      <c r="F197" s="175"/>
      <c r="G197" s="175"/>
      <c r="H197" s="175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168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  <c r="BL197" s="50"/>
      <c r="BM197" s="50"/>
      <c r="BN197" s="50"/>
    </row>
    <row r="198">
      <c r="A198" s="50"/>
      <c r="B198" s="50"/>
      <c r="C198" s="50"/>
      <c r="D198" s="50"/>
      <c r="E198" s="158"/>
      <c r="F198" s="175"/>
      <c r="G198" s="175"/>
      <c r="H198" s="175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168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  <c r="BL198" s="50"/>
      <c r="BM198" s="50"/>
      <c r="BN198" s="50"/>
    </row>
    <row r="199">
      <c r="A199" s="50"/>
      <c r="B199" s="50"/>
      <c r="C199" s="50"/>
      <c r="D199" s="50"/>
      <c r="E199" s="158"/>
      <c r="F199" s="175"/>
      <c r="G199" s="175"/>
      <c r="H199" s="175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168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  <c r="BL199" s="50"/>
      <c r="BM199" s="50"/>
      <c r="BN199" s="50"/>
    </row>
    <row r="200">
      <c r="A200" s="50"/>
      <c r="B200" s="50"/>
      <c r="C200" s="50"/>
      <c r="D200" s="50"/>
      <c r="E200" s="158"/>
      <c r="F200" s="175"/>
      <c r="G200" s="175"/>
      <c r="H200" s="175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168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  <c r="BL200" s="50"/>
      <c r="BM200" s="50"/>
      <c r="BN200" s="50"/>
    </row>
    <row r="201">
      <c r="A201" s="50"/>
      <c r="B201" s="50"/>
      <c r="C201" s="50"/>
      <c r="D201" s="50"/>
      <c r="E201" s="158"/>
      <c r="F201" s="175"/>
      <c r="G201" s="175"/>
      <c r="H201" s="175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168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50"/>
      <c r="BN201" s="50"/>
    </row>
    <row r="202">
      <c r="A202" s="50"/>
      <c r="B202" s="50"/>
      <c r="C202" s="50"/>
      <c r="D202" s="50"/>
      <c r="E202" s="158"/>
      <c r="F202" s="175"/>
      <c r="G202" s="175"/>
      <c r="H202" s="175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168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/>
      <c r="BL202" s="50"/>
      <c r="BM202" s="50"/>
      <c r="BN202" s="50"/>
    </row>
    <row r="203">
      <c r="A203" s="50"/>
      <c r="B203" s="50"/>
      <c r="C203" s="50"/>
      <c r="D203" s="50"/>
      <c r="E203" s="158"/>
      <c r="F203" s="175"/>
      <c r="G203" s="175"/>
      <c r="H203" s="175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168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  <c r="BL203" s="50"/>
      <c r="BM203" s="50"/>
      <c r="BN203" s="50"/>
    </row>
    <row r="204">
      <c r="A204" s="50"/>
      <c r="B204" s="50"/>
      <c r="C204" s="50"/>
      <c r="D204" s="50"/>
      <c r="E204" s="158"/>
      <c r="F204" s="175"/>
      <c r="G204" s="175"/>
      <c r="H204" s="175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168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  <c r="BL204" s="50"/>
      <c r="BM204" s="50"/>
      <c r="BN204" s="50"/>
    </row>
    <row r="205">
      <c r="A205" s="50"/>
      <c r="B205" s="50"/>
      <c r="C205" s="50"/>
      <c r="D205" s="50"/>
      <c r="E205" s="158"/>
      <c r="F205" s="175"/>
      <c r="G205" s="175"/>
      <c r="H205" s="175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168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  <c r="BK205" s="50"/>
      <c r="BL205" s="50"/>
      <c r="BM205" s="50"/>
      <c r="BN205" s="50"/>
    </row>
    <row r="206">
      <c r="A206" s="50"/>
      <c r="B206" s="50"/>
      <c r="C206" s="50"/>
      <c r="D206" s="50"/>
      <c r="E206" s="158"/>
      <c r="F206" s="175"/>
      <c r="G206" s="175"/>
      <c r="H206" s="175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168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  <c r="BK206" s="50"/>
      <c r="BL206" s="50"/>
      <c r="BM206" s="50"/>
      <c r="BN206" s="50"/>
    </row>
    <row r="207">
      <c r="A207" s="50"/>
      <c r="B207" s="50"/>
      <c r="C207" s="50"/>
      <c r="D207" s="50"/>
      <c r="E207" s="158"/>
      <c r="F207" s="175"/>
      <c r="G207" s="175"/>
      <c r="H207" s="175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168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  <c r="BL207" s="50"/>
      <c r="BM207" s="50"/>
      <c r="BN207" s="50"/>
    </row>
    <row r="208">
      <c r="A208" s="50"/>
      <c r="B208" s="50"/>
      <c r="C208" s="50"/>
      <c r="D208" s="50"/>
      <c r="E208" s="158"/>
      <c r="F208" s="175"/>
      <c r="G208" s="175"/>
      <c r="H208" s="175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168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  <c r="BL208" s="50"/>
      <c r="BM208" s="50"/>
      <c r="BN208" s="50"/>
    </row>
    <row r="209">
      <c r="A209" s="50"/>
      <c r="B209" s="50"/>
      <c r="C209" s="50"/>
      <c r="D209" s="50"/>
      <c r="E209" s="158"/>
      <c r="F209" s="175"/>
      <c r="G209" s="175"/>
      <c r="H209" s="175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168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  <c r="BL209" s="50"/>
      <c r="BM209" s="50"/>
      <c r="BN209" s="50"/>
    </row>
    <row r="210">
      <c r="A210" s="50"/>
      <c r="B210" s="50"/>
      <c r="C210" s="50"/>
      <c r="D210" s="50"/>
      <c r="E210" s="158"/>
      <c r="F210" s="175"/>
      <c r="G210" s="175"/>
      <c r="H210" s="175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168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  <c r="BL210" s="50"/>
      <c r="BM210" s="50"/>
      <c r="BN210" s="50"/>
    </row>
    <row r="211">
      <c r="A211" s="50"/>
      <c r="B211" s="50"/>
      <c r="C211" s="50"/>
      <c r="D211" s="50"/>
      <c r="E211" s="158"/>
      <c r="F211" s="175"/>
      <c r="G211" s="175"/>
      <c r="H211" s="175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168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</row>
    <row r="212">
      <c r="A212" s="50"/>
      <c r="B212" s="50"/>
      <c r="C212" s="50"/>
      <c r="D212" s="50"/>
      <c r="E212" s="158"/>
      <c r="F212" s="175"/>
      <c r="G212" s="175"/>
      <c r="H212" s="175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168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  <c r="BM212" s="50"/>
      <c r="BN212" s="50"/>
    </row>
    <row r="213">
      <c r="A213" s="50"/>
      <c r="B213" s="50"/>
      <c r="C213" s="50"/>
      <c r="D213" s="50"/>
      <c r="E213" s="158"/>
      <c r="F213" s="175"/>
      <c r="G213" s="175"/>
      <c r="H213" s="175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168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50"/>
      <c r="BN213" s="50"/>
    </row>
    <row r="214">
      <c r="A214" s="50"/>
      <c r="B214" s="50"/>
      <c r="C214" s="50"/>
      <c r="D214" s="50"/>
      <c r="E214" s="158"/>
      <c r="F214" s="175"/>
      <c r="G214" s="175"/>
      <c r="H214" s="175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168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  <c r="BL214" s="50"/>
      <c r="BM214" s="50"/>
      <c r="BN214" s="50"/>
    </row>
    <row r="215">
      <c r="A215" s="50"/>
      <c r="B215" s="50"/>
      <c r="C215" s="50"/>
      <c r="D215" s="50"/>
      <c r="E215" s="158"/>
      <c r="F215" s="175"/>
      <c r="G215" s="175"/>
      <c r="H215" s="175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168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  <c r="BL215" s="50"/>
      <c r="BM215" s="50"/>
      <c r="BN215" s="50"/>
    </row>
    <row r="216">
      <c r="A216" s="50"/>
      <c r="B216" s="50"/>
      <c r="C216" s="50"/>
      <c r="D216" s="50"/>
      <c r="E216" s="158"/>
      <c r="F216" s="175"/>
      <c r="G216" s="175"/>
      <c r="H216" s="175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168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  <c r="BL216" s="50"/>
      <c r="BM216" s="50"/>
      <c r="BN216" s="50"/>
    </row>
    <row r="217">
      <c r="A217" s="50"/>
      <c r="B217" s="50"/>
      <c r="C217" s="50"/>
      <c r="D217" s="50"/>
      <c r="E217" s="158"/>
      <c r="F217" s="175"/>
      <c r="G217" s="175"/>
      <c r="H217" s="175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168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  <c r="BM217" s="50"/>
      <c r="BN217" s="50"/>
    </row>
    <row r="218">
      <c r="A218" s="50"/>
      <c r="B218" s="50"/>
      <c r="C218" s="50"/>
      <c r="D218" s="50"/>
      <c r="E218" s="158"/>
      <c r="F218" s="175"/>
      <c r="G218" s="175"/>
      <c r="H218" s="175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168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  <c r="BL218" s="50"/>
      <c r="BM218" s="50"/>
      <c r="BN218" s="50"/>
    </row>
    <row r="219">
      <c r="A219" s="50"/>
      <c r="B219" s="50"/>
      <c r="C219" s="50"/>
      <c r="D219" s="50"/>
      <c r="E219" s="158"/>
      <c r="F219" s="175"/>
      <c r="G219" s="175"/>
      <c r="H219" s="175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168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  <c r="BL219" s="50"/>
      <c r="BM219" s="50"/>
      <c r="BN219" s="50"/>
    </row>
    <row r="220">
      <c r="A220" s="50"/>
      <c r="B220" s="50"/>
      <c r="C220" s="50"/>
      <c r="D220" s="50"/>
      <c r="E220" s="158"/>
      <c r="F220" s="175"/>
      <c r="G220" s="175"/>
      <c r="H220" s="175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168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  <c r="BL220" s="50"/>
      <c r="BM220" s="50"/>
      <c r="BN220" s="50"/>
    </row>
    <row r="221">
      <c r="A221" s="50"/>
      <c r="B221" s="50"/>
      <c r="C221" s="50"/>
      <c r="D221" s="50"/>
      <c r="E221" s="158"/>
      <c r="F221" s="175"/>
      <c r="G221" s="175"/>
      <c r="H221" s="175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168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  <c r="BL221" s="50"/>
      <c r="BM221" s="50"/>
      <c r="BN221" s="50"/>
    </row>
    <row r="222">
      <c r="A222" s="50"/>
      <c r="B222" s="50"/>
      <c r="C222" s="50"/>
      <c r="D222" s="50"/>
      <c r="E222" s="158"/>
      <c r="F222" s="175"/>
      <c r="G222" s="175"/>
      <c r="H222" s="175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168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  <c r="BL222" s="50"/>
      <c r="BM222" s="50"/>
      <c r="BN222" s="50"/>
    </row>
    <row r="223">
      <c r="A223" s="50"/>
      <c r="B223" s="50"/>
      <c r="C223" s="50"/>
      <c r="D223" s="50"/>
      <c r="E223" s="158"/>
      <c r="F223" s="175"/>
      <c r="G223" s="175"/>
      <c r="H223" s="175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168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  <c r="BL223" s="50"/>
      <c r="BM223" s="50"/>
      <c r="BN223" s="50"/>
    </row>
    <row r="224">
      <c r="A224" s="50"/>
      <c r="B224" s="50"/>
      <c r="C224" s="50"/>
      <c r="D224" s="50"/>
      <c r="E224" s="158"/>
      <c r="F224" s="175"/>
      <c r="G224" s="175"/>
      <c r="H224" s="175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168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  <c r="BL224" s="50"/>
      <c r="BM224" s="50"/>
      <c r="BN224" s="50"/>
    </row>
    <row r="225">
      <c r="A225" s="50"/>
      <c r="B225" s="50"/>
      <c r="C225" s="50"/>
      <c r="D225" s="50"/>
      <c r="E225" s="158"/>
      <c r="F225" s="175"/>
      <c r="G225" s="175"/>
      <c r="H225" s="175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168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</row>
    <row r="226">
      <c r="A226" s="50"/>
      <c r="B226" s="50"/>
      <c r="C226" s="50"/>
      <c r="D226" s="50"/>
      <c r="E226" s="158"/>
      <c r="F226" s="175"/>
      <c r="G226" s="175"/>
      <c r="H226" s="175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168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</row>
    <row r="227">
      <c r="A227" s="50"/>
      <c r="B227" s="50"/>
      <c r="C227" s="50"/>
      <c r="D227" s="50"/>
      <c r="E227" s="158"/>
      <c r="F227" s="175"/>
      <c r="G227" s="175"/>
      <c r="H227" s="175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168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</row>
    <row r="228">
      <c r="A228" s="50"/>
      <c r="B228" s="50"/>
      <c r="C228" s="50"/>
      <c r="D228" s="50"/>
      <c r="E228" s="158"/>
      <c r="F228" s="175"/>
      <c r="G228" s="175"/>
      <c r="H228" s="175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168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/>
      <c r="BL228" s="50"/>
      <c r="BM228" s="50"/>
      <c r="BN228" s="50"/>
    </row>
    <row r="229">
      <c r="A229" s="50"/>
      <c r="B229" s="50"/>
      <c r="C229" s="50"/>
      <c r="D229" s="50"/>
      <c r="E229" s="158"/>
      <c r="F229" s="175"/>
      <c r="G229" s="175"/>
      <c r="H229" s="175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168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</row>
    <row r="230">
      <c r="A230" s="50"/>
      <c r="B230" s="50"/>
      <c r="C230" s="50"/>
      <c r="D230" s="50"/>
      <c r="E230" s="158"/>
      <c r="F230" s="175"/>
      <c r="G230" s="175"/>
      <c r="H230" s="175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168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  <c r="BM230" s="50"/>
      <c r="BN230" s="50"/>
    </row>
    <row r="231">
      <c r="A231" s="50"/>
      <c r="B231" s="50"/>
      <c r="C231" s="50"/>
      <c r="D231" s="50"/>
      <c r="E231" s="158"/>
      <c r="F231" s="175"/>
      <c r="G231" s="175"/>
      <c r="H231" s="175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168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  <c r="BL231" s="50"/>
      <c r="BM231" s="50"/>
      <c r="BN231" s="50"/>
    </row>
    <row r="232">
      <c r="A232" s="50"/>
      <c r="B232" s="50"/>
      <c r="C232" s="50"/>
      <c r="D232" s="50"/>
      <c r="E232" s="158"/>
      <c r="F232" s="175"/>
      <c r="G232" s="175"/>
      <c r="H232" s="175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168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  <c r="BK232" s="50"/>
      <c r="BL232" s="50"/>
      <c r="BM232" s="50"/>
      <c r="BN232" s="50"/>
    </row>
    <row r="233">
      <c r="A233" s="50"/>
      <c r="B233" s="50"/>
      <c r="C233" s="50"/>
      <c r="D233" s="50"/>
      <c r="E233" s="158"/>
      <c r="F233" s="175"/>
      <c r="G233" s="175"/>
      <c r="H233" s="175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168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50"/>
      <c r="BN233" s="50"/>
    </row>
    <row r="234">
      <c r="A234" s="50"/>
      <c r="B234" s="50"/>
      <c r="C234" s="50"/>
      <c r="D234" s="50"/>
      <c r="E234" s="158"/>
      <c r="F234" s="175"/>
      <c r="G234" s="175"/>
      <c r="H234" s="175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168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  <c r="BI234" s="50"/>
      <c r="BJ234" s="50"/>
      <c r="BK234" s="50"/>
      <c r="BL234" s="50"/>
      <c r="BM234" s="50"/>
      <c r="BN234" s="50"/>
    </row>
    <row r="235">
      <c r="A235" s="50"/>
      <c r="B235" s="50"/>
      <c r="C235" s="50"/>
      <c r="D235" s="50"/>
      <c r="E235" s="158"/>
      <c r="F235" s="175"/>
      <c r="G235" s="175"/>
      <c r="H235" s="175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168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  <c r="BK235" s="50"/>
      <c r="BL235" s="50"/>
      <c r="BM235" s="50"/>
      <c r="BN235" s="50"/>
    </row>
    <row r="236">
      <c r="A236" s="50"/>
      <c r="B236" s="50"/>
      <c r="C236" s="50"/>
      <c r="D236" s="50"/>
      <c r="E236" s="158"/>
      <c r="F236" s="175"/>
      <c r="G236" s="175"/>
      <c r="H236" s="175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168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  <c r="BK236" s="50"/>
      <c r="BL236" s="50"/>
      <c r="BM236" s="50"/>
      <c r="BN236" s="50"/>
    </row>
    <row r="237">
      <c r="A237" s="50"/>
      <c r="B237" s="50"/>
      <c r="C237" s="50"/>
      <c r="D237" s="50"/>
      <c r="E237" s="158"/>
      <c r="F237" s="175"/>
      <c r="G237" s="175"/>
      <c r="H237" s="175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168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  <c r="BL237" s="50"/>
      <c r="BM237" s="50"/>
      <c r="BN237" s="50"/>
    </row>
    <row r="238">
      <c r="A238" s="50"/>
      <c r="B238" s="50"/>
      <c r="C238" s="50"/>
      <c r="D238" s="50"/>
      <c r="E238" s="158"/>
      <c r="F238" s="175"/>
      <c r="G238" s="175"/>
      <c r="H238" s="175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168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</row>
    <row r="239">
      <c r="A239" s="50"/>
      <c r="B239" s="50"/>
      <c r="C239" s="50"/>
      <c r="D239" s="50"/>
      <c r="E239" s="158"/>
      <c r="F239" s="175"/>
      <c r="G239" s="175"/>
      <c r="H239" s="175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168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  <c r="BL239" s="50"/>
      <c r="BM239" s="50"/>
      <c r="BN239" s="50"/>
    </row>
    <row r="240">
      <c r="A240" s="50"/>
      <c r="B240" s="50"/>
      <c r="C240" s="50"/>
      <c r="D240" s="50"/>
      <c r="E240" s="158"/>
      <c r="F240" s="175"/>
      <c r="G240" s="175"/>
      <c r="H240" s="175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168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  <c r="BK240" s="50"/>
      <c r="BL240" s="50"/>
      <c r="BM240" s="50"/>
      <c r="BN240" s="50"/>
    </row>
    <row r="241">
      <c r="A241" s="50"/>
      <c r="B241" s="50"/>
      <c r="C241" s="50"/>
      <c r="D241" s="50"/>
      <c r="E241" s="158"/>
      <c r="F241" s="175"/>
      <c r="G241" s="175"/>
      <c r="H241" s="175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168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  <c r="BK241" s="50"/>
      <c r="BL241" s="50"/>
      <c r="BM241" s="50"/>
      <c r="BN241" s="50"/>
    </row>
    <row r="242">
      <c r="A242" s="50"/>
      <c r="B242" s="50"/>
      <c r="C242" s="50"/>
      <c r="D242" s="50"/>
      <c r="E242" s="158"/>
      <c r="F242" s="175"/>
      <c r="G242" s="175"/>
      <c r="H242" s="175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168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  <c r="BL242" s="50"/>
      <c r="BM242" s="50"/>
      <c r="BN242" s="50"/>
    </row>
    <row r="243">
      <c r="A243" s="50"/>
      <c r="B243" s="50"/>
      <c r="C243" s="50"/>
      <c r="D243" s="50"/>
      <c r="E243" s="158"/>
      <c r="F243" s="175"/>
      <c r="G243" s="175"/>
      <c r="H243" s="175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168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  <c r="BL243" s="50"/>
      <c r="BM243" s="50"/>
      <c r="BN243" s="50"/>
    </row>
    <row r="244">
      <c r="A244" s="50"/>
      <c r="B244" s="50"/>
      <c r="C244" s="50"/>
      <c r="D244" s="50"/>
      <c r="E244" s="158"/>
      <c r="F244" s="175"/>
      <c r="G244" s="175"/>
      <c r="H244" s="175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168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  <c r="BL244" s="50"/>
      <c r="BM244" s="50"/>
      <c r="BN244" s="50"/>
    </row>
    <row r="245">
      <c r="A245" s="50"/>
      <c r="B245" s="50"/>
      <c r="C245" s="50"/>
      <c r="D245" s="50"/>
      <c r="E245" s="158"/>
      <c r="F245" s="175"/>
      <c r="G245" s="175"/>
      <c r="H245" s="175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168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50"/>
      <c r="BN245" s="50"/>
    </row>
    <row r="246">
      <c r="A246" s="50"/>
      <c r="B246" s="50"/>
      <c r="C246" s="50"/>
      <c r="D246" s="50"/>
      <c r="E246" s="158"/>
      <c r="F246" s="175"/>
      <c r="G246" s="175"/>
      <c r="H246" s="175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168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50"/>
      <c r="BN246" s="50"/>
    </row>
    <row r="247">
      <c r="A247" s="50"/>
      <c r="B247" s="50"/>
      <c r="C247" s="50"/>
      <c r="D247" s="50"/>
      <c r="E247" s="158"/>
      <c r="F247" s="175"/>
      <c r="G247" s="175"/>
      <c r="H247" s="175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168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  <c r="BL247" s="50"/>
      <c r="BM247" s="50"/>
      <c r="BN247" s="50"/>
    </row>
    <row r="248">
      <c r="A248" s="50"/>
      <c r="B248" s="50"/>
      <c r="C248" s="50"/>
      <c r="D248" s="50"/>
      <c r="E248" s="158"/>
      <c r="F248" s="175"/>
      <c r="G248" s="175"/>
      <c r="H248" s="175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168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/>
      <c r="BE248" s="50"/>
      <c r="BF248" s="50"/>
      <c r="BG248" s="50"/>
      <c r="BH248" s="50"/>
      <c r="BI248" s="50"/>
      <c r="BJ248" s="50"/>
      <c r="BK248" s="50"/>
      <c r="BL248" s="50"/>
      <c r="BM248" s="50"/>
      <c r="BN248" s="50"/>
    </row>
    <row r="249">
      <c r="A249" s="50"/>
      <c r="B249" s="50"/>
      <c r="C249" s="50"/>
      <c r="D249" s="50"/>
      <c r="E249" s="158"/>
      <c r="F249" s="175"/>
      <c r="G249" s="175"/>
      <c r="H249" s="175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168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  <c r="BL249" s="50"/>
      <c r="BM249" s="50"/>
      <c r="BN249" s="50"/>
    </row>
    <row r="250">
      <c r="A250" s="50"/>
      <c r="B250" s="50"/>
      <c r="C250" s="50"/>
      <c r="D250" s="50"/>
      <c r="E250" s="158"/>
      <c r="F250" s="175"/>
      <c r="G250" s="175"/>
      <c r="H250" s="175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168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/>
      <c r="BL250" s="50"/>
      <c r="BM250" s="50"/>
      <c r="BN250" s="50"/>
    </row>
    <row r="251">
      <c r="A251" s="50"/>
      <c r="B251" s="50"/>
      <c r="C251" s="50"/>
      <c r="D251" s="50"/>
      <c r="E251" s="158"/>
      <c r="F251" s="175"/>
      <c r="G251" s="175"/>
      <c r="H251" s="175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168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  <c r="BK251" s="50"/>
      <c r="BL251" s="50"/>
      <c r="BM251" s="50"/>
      <c r="BN251" s="50"/>
    </row>
    <row r="252">
      <c r="A252" s="50"/>
      <c r="B252" s="50"/>
      <c r="C252" s="50"/>
      <c r="D252" s="50"/>
      <c r="E252" s="158"/>
      <c r="F252" s="175"/>
      <c r="G252" s="175"/>
      <c r="H252" s="175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168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/>
      <c r="BL252" s="50"/>
      <c r="BM252" s="50"/>
      <c r="BN252" s="50"/>
    </row>
    <row r="253">
      <c r="A253" s="50"/>
      <c r="B253" s="50"/>
      <c r="C253" s="50"/>
      <c r="D253" s="50"/>
      <c r="E253" s="158"/>
      <c r="F253" s="175"/>
      <c r="G253" s="175"/>
      <c r="H253" s="175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168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/>
      <c r="BL253" s="50"/>
      <c r="BM253" s="50"/>
      <c r="BN253" s="50"/>
    </row>
    <row r="254">
      <c r="A254" s="50"/>
      <c r="B254" s="50"/>
      <c r="C254" s="50"/>
      <c r="D254" s="50"/>
      <c r="E254" s="158"/>
      <c r="F254" s="175"/>
      <c r="G254" s="175"/>
      <c r="H254" s="175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168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/>
      <c r="BL254" s="50"/>
      <c r="BM254" s="50"/>
      <c r="BN254" s="50"/>
    </row>
    <row r="255">
      <c r="A255" s="50"/>
      <c r="B255" s="50"/>
      <c r="C255" s="50"/>
      <c r="D255" s="50"/>
      <c r="E255" s="158"/>
      <c r="F255" s="175"/>
      <c r="G255" s="175"/>
      <c r="H255" s="175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168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/>
      <c r="BE255" s="50"/>
      <c r="BF255" s="50"/>
      <c r="BG255" s="50"/>
      <c r="BH255" s="50"/>
      <c r="BI255" s="50"/>
      <c r="BJ255" s="50"/>
      <c r="BK255" s="50"/>
      <c r="BL255" s="50"/>
      <c r="BM255" s="50"/>
      <c r="BN255" s="50"/>
    </row>
    <row r="256">
      <c r="A256" s="50"/>
      <c r="B256" s="50"/>
      <c r="C256" s="50"/>
      <c r="D256" s="50"/>
      <c r="E256" s="158"/>
      <c r="F256" s="175"/>
      <c r="G256" s="175"/>
      <c r="H256" s="175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168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  <c r="BK256" s="50"/>
      <c r="BL256" s="50"/>
      <c r="BM256" s="50"/>
      <c r="BN256" s="50"/>
    </row>
    <row r="257">
      <c r="A257" s="50"/>
      <c r="B257" s="50"/>
      <c r="C257" s="50"/>
      <c r="D257" s="50"/>
      <c r="E257" s="158"/>
      <c r="F257" s="175"/>
      <c r="G257" s="175"/>
      <c r="H257" s="175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168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  <c r="BK257" s="50"/>
      <c r="BL257" s="50"/>
      <c r="BM257" s="50"/>
      <c r="BN257" s="50"/>
    </row>
    <row r="258">
      <c r="A258" s="50"/>
      <c r="B258" s="50"/>
      <c r="C258" s="50"/>
      <c r="D258" s="50"/>
      <c r="E258" s="158"/>
      <c r="F258" s="175"/>
      <c r="G258" s="175"/>
      <c r="H258" s="175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168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  <c r="BK258" s="50"/>
      <c r="BL258" s="50"/>
      <c r="BM258" s="50"/>
      <c r="BN258" s="50"/>
    </row>
    <row r="259">
      <c r="A259" s="50"/>
      <c r="B259" s="50"/>
      <c r="C259" s="50"/>
      <c r="D259" s="50"/>
      <c r="E259" s="158"/>
      <c r="F259" s="175"/>
      <c r="G259" s="175"/>
      <c r="H259" s="175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168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  <c r="BK259" s="50"/>
      <c r="BL259" s="50"/>
      <c r="BM259" s="50"/>
      <c r="BN259" s="50"/>
    </row>
    <row r="260">
      <c r="A260" s="50"/>
      <c r="B260" s="50"/>
      <c r="C260" s="50"/>
      <c r="D260" s="50"/>
      <c r="E260" s="158"/>
      <c r="F260" s="175"/>
      <c r="G260" s="175"/>
      <c r="H260" s="175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168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/>
      <c r="BE260" s="50"/>
      <c r="BF260" s="50"/>
      <c r="BG260" s="50"/>
      <c r="BH260" s="50"/>
      <c r="BI260" s="50"/>
      <c r="BJ260" s="50"/>
      <c r="BK260" s="50"/>
      <c r="BL260" s="50"/>
      <c r="BM260" s="50"/>
      <c r="BN260" s="50"/>
    </row>
    <row r="261">
      <c r="A261" s="50"/>
      <c r="B261" s="50"/>
      <c r="C261" s="50"/>
      <c r="D261" s="50"/>
      <c r="E261" s="158"/>
      <c r="F261" s="175"/>
      <c r="G261" s="175"/>
      <c r="H261" s="175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168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  <c r="BL261" s="50"/>
      <c r="BM261" s="50"/>
      <c r="BN261" s="50"/>
    </row>
    <row r="262">
      <c r="A262" s="50"/>
      <c r="B262" s="50"/>
      <c r="C262" s="50"/>
      <c r="D262" s="50"/>
      <c r="E262" s="158"/>
      <c r="F262" s="175"/>
      <c r="G262" s="175"/>
      <c r="H262" s="175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168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/>
      <c r="BL262" s="50"/>
      <c r="BM262" s="50"/>
      <c r="BN262" s="50"/>
    </row>
    <row r="263">
      <c r="A263" s="50"/>
      <c r="B263" s="50"/>
      <c r="C263" s="50"/>
      <c r="D263" s="50"/>
      <c r="E263" s="158"/>
      <c r="F263" s="175"/>
      <c r="G263" s="175"/>
      <c r="H263" s="175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168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/>
      <c r="BL263" s="50"/>
      <c r="BM263" s="50"/>
      <c r="BN263" s="50"/>
    </row>
    <row r="264">
      <c r="A264" s="50"/>
      <c r="B264" s="50"/>
      <c r="C264" s="50"/>
      <c r="D264" s="50"/>
      <c r="E264" s="158"/>
      <c r="F264" s="175"/>
      <c r="G264" s="175"/>
      <c r="H264" s="175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168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/>
      <c r="BL264" s="50"/>
      <c r="BM264" s="50"/>
      <c r="BN264" s="50"/>
    </row>
    <row r="265">
      <c r="A265" s="50"/>
      <c r="B265" s="50"/>
      <c r="C265" s="50"/>
      <c r="D265" s="50"/>
      <c r="E265" s="158"/>
      <c r="F265" s="175"/>
      <c r="G265" s="175"/>
      <c r="H265" s="175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168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</row>
    <row r="266">
      <c r="A266" s="50"/>
      <c r="B266" s="50"/>
      <c r="C266" s="50"/>
      <c r="D266" s="50"/>
      <c r="E266" s="158"/>
      <c r="F266" s="175"/>
      <c r="G266" s="175"/>
      <c r="H266" s="175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168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  <c r="BL266" s="50"/>
      <c r="BM266" s="50"/>
      <c r="BN266" s="50"/>
    </row>
    <row r="267">
      <c r="A267" s="50"/>
      <c r="B267" s="50"/>
      <c r="C267" s="50"/>
      <c r="D267" s="50"/>
      <c r="E267" s="158"/>
      <c r="F267" s="175"/>
      <c r="G267" s="175"/>
      <c r="H267" s="175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168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</row>
    <row r="268">
      <c r="A268" s="50"/>
      <c r="B268" s="50"/>
      <c r="C268" s="50"/>
      <c r="D268" s="50"/>
      <c r="E268" s="158"/>
      <c r="F268" s="175"/>
      <c r="G268" s="175"/>
      <c r="H268" s="175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168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  <c r="BK268" s="50"/>
      <c r="BL268" s="50"/>
      <c r="BM268" s="50"/>
      <c r="BN268" s="50"/>
    </row>
    <row r="269">
      <c r="A269" s="50"/>
      <c r="B269" s="50"/>
      <c r="C269" s="50"/>
      <c r="D269" s="50"/>
      <c r="E269" s="158"/>
      <c r="F269" s="175"/>
      <c r="G269" s="175"/>
      <c r="H269" s="175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168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</row>
    <row r="270">
      <c r="A270" s="50"/>
      <c r="B270" s="50"/>
      <c r="C270" s="50"/>
      <c r="D270" s="50"/>
      <c r="E270" s="158"/>
      <c r="F270" s="175"/>
      <c r="G270" s="175"/>
      <c r="H270" s="175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168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  <c r="BL270" s="50"/>
      <c r="BM270" s="50"/>
      <c r="BN270" s="50"/>
    </row>
    <row r="271">
      <c r="A271" s="50"/>
      <c r="B271" s="50"/>
      <c r="C271" s="50"/>
      <c r="D271" s="50"/>
      <c r="E271" s="158"/>
      <c r="F271" s="175"/>
      <c r="G271" s="175"/>
      <c r="H271" s="175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168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50"/>
      <c r="BN271" s="50"/>
    </row>
    <row r="272">
      <c r="A272" s="50"/>
      <c r="B272" s="50"/>
      <c r="C272" s="50"/>
      <c r="D272" s="50"/>
      <c r="E272" s="158"/>
      <c r="F272" s="175"/>
      <c r="G272" s="175"/>
      <c r="H272" s="175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168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  <c r="BL272" s="50"/>
      <c r="BM272" s="50"/>
      <c r="BN272" s="50"/>
    </row>
    <row r="273">
      <c r="A273" s="50"/>
      <c r="B273" s="50"/>
      <c r="C273" s="50"/>
      <c r="D273" s="50"/>
      <c r="E273" s="158"/>
      <c r="F273" s="175"/>
      <c r="G273" s="175"/>
      <c r="H273" s="175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168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  <c r="BK273" s="50"/>
      <c r="BL273" s="50"/>
      <c r="BM273" s="50"/>
      <c r="BN273" s="50"/>
    </row>
    <row r="274">
      <c r="A274" s="50"/>
      <c r="B274" s="50"/>
      <c r="C274" s="50"/>
      <c r="D274" s="50"/>
      <c r="E274" s="158"/>
      <c r="F274" s="175"/>
      <c r="G274" s="175"/>
      <c r="H274" s="175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168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  <c r="BK274" s="50"/>
      <c r="BL274" s="50"/>
      <c r="BM274" s="50"/>
      <c r="BN274" s="50"/>
    </row>
    <row r="275">
      <c r="A275" s="50"/>
      <c r="B275" s="50"/>
      <c r="C275" s="50"/>
      <c r="D275" s="50"/>
      <c r="E275" s="158"/>
      <c r="F275" s="175"/>
      <c r="G275" s="175"/>
      <c r="H275" s="175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168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  <c r="BK275" s="50"/>
      <c r="BL275" s="50"/>
      <c r="BM275" s="50"/>
      <c r="BN275" s="50"/>
    </row>
    <row r="276">
      <c r="A276" s="50"/>
      <c r="B276" s="50"/>
      <c r="C276" s="50"/>
      <c r="D276" s="50"/>
      <c r="E276" s="158"/>
      <c r="F276" s="175"/>
      <c r="G276" s="175"/>
      <c r="H276" s="175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168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  <c r="BI276" s="50"/>
      <c r="BJ276" s="50"/>
      <c r="BK276" s="50"/>
      <c r="BL276" s="50"/>
      <c r="BM276" s="50"/>
      <c r="BN276" s="50"/>
    </row>
    <row r="277">
      <c r="A277" s="50"/>
      <c r="B277" s="50"/>
      <c r="C277" s="50"/>
      <c r="D277" s="50"/>
      <c r="E277" s="158"/>
      <c r="F277" s="175"/>
      <c r="G277" s="175"/>
      <c r="H277" s="175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168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  <c r="BI277" s="50"/>
      <c r="BJ277" s="50"/>
      <c r="BK277" s="50"/>
      <c r="BL277" s="50"/>
      <c r="BM277" s="50"/>
      <c r="BN277" s="50"/>
    </row>
    <row r="278">
      <c r="A278" s="50"/>
      <c r="B278" s="50"/>
      <c r="C278" s="50"/>
      <c r="D278" s="50"/>
      <c r="E278" s="158"/>
      <c r="F278" s="175"/>
      <c r="G278" s="175"/>
      <c r="H278" s="175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168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  <c r="BL278" s="50"/>
      <c r="BM278" s="50"/>
      <c r="BN278" s="50"/>
    </row>
    <row r="279">
      <c r="A279" s="50"/>
      <c r="B279" s="50"/>
      <c r="C279" s="50"/>
      <c r="D279" s="50"/>
      <c r="E279" s="158"/>
      <c r="F279" s="175"/>
      <c r="G279" s="175"/>
      <c r="H279" s="175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168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  <c r="BK279" s="50"/>
      <c r="BL279" s="50"/>
      <c r="BM279" s="50"/>
      <c r="BN279" s="50"/>
    </row>
    <row r="280">
      <c r="A280" s="50"/>
      <c r="B280" s="50"/>
      <c r="C280" s="50"/>
      <c r="D280" s="50"/>
      <c r="E280" s="158"/>
      <c r="F280" s="175"/>
      <c r="G280" s="175"/>
      <c r="H280" s="175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168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  <c r="BI280" s="50"/>
      <c r="BJ280" s="50"/>
      <c r="BK280" s="50"/>
      <c r="BL280" s="50"/>
      <c r="BM280" s="50"/>
      <c r="BN280" s="50"/>
    </row>
    <row r="281">
      <c r="A281" s="50"/>
      <c r="B281" s="50"/>
      <c r="C281" s="50"/>
      <c r="D281" s="50"/>
      <c r="E281" s="158"/>
      <c r="F281" s="175"/>
      <c r="G281" s="175"/>
      <c r="H281" s="175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168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/>
      <c r="BJ281" s="50"/>
      <c r="BK281" s="50"/>
      <c r="BL281" s="50"/>
      <c r="BM281" s="50"/>
      <c r="BN281" s="50"/>
    </row>
    <row r="282">
      <c r="A282" s="50"/>
      <c r="B282" s="50"/>
      <c r="C282" s="50"/>
      <c r="D282" s="50"/>
      <c r="E282" s="158"/>
      <c r="F282" s="175"/>
      <c r="G282" s="175"/>
      <c r="H282" s="175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168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0"/>
      <c r="BK282" s="50"/>
      <c r="BL282" s="50"/>
      <c r="BM282" s="50"/>
      <c r="BN282" s="50"/>
    </row>
    <row r="283">
      <c r="A283" s="50"/>
      <c r="B283" s="50"/>
      <c r="C283" s="50"/>
      <c r="D283" s="50"/>
      <c r="E283" s="158"/>
      <c r="F283" s="175"/>
      <c r="G283" s="175"/>
      <c r="H283" s="175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168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  <c r="BK283" s="50"/>
      <c r="BL283" s="50"/>
      <c r="BM283" s="50"/>
      <c r="BN283" s="50"/>
    </row>
    <row r="284">
      <c r="A284" s="50"/>
      <c r="B284" s="50"/>
      <c r="C284" s="50"/>
      <c r="D284" s="50"/>
      <c r="E284" s="158"/>
      <c r="F284" s="175"/>
      <c r="G284" s="175"/>
      <c r="H284" s="175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168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  <c r="BL284" s="50"/>
      <c r="BM284" s="50"/>
      <c r="BN284" s="50"/>
    </row>
    <row r="285">
      <c r="A285" s="50"/>
      <c r="B285" s="50"/>
      <c r="C285" s="50"/>
      <c r="D285" s="50"/>
      <c r="E285" s="158"/>
      <c r="F285" s="175"/>
      <c r="G285" s="175"/>
      <c r="H285" s="175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168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  <c r="BK285" s="50"/>
      <c r="BL285" s="50"/>
      <c r="BM285" s="50"/>
      <c r="BN285" s="50"/>
    </row>
    <row r="286">
      <c r="A286" s="50"/>
      <c r="B286" s="50"/>
      <c r="C286" s="50"/>
      <c r="D286" s="50"/>
      <c r="E286" s="158"/>
      <c r="F286" s="175"/>
      <c r="G286" s="175"/>
      <c r="H286" s="175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168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50"/>
      <c r="BE286" s="50"/>
      <c r="BF286" s="50"/>
      <c r="BG286" s="50"/>
      <c r="BH286" s="50"/>
      <c r="BI286" s="50"/>
      <c r="BJ286" s="50"/>
      <c r="BK286" s="50"/>
      <c r="BL286" s="50"/>
      <c r="BM286" s="50"/>
      <c r="BN286" s="50"/>
    </row>
    <row r="287">
      <c r="A287" s="50"/>
      <c r="B287" s="50"/>
      <c r="C287" s="50"/>
      <c r="D287" s="50"/>
      <c r="E287" s="158"/>
      <c r="F287" s="175"/>
      <c r="G287" s="175"/>
      <c r="H287" s="175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168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/>
      <c r="BJ287" s="50"/>
      <c r="BK287" s="50"/>
      <c r="BL287" s="50"/>
      <c r="BM287" s="50"/>
      <c r="BN287" s="50"/>
    </row>
    <row r="288">
      <c r="A288" s="50"/>
      <c r="B288" s="50"/>
      <c r="C288" s="50"/>
      <c r="D288" s="50"/>
      <c r="E288" s="158"/>
      <c r="F288" s="175"/>
      <c r="G288" s="175"/>
      <c r="H288" s="175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168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0"/>
      <c r="BE288" s="50"/>
      <c r="BF288" s="50"/>
      <c r="BG288" s="50"/>
      <c r="BH288" s="50"/>
      <c r="BI288" s="50"/>
      <c r="BJ288" s="50"/>
      <c r="BK288" s="50"/>
      <c r="BL288" s="50"/>
      <c r="BM288" s="50"/>
      <c r="BN288" s="50"/>
    </row>
    <row r="289">
      <c r="A289" s="50"/>
      <c r="B289" s="50"/>
      <c r="C289" s="50"/>
      <c r="D289" s="50"/>
      <c r="E289" s="158"/>
      <c r="F289" s="175"/>
      <c r="G289" s="175"/>
      <c r="H289" s="175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168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/>
      <c r="BJ289" s="50"/>
      <c r="BK289" s="50"/>
      <c r="BL289" s="50"/>
      <c r="BM289" s="50"/>
      <c r="BN289" s="50"/>
    </row>
    <row r="290">
      <c r="A290" s="50"/>
      <c r="B290" s="50"/>
      <c r="C290" s="50"/>
      <c r="D290" s="50"/>
      <c r="E290" s="158"/>
      <c r="F290" s="175"/>
      <c r="G290" s="175"/>
      <c r="H290" s="175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168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  <c r="BI290" s="50"/>
      <c r="BJ290" s="50"/>
      <c r="BK290" s="50"/>
      <c r="BL290" s="50"/>
      <c r="BM290" s="50"/>
      <c r="BN290" s="50"/>
    </row>
    <row r="291">
      <c r="A291" s="50"/>
      <c r="B291" s="50"/>
      <c r="C291" s="50"/>
      <c r="D291" s="50"/>
      <c r="E291" s="158"/>
      <c r="F291" s="175"/>
      <c r="G291" s="175"/>
      <c r="H291" s="175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168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  <c r="BI291" s="50"/>
      <c r="BJ291" s="50"/>
      <c r="BK291" s="50"/>
      <c r="BL291" s="50"/>
      <c r="BM291" s="50"/>
      <c r="BN291" s="50"/>
    </row>
    <row r="292">
      <c r="A292" s="50"/>
      <c r="B292" s="50"/>
      <c r="C292" s="50"/>
      <c r="D292" s="50"/>
      <c r="E292" s="158"/>
      <c r="F292" s="175"/>
      <c r="G292" s="175"/>
      <c r="H292" s="175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168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  <c r="BI292" s="50"/>
      <c r="BJ292" s="50"/>
      <c r="BK292" s="50"/>
      <c r="BL292" s="50"/>
      <c r="BM292" s="50"/>
      <c r="BN292" s="50"/>
    </row>
    <row r="293">
      <c r="A293" s="50"/>
      <c r="B293" s="50"/>
      <c r="C293" s="50"/>
      <c r="D293" s="50"/>
      <c r="E293" s="158"/>
      <c r="F293" s="175"/>
      <c r="G293" s="175"/>
      <c r="H293" s="175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168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/>
      <c r="BJ293" s="50"/>
      <c r="BK293" s="50"/>
      <c r="BL293" s="50"/>
      <c r="BM293" s="50"/>
      <c r="BN293" s="50"/>
    </row>
    <row r="294">
      <c r="A294" s="50"/>
      <c r="B294" s="50"/>
      <c r="C294" s="50"/>
      <c r="D294" s="50"/>
      <c r="E294" s="158"/>
      <c r="F294" s="175"/>
      <c r="G294" s="175"/>
      <c r="H294" s="175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168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  <c r="BI294" s="50"/>
      <c r="BJ294" s="50"/>
      <c r="BK294" s="50"/>
      <c r="BL294" s="50"/>
      <c r="BM294" s="50"/>
      <c r="BN294" s="50"/>
    </row>
    <row r="295">
      <c r="A295" s="50"/>
      <c r="B295" s="50"/>
      <c r="C295" s="50"/>
      <c r="D295" s="50"/>
      <c r="E295" s="158"/>
      <c r="F295" s="175"/>
      <c r="G295" s="175"/>
      <c r="H295" s="175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168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/>
      <c r="BJ295" s="50"/>
      <c r="BK295" s="50"/>
      <c r="BL295" s="50"/>
      <c r="BM295" s="50"/>
      <c r="BN295" s="50"/>
    </row>
    <row r="296">
      <c r="A296" s="50"/>
      <c r="B296" s="50"/>
      <c r="C296" s="50"/>
      <c r="D296" s="50"/>
      <c r="E296" s="158"/>
      <c r="F296" s="175"/>
      <c r="G296" s="175"/>
      <c r="H296" s="175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168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/>
      <c r="BJ296" s="50"/>
      <c r="BK296" s="50"/>
      <c r="BL296" s="50"/>
      <c r="BM296" s="50"/>
      <c r="BN296" s="50"/>
    </row>
    <row r="297">
      <c r="A297" s="50"/>
      <c r="B297" s="50"/>
      <c r="C297" s="50"/>
      <c r="D297" s="50"/>
      <c r="E297" s="158"/>
      <c r="F297" s="175"/>
      <c r="G297" s="175"/>
      <c r="H297" s="175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168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/>
      <c r="BJ297" s="50"/>
      <c r="BK297" s="50"/>
      <c r="BL297" s="50"/>
      <c r="BM297" s="50"/>
      <c r="BN297" s="50"/>
    </row>
    <row r="298">
      <c r="A298" s="50"/>
      <c r="B298" s="50"/>
      <c r="C298" s="50"/>
      <c r="D298" s="50"/>
      <c r="E298" s="158"/>
      <c r="F298" s="175"/>
      <c r="G298" s="175"/>
      <c r="H298" s="175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168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/>
      <c r="BE298" s="50"/>
      <c r="BF298" s="50"/>
      <c r="BG298" s="50"/>
      <c r="BH298" s="50"/>
      <c r="BI298" s="50"/>
      <c r="BJ298" s="50"/>
      <c r="BK298" s="50"/>
      <c r="BL298" s="50"/>
      <c r="BM298" s="50"/>
      <c r="BN298" s="50"/>
    </row>
    <row r="299">
      <c r="A299" s="50"/>
      <c r="B299" s="50"/>
      <c r="C299" s="50"/>
      <c r="D299" s="50"/>
      <c r="E299" s="158"/>
      <c r="F299" s="175"/>
      <c r="G299" s="175"/>
      <c r="H299" s="175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168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  <c r="BI299" s="50"/>
      <c r="BJ299" s="50"/>
      <c r="BK299" s="50"/>
      <c r="BL299" s="50"/>
      <c r="BM299" s="50"/>
      <c r="BN299" s="50"/>
    </row>
    <row r="300">
      <c r="A300" s="50"/>
      <c r="B300" s="50"/>
      <c r="C300" s="50"/>
      <c r="D300" s="50"/>
      <c r="E300" s="158"/>
      <c r="F300" s="175"/>
      <c r="G300" s="175"/>
      <c r="H300" s="175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168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/>
      <c r="BE300" s="50"/>
      <c r="BF300" s="50"/>
      <c r="BG300" s="50"/>
      <c r="BH300" s="50"/>
      <c r="BI300" s="50"/>
      <c r="BJ300" s="50"/>
      <c r="BK300" s="50"/>
      <c r="BL300" s="50"/>
      <c r="BM300" s="50"/>
      <c r="BN300" s="50"/>
    </row>
    <row r="301">
      <c r="A301" s="50"/>
      <c r="B301" s="50"/>
      <c r="C301" s="50"/>
      <c r="D301" s="50"/>
      <c r="E301" s="158"/>
      <c r="F301" s="175"/>
      <c r="G301" s="175"/>
      <c r="H301" s="175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168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/>
      <c r="BJ301" s="50"/>
      <c r="BK301" s="50"/>
      <c r="BL301" s="50"/>
      <c r="BM301" s="50"/>
      <c r="BN301" s="50"/>
    </row>
    <row r="302">
      <c r="A302" s="50"/>
      <c r="B302" s="50"/>
      <c r="C302" s="50"/>
      <c r="D302" s="50"/>
      <c r="E302" s="158"/>
      <c r="F302" s="175"/>
      <c r="G302" s="175"/>
      <c r="H302" s="175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168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50"/>
      <c r="BH302" s="50"/>
      <c r="BI302" s="50"/>
      <c r="BJ302" s="50"/>
      <c r="BK302" s="50"/>
      <c r="BL302" s="50"/>
      <c r="BM302" s="50"/>
      <c r="BN302" s="50"/>
    </row>
    <row r="303">
      <c r="A303" s="50"/>
      <c r="B303" s="50"/>
      <c r="C303" s="50"/>
      <c r="D303" s="50"/>
      <c r="E303" s="158"/>
      <c r="F303" s="175"/>
      <c r="G303" s="175"/>
      <c r="H303" s="175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168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/>
      <c r="BJ303" s="50"/>
      <c r="BK303" s="50"/>
      <c r="BL303" s="50"/>
      <c r="BM303" s="50"/>
      <c r="BN303" s="50"/>
    </row>
    <row r="304">
      <c r="A304" s="50"/>
      <c r="B304" s="50"/>
      <c r="C304" s="50"/>
      <c r="D304" s="50"/>
      <c r="E304" s="158"/>
      <c r="F304" s="175"/>
      <c r="G304" s="175"/>
      <c r="H304" s="175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168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/>
      <c r="BJ304" s="50"/>
      <c r="BK304" s="50"/>
      <c r="BL304" s="50"/>
      <c r="BM304" s="50"/>
      <c r="BN304" s="50"/>
    </row>
    <row r="305">
      <c r="A305" s="50"/>
      <c r="B305" s="50"/>
      <c r="C305" s="50"/>
      <c r="D305" s="50"/>
      <c r="E305" s="158"/>
      <c r="F305" s="175"/>
      <c r="G305" s="175"/>
      <c r="H305" s="175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168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</row>
    <row r="306">
      <c r="A306" s="50"/>
      <c r="B306" s="50"/>
      <c r="C306" s="50"/>
      <c r="D306" s="50"/>
      <c r="E306" s="158"/>
      <c r="F306" s="175"/>
      <c r="G306" s="175"/>
      <c r="H306" s="175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168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0"/>
      <c r="BE306" s="50"/>
      <c r="BF306" s="50"/>
      <c r="BG306" s="50"/>
      <c r="BH306" s="50"/>
      <c r="BI306" s="50"/>
      <c r="BJ306" s="50"/>
      <c r="BK306" s="50"/>
      <c r="BL306" s="50"/>
      <c r="BM306" s="50"/>
      <c r="BN306" s="50"/>
    </row>
    <row r="307">
      <c r="A307" s="50"/>
      <c r="B307" s="50"/>
      <c r="C307" s="50"/>
      <c r="D307" s="50"/>
      <c r="E307" s="158"/>
      <c r="F307" s="175"/>
      <c r="G307" s="175"/>
      <c r="H307" s="175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168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</row>
    <row r="308">
      <c r="A308" s="50"/>
      <c r="B308" s="50"/>
      <c r="C308" s="50"/>
      <c r="D308" s="50"/>
      <c r="E308" s="158"/>
      <c r="F308" s="175"/>
      <c r="G308" s="175"/>
      <c r="H308" s="175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168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  <c r="BI308" s="50"/>
      <c r="BJ308" s="50"/>
      <c r="BK308" s="50"/>
      <c r="BL308" s="50"/>
      <c r="BM308" s="50"/>
      <c r="BN308" s="50"/>
    </row>
    <row r="309">
      <c r="A309" s="50"/>
      <c r="B309" s="50"/>
      <c r="C309" s="50"/>
      <c r="D309" s="50"/>
      <c r="E309" s="158"/>
      <c r="F309" s="175"/>
      <c r="G309" s="175"/>
      <c r="H309" s="175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168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</row>
    <row r="310">
      <c r="A310" s="50"/>
      <c r="B310" s="50"/>
      <c r="C310" s="50"/>
      <c r="D310" s="50"/>
      <c r="E310" s="158"/>
      <c r="F310" s="175"/>
      <c r="G310" s="175"/>
      <c r="H310" s="175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168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/>
      <c r="BE310" s="50"/>
      <c r="BF310" s="50"/>
      <c r="BG310" s="50"/>
      <c r="BH310" s="50"/>
      <c r="BI310" s="50"/>
      <c r="BJ310" s="50"/>
      <c r="BK310" s="50"/>
      <c r="BL310" s="50"/>
      <c r="BM310" s="50"/>
      <c r="BN310" s="50"/>
    </row>
    <row r="311">
      <c r="A311" s="50"/>
      <c r="B311" s="50"/>
      <c r="C311" s="50"/>
      <c r="D311" s="50"/>
      <c r="E311" s="158"/>
      <c r="F311" s="175"/>
      <c r="G311" s="175"/>
      <c r="H311" s="175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168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50"/>
      <c r="BF311" s="50"/>
      <c r="BG311" s="50"/>
      <c r="BH311" s="50"/>
      <c r="BI311" s="50"/>
      <c r="BJ311" s="50"/>
      <c r="BK311" s="50"/>
      <c r="BL311" s="50"/>
      <c r="BM311" s="50"/>
      <c r="BN311" s="50"/>
    </row>
    <row r="312">
      <c r="A312" s="50"/>
      <c r="B312" s="50"/>
      <c r="C312" s="50"/>
      <c r="D312" s="50"/>
      <c r="E312" s="158"/>
      <c r="F312" s="175"/>
      <c r="G312" s="175"/>
      <c r="H312" s="175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168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/>
      <c r="BJ312" s="50"/>
      <c r="BK312" s="50"/>
      <c r="BL312" s="50"/>
      <c r="BM312" s="50"/>
      <c r="BN312" s="50"/>
    </row>
    <row r="313">
      <c r="A313" s="50"/>
      <c r="B313" s="50"/>
      <c r="C313" s="50"/>
      <c r="D313" s="50"/>
      <c r="E313" s="158"/>
      <c r="F313" s="175"/>
      <c r="G313" s="175"/>
      <c r="H313" s="175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168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/>
      <c r="BJ313" s="50"/>
      <c r="BK313" s="50"/>
      <c r="BL313" s="50"/>
      <c r="BM313" s="50"/>
      <c r="BN313" s="50"/>
    </row>
    <row r="314">
      <c r="A314" s="50"/>
      <c r="B314" s="50"/>
      <c r="C314" s="50"/>
      <c r="D314" s="50"/>
      <c r="E314" s="158"/>
      <c r="F314" s="175"/>
      <c r="G314" s="175"/>
      <c r="H314" s="175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168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/>
      <c r="BJ314" s="50"/>
      <c r="BK314" s="50"/>
      <c r="BL314" s="50"/>
      <c r="BM314" s="50"/>
      <c r="BN314" s="50"/>
    </row>
    <row r="315">
      <c r="A315" s="50"/>
      <c r="B315" s="50"/>
      <c r="C315" s="50"/>
      <c r="D315" s="50"/>
      <c r="E315" s="158"/>
      <c r="F315" s="175"/>
      <c r="G315" s="175"/>
      <c r="H315" s="175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168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/>
      <c r="BJ315" s="50"/>
      <c r="BK315" s="50"/>
      <c r="BL315" s="50"/>
      <c r="BM315" s="50"/>
      <c r="BN315" s="50"/>
    </row>
    <row r="316">
      <c r="A316" s="50"/>
      <c r="B316" s="50"/>
      <c r="C316" s="50"/>
      <c r="D316" s="50"/>
      <c r="E316" s="158"/>
      <c r="F316" s="175"/>
      <c r="G316" s="175"/>
      <c r="H316" s="175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168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/>
      <c r="BJ316" s="50"/>
      <c r="BK316" s="50"/>
      <c r="BL316" s="50"/>
      <c r="BM316" s="50"/>
      <c r="BN316" s="50"/>
    </row>
    <row r="317">
      <c r="A317" s="50"/>
      <c r="B317" s="50"/>
      <c r="C317" s="50"/>
      <c r="D317" s="50"/>
      <c r="E317" s="158"/>
      <c r="F317" s="175"/>
      <c r="G317" s="175"/>
      <c r="H317" s="175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168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  <c r="BI317" s="50"/>
      <c r="BJ317" s="50"/>
      <c r="BK317" s="50"/>
      <c r="BL317" s="50"/>
      <c r="BM317" s="50"/>
      <c r="BN317" s="50"/>
    </row>
    <row r="318">
      <c r="A318" s="50"/>
      <c r="B318" s="50"/>
      <c r="C318" s="50"/>
      <c r="D318" s="50"/>
      <c r="E318" s="158"/>
      <c r="F318" s="175"/>
      <c r="G318" s="175"/>
      <c r="H318" s="175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168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  <c r="BI318" s="50"/>
      <c r="BJ318" s="50"/>
      <c r="BK318" s="50"/>
      <c r="BL318" s="50"/>
      <c r="BM318" s="50"/>
      <c r="BN318" s="50"/>
    </row>
    <row r="319">
      <c r="A319" s="50"/>
      <c r="B319" s="50"/>
      <c r="C319" s="50"/>
      <c r="D319" s="50"/>
      <c r="E319" s="158"/>
      <c r="F319" s="175"/>
      <c r="G319" s="175"/>
      <c r="H319" s="175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168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  <c r="BI319" s="50"/>
      <c r="BJ319" s="50"/>
      <c r="BK319" s="50"/>
      <c r="BL319" s="50"/>
      <c r="BM319" s="50"/>
      <c r="BN319" s="50"/>
    </row>
    <row r="320">
      <c r="A320" s="50"/>
      <c r="B320" s="50"/>
      <c r="C320" s="50"/>
      <c r="D320" s="50"/>
      <c r="E320" s="158"/>
      <c r="F320" s="175"/>
      <c r="G320" s="175"/>
      <c r="H320" s="175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168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/>
      <c r="BJ320" s="50"/>
      <c r="BK320" s="50"/>
      <c r="BL320" s="50"/>
      <c r="BM320" s="50"/>
      <c r="BN320" s="50"/>
    </row>
    <row r="321">
      <c r="A321" s="50"/>
      <c r="B321" s="50"/>
      <c r="C321" s="50"/>
      <c r="D321" s="50"/>
      <c r="E321" s="158"/>
      <c r="F321" s="175"/>
      <c r="G321" s="175"/>
      <c r="H321" s="175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168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/>
      <c r="BJ321" s="50"/>
      <c r="BK321" s="50"/>
      <c r="BL321" s="50"/>
      <c r="BM321" s="50"/>
      <c r="BN321" s="50"/>
    </row>
    <row r="322">
      <c r="A322" s="50"/>
      <c r="B322" s="50"/>
      <c r="C322" s="50"/>
      <c r="D322" s="50"/>
      <c r="E322" s="158"/>
      <c r="F322" s="175"/>
      <c r="G322" s="175"/>
      <c r="H322" s="175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168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  <c r="BL322" s="50"/>
      <c r="BM322" s="50"/>
      <c r="BN322" s="50"/>
    </row>
    <row r="323">
      <c r="A323" s="50"/>
      <c r="B323" s="50"/>
      <c r="C323" s="50"/>
      <c r="D323" s="50"/>
      <c r="E323" s="158"/>
      <c r="F323" s="175"/>
      <c r="G323" s="175"/>
      <c r="H323" s="175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168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/>
      <c r="BJ323" s="50"/>
      <c r="BK323" s="50"/>
      <c r="BL323" s="50"/>
      <c r="BM323" s="50"/>
      <c r="BN323" s="50"/>
    </row>
    <row r="324">
      <c r="A324" s="50"/>
      <c r="B324" s="50"/>
      <c r="C324" s="50"/>
      <c r="D324" s="50"/>
      <c r="E324" s="158"/>
      <c r="F324" s="175"/>
      <c r="G324" s="175"/>
      <c r="H324" s="175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168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50"/>
      <c r="BF324" s="50"/>
      <c r="BG324" s="50"/>
      <c r="BH324" s="50"/>
      <c r="BI324" s="50"/>
      <c r="BJ324" s="50"/>
      <c r="BK324" s="50"/>
      <c r="BL324" s="50"/>
      <c r="BM324" s="50"/>
      <c r="BN324" s="50"/>
    </row>
    <row r="325">
      <c r="A325" s="50"/>
      <c r="B325" s="50"/>
      <c r="C325" s="50"/>
      <c r="D325" s="50"/>
      <c r="E325" s="158"/>
      <c r="F325" s="175"/>
      <c r="G325" s="175"/>
      <c r="H325" s="175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168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  <c r="BI325" s="50"/>
      <c r="BJ325" s="50"/>
      <c r="BK325" s="50"/>
      <c r="BL325" s="50"/>
      <c r="BM325" s="50"/>
      <c r="BN325" s="50"/>
    </row>
    <row r="326">
      <c r="A326" s="50"/>
      <c r="B326" s="50"/>
      <c r="C326" s="50"/>
      <c r="D326" s="50"/>
      <c r="E326" s="158"/>
      <c r="F326" s="175"/>
      <c r="G326" s="175"/>
      <c r="H326" s="175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168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/>
      <c r="BE326" s="50"/>
      <c r="BF326" s="50"/>
      <c r="BG326" s="50"/>
      <c r="BH326" s="50"/>
      <c r="BI326" s="50"/>
      <c r="BJ326" s="50"/>
      <c r="BK326" s="50"/>
      <c r="BL326" s="50"/>
      <c r="BM326" s="50"/>
      <c r="BN326" s="50"/>
    </row>
    <row r="327">
      <c r="A327" s="50"/>
      <c r="B327" s="50"/>
      <c r="C327" s="50"/>
      <c r="D327" s="50"/>
      <c r="E327" s="158"/>
      <c r="F327" s="175"/>
      <c r="G327" s="175"/>
      <c r="H327" s="175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168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50"/>
      <c r="BE327" s="50"/>
      <c r="BF327" s="50"/>
      <c r="BG327" s="50"/>
      <c r="BH327" s="50"/>
      <c r="BI327" s="50"/>
      <c r="BJ327" s="50"/>
      <c r="BK327" s="50"/>
      <c r="BL327" s="50"/>
      <c r="BM327" s="50"/>
      <c r="BN327" s="50"/>
    </row>
    <row r="328">
      <c r="A328" s="50"/>
      <c r="B328" s="50"/>
      <c r="C328" s="50"/>
      <c r="D328" s="50"/>
      <c r="E328" s="158"/>
      <c r="F328" s="175"/>
      <c r="G328" s="175"/>
      <c r="H328" s="175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168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/>
      <c r="BJ328" s="50"/>
      <c r="BK328" s="50"/>
      <c r="BL328" s="50"/>
      <c r="BM328" s="50"/>
      <c r="BN328" s="50"/>
    </row>
    <row r="329">
      <c r="A329" s="50"/>
      <c r="B329" s="50"/>
      <c r="C329" s="50"/>
      <c r="D329" s="50"/>
      <c r="E329" s="158"/>
      <c r="F329" s="175"/>
      <c r="G329" s="175"/>
      <c r="H329" s="175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168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/>
      <c r="BJ329" s="50"/>
      <c r="BK329" s="50"/>
      <c r="BL329" s="50"/>
      <c r="BM329" s="50"/>
      <c r="BN329" s="50"/>
    </row>
    <row r="330">
      <c r="A330" s="50"/>
      <c r="B330" s="50"/>
      <c r="C330" s="50"/>
      <c r="D330" s="50"/>
      <c r="E330" s="158"/>
      <c r="F330" s="175"/>
      <c r="G330" s="175"/>
      <c r="H330" s="175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168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0"/>
      <c r="BE330" s="50"/>
      <c r="BF330" s="50"/>
      <c r="BG330" s="50"/>
      <c r="BH330" s="50"/>
      <c r="BI330" s="50"/>
      <c r="BJ330" s="50"/>
      <c r="BK330" s="50"/>
      <c r="BL330" s="50"/>
      <c r="BM330" s="50"/>
      <c r="BN330" s="50"/>
    </row>
    <row r="331">
      <c r="A331" s="50"/>
      <c r="B331" s="50"/>
      <c r="C331" s="50"/>
      <c r="D331" s="50"/>
      <c r="E331" s="158"/>
      <c r="F331" s="175"/>
      <c r="G331" s="175"/>
      <c r="H331" s="175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168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0"/>
      <c r="BE331" s="50"/>
      <c r="BF331" s="50"/>
      <c r="BG331" s="50"/>
      <c r="BH331" s="50"/>
      <c r="BI331" s="50"/>
      <c r="BJ331" s="50"/>
      <c r="BK331" s="50"/>
      <c r="BL331" s="50"/>
      <c r="BM331" s="50"/>
      <c r="BN331" s="50"/>
    </row>
    <row r="332">
      <c r="A332" s="50"/>
      <c r="B332" s="50"/>
      <c r="C332" s="50"/>
      <c r="D332" s="50"/>
      <c r="E332" s="158"/>
      <c r="F332" s="175"/>
      <c r="G332" s="175"/>
      <c r="H332" s="175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168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  <c r="BI332" s="50"/>
      <c r="BJ332" s="50"/>
      <c r="BK332" s="50"/>
      <c r="BL332" s="50"/>
      <c r="BM332" s="50"/>
      <c r="BN332" s="50"/>
    </row>
    <row r="333">
      <c r="A333" s="50"/>
      <c r="B333" s="50"/>
      <c r="C333" s="50"/>
      <c r="D333" s="50"/>
      <c r="E333" s="158"/>
      <c r="F333" s="175"/>
      <c r="G333" s="175"/>
      <c r="H333" s="175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168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50"/>
      <c r="BE333" s="50"/>
      <c r="BF333" s="50"/>
      <c r="BG333" s="50"/>
      <c r="BH333" s="50"/>
      <c r="BI333" s="50"/>
      <c r="BJ333" s="50"/>
      <c r="BK333" s="50"/>
      <c r="BL333" s="50"/>
      <c r="BM333" s="50"/>
      <c r="BN333" s="50"/>
    </row>
    <row r="334">
      <c r="A334" s="50"/>
      <c r="B334" s="50"/>
      <c r="C334" s="50"/>
      <c r="D334" s="50"/>
      <c r="E334" s="158"/>
      <c r="F334" s="175"/>
      <c r="G334" s="175"/>
      <c r="H334" s="175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168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  <c r="BI334" s="50"/>
      <c r="BJ334" s="50"/>
      <c r="BK334" s="50"/>
      <c r="BL334" s="50"/>
      <c r="BM334" s="50"/>
      <c r="BN334" s="50"/>
    </row>
    <row r="335">
      <c r="A335" s="50"/>
      <c r="B335" s="50"/>
      <c r="C335" s="50"/>
      <c r="D335" s="50"/>
      <c r="E335" s="158"/>
      <c r="F335" s="175"/>
      <c r="G335" s="175"/>
      <c r="H335" s="175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168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  <c r="BI335" s="50"/>
      <c r="BJ335" s="50"/>
      <c r="BK335" s="50"/>
      <c r="BL335" s="50"/>
      <c r="BM335" s="50"/>
      <c r="BN335" s="50"/>
    </row>
    <row r="336">
      <c r="A336" s="50"/>
      <c r="B336" s="50"/>
      <c r="C336" s="50"/>
      <c r="D336" s="50"/>
      <c r="E336" s="158"/>
      <c r="F336" s="175"/>
      <c r="G336" s="175"/>
      <c r="H336" s="175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168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0"/>
      <c r="BE336" s="50"/>
      <c r="BF336" s="50"/>
      <c r="BG336" s="50"/>
      <c r="BH336" s="50"/>
      <c r="BI336" s="50"/>
      <c r="BJ336" s="50"/>
      <c r="BK336" s="50"/>
      <c r="BL336" s="50"/>
      <c r="BM336" s="50"/>
      <c r="BN336" s="50"/>
    </row>
    <row r="337">
      <c r="A337" s="50"/>
      <c r="B337" s="50"/>
      <c r="C337" s="50"/>
      <c r="D337" s="50"/>
      <c r="E337" s="158"/>
      <c r="F337" s="175"/>
      <c r="G337" s="175"/>
      <c r="H337" s="175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168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50"/>
      <c r="AQ337" s="50"/>
      <c r="AR337" s="50"/>
      <c r="AS337" s="50"/>
      <c r="AT337" s="50"/>
      <c r="AU337" s="50"/>
      <c r="AV337" s="50"/>
      <c r="AW337" s="50"/>
      <c r="AX337" s="50"/>
      <c r="AY337" s="50"/>
      <c r="AZ337" s="50"/>
      <c r="BA337" s="50"/>
      <c r="BB337" s="50"/>
      <c r="BC337" s="50"/>
      <c r="BD337" s="50"/>
      <c r="BE337" s="50"/>
      <c r="BF337" s="50"/>
      <c r="BG337" s="50"/>
      <c r="BH337" s="50"/>
      <c r="BI337" s="50"/>
      <c r="BJ337" s="50"/>
      <c r="BK337" s="50"/>
      <c r="BL337" s="50"/>
      <c r="BM337" s="50"/>
      <c r="BN337" s="50"/>
    </row>
    <row r="338">
      <c r="A338" s="50"/>
      <c r="B338" s="50"/>
      <c r="C338" s="50"/>
      <c r="D338" s="50"/>
      <c r="E338" s="158"/>
      <c r="F338" s="175"/>
      <c r="G338" s="175"/>
      <c r="H338" s="175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168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50"/>
      <c r="AQ338" s="50"/>
      <c r="AR338" s="50"/>
      <c r="AS338" s="50"/>
      <c r="AT338" s="50"/>
      <c r="AU338" s="50"/>
      <c r="AV338" s="50"/>
      <c r="AW338" s="50"/>
      <c r="AX338" s="50"/>
      <c r="AY338" s="50"/>
      <c r="AZ338" s="50"/>
      <c r="BA338" s="50"/>
      <c r="BB338" s="50"/>
      <c r="BC338" s="50"/>
      <c r="BD338" s="50"/>
      <c r="BE338" s="50"/>
      <c r="BF338" s="50"/>
      <c r="BG338" s="50"/>
      <c r="BH338" s="50"/>
      <c r="BI338" s="50"/>
      <c r="BJ338" s="50"/>
      <c r="BK338" s="50"/>
      <c r="BL338" s="50"/>
      <c r="BM338" s="50"/>
      <c r="BN338" s="50"/>
    </row>
    <row r="339">
      <c r="A339" s="50"/>
      <c r="B339" s="50"/>
      <c r="C339" s="50"/>
      <c r="D339" s="50"/>
      <c r="E339" s="158"/>
      <c r="F339" s="175"/>
      <c r="G339" s="175"/>
      <c r="H339" s="175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168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50"/>
      <c r="AQ339" s="50"/>
      <c r="AR339" s="50"/>
      <c r="AS339" s="50"/>
      <c r="AT339" s="50"/>
      <c r="AU339" s="50"/>
      <c r="AV339" s="50"/>
      <c r="AW339" s="50"/>
      <c r="AX339" s="50"/>
      <c r="AY339" s="50"/>
      <c r="AZ339" s="50"/>
      <c r="BA339" s="50"/>
      <c r="BB339" s="50"/>
      <c r="BC339" s="50"/>
      <c r="BD339" s="50"/>
      <c r="BE339" s="50"/>
      <c r="BF339" s="50"/>
      <c r="BG339" s="50"/>
      <c r="BH339" s="50"/>
      <c r="BI339" s="50"/>
      <c r="BJ339" s="50"/>
      <c r="BK339" s="50"/>
      <c r="BL339" s="50"/>
      <c r="BM339" s="50"/>
      <c r="BN339" s="50"/>
    </row>
    <row r="340">
      <c r="A340" s="50"/>
      <c r="B340" s="50"/>
      <c r="C340" s="50"/>
      <c r="D340" s="50"/>
      <c r="E340" s="158"/>
      <c r="F340" s="175"/>
      <c r="G340" s="175"/>
      <c r="H340" s="175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168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0"/>
      <c r="BC340" s="50"/>
      <c r="BD340" s="50"/>
      <c r="BE340" s="50"/>
      <c r="BF340" s="50"/>
      <c r="BG340" s="50"/>
      <c r="BH340" s="50"/>
      <c r="BI340" s="50"/>
      <c r="BJ340" s="50"/>
      <c r="BK340" s="50"/>
      <c r="BL340" s="50"/>
      <c r="BM340" s="50"/>
      <c r="BN340" s="50"/>
    </row>
    <row r="341">
      <c r="A341" s="50"/>
      <c r="B341" s="50"/>
      <c r="C341" s="50"/>
      <c r="D341" s="50"/>
      <c r="E341" s="158"/>
      <c r="F341" s="175"/>
      <c r="G341" s="175"/>
      <c r="H341" s="175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168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50"/>
      <c r="BF341" s="50"/>
      <c r="BG341" s="50"/>
      <c r="BH341" s="50"/>
      <c r="BI341" s="50"/>
      <c r="BJ341" s="50"/>
      <c r="BK341" s="50"/>
      <c r="BL341" s="50"/>
      <c r="BM341" s="50"/>
      <c r="BN341" s="50"/>
    </row>
    <row r="342">
      <c r="A342" s="50"/>
      <c r="B342" s="50"/>
      <c r="C342" s="50"/>
      <c r="D342" s="50"/>
      <c r="E342" s="158"/>
      <c r="F342" s="175"/>
      <c r="G342" s="175"/>
      <c r="H342" s="175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168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50"/>
      <c r="BE342" s="50"/>
      <c r="BF342" s="50"/>
      <c r="BG342" s="50"/>
      <c r="BH342" s="50"/>
      <c r="BI342" s="50"/>
      <c r="BJ342" s="50"/>
      <c r="BK342" s="50"/>
      <c r="BL342" s="50"/>
      <c r="BM342" s="50"/>
      <c r="BN342" s="50"/>
    </row>
    <row r="343">
      <c r="A343" s="50"/>
      <c r="B343" s="50"/>
      <c r="C343" s="50"/>
      <c r="D343" s="50"/>
      <c r="E343" s="158"/>
      <c r="F343" s="175"/>
      <c r="G343" s="175"/>
      <c r="H343" s="175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168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50"/>
      <c r="BE343" s="50"/>
      <c r="BF343" s="50"/>
      <c r="BG343" s="50"/>
      <c r="BH343" s="50"/>
      <c r="BI343" s="50"/>
      <c r="BJ343" s="50"/>
      <c r="BK343" s="50"/>
      <c r="BL343" s="50"/>
      <c r="BM343" s="50"/>
      <c r="BN343" s="50"/>
    </row>
    <row r="344">
      <c r="A344" s="50"/>
      <c r="B344" s="50"/>
      <c r="C344" s="50"/>
      <c r="D344" s="50"/>
      <c r="E344" s="158"/>
      <c r="F344" s="175"/>
      <c r="G344" s="175"/>
      <c r="H344" s="175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168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  <c r="AQ344" s="50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0"/>
      <c r="BC344" s="50"/>
      <c r="BD344" s="50"/>
      <c r="BE344" s="50"/>
      <c r="BF344" s="50"/>
      <c r="BG344" s="50"/>
      <c r="BH344" s="50"/>
      <c r="BI344" s="50"/>
      <c r="BJ344" s="50"/>
      <c r="BK344" s="50"/>
      <c r="BL344" s="50"/>
      <c r="BM344" s="50"/>
      <c r="BN344" s="50"/>
    </row>
    <row r="345">
      <c r="A345" s="50"/>
      <c r="B345" s="50"/>
      <c r="C345" s="50"/>
      <c r="D345" s="50"/>
      <c r="E345" s="158"/>
      <c r="F345" s="175"/>
      <c r="G345" s="175"/>
      <c r="H345" s="175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168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/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</row>
    <row r="346">
      <c r="A346" s="50"/>
      <c r="B346" s="50"/>
      <c r="C346" s="50"/>
      <c r="D346" s="50"/>
      <c r="E346" s="158"/>
      <c r="F346" s="175"/>
      <c r="G346" s="175"/>
      <c r="H346" s="175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168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  <c r="AQ346" s="50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0"/>
      <c r="BC346" s="50"/>
      <c r="BD346" s="50"/>
      <c r="BE346" s="50"/>
      <c r="BF346" s="50"/>
      <c r="BG346" s="50"/>
      <c r="BH346" s="50"/>
      <c r="BI346" s="50"/>
      <c r="BJ346" s="50"/>
      <c r="BK346" s="50"/>
      <c r="BL346" s="50"/>
      <c r="BM346" s="50"/>
      <c r="BN346" s="50"/>
    </row>
    <row r="347">
      <c r="A347" s="50"/>
      <c r="B347" s="50"/>
      <c r="C347" s="50"/>
      <c r="D347" s="50"/>
      <c r="E347" s="158"/>
      <c r="F347" s="175"/>
      <c r="G347" s="175"/>
      <c r="H347" s="175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168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/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</row>
    <row r="348">
      <c r="A348" s="50"/>
      <c r="B348" s="50"/>
      <c r="C348" s="50"/>
      <c r="D348" s="50"/>
      <c r="E348" s="158"/>
      <c r="F348" s="175"/>
      <c r="G348" s="175"/>
      <c r="H348" s="175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168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  <c r="AQ348" s="50"/>
      <c r="AR348" s="50"/>
      <c r="AS348" s="50"/>
      <c r="AT348" s="50"/>
      <c r="AU348" s="50"/>
      <c r="AV348" s="50"/>
      <c r="AW348" s="50"/>
      <c r="AX348" s="50"/>
      <c r="AY348" s="50"/>
      <c r="AZ348" s="50"/>
      <c r="BA348" s="50"/>
      <c r="BB348" s="50"/>
      <c r="BC348" s="50"/>
      <c r="BD348" s="50"/>
      <c r="BE348" s="50"/>
      <c r="BF348" s="50"/>
      <c r="BG348" s="50"/>
      <c r="BH348" s="50"/>
      <c r="BI348" s="50"/>
      <c r="BJ348" s="50"/>
      <c r="BK348" s="50"/>
      <c r="BL348" s="50"/>
      <c r="BM348" s="50"/>
      <c r="BN348" s="50"/>
    </row>
    <row r="349">
      <c r="A349" s="50"/>
      <c r="B349" s="50"/>
      <c r="C349" s="50"/>
      <c r="D349" s="50"/>
      <c r="E349" s="158"/>
      <c r="F349" s="175"/>
      <c r="G349" s="175"/>
      <c r="H349" s="175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168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/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</row>
    <row r="350">
      <c r="A350" s="50"/>
      <c r="B350" s="50"/>
      <c r="C350" s="50"/>
      <c r="D350" s="50"/>
      <c r="E350" s="158"/>
      <c r="F350" s="175"/>
      <c r="G350" s="175"/>
      <c r="H350" s="175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168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50"/>
      <c r="AQ350" s="50"/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0"/>
      <c r="BC350" s="50"/>
      <c r="BD350" s="50"/>
      <c r="BE350" s="50"/>
      <c r="BF350" s="50"/>
      <c r="BG350" s="50"/>
      <c r="BH350" s="50"/>
      <c r="BI350" s="50"/>
      <c r="BJ350" s="50"/>
      <c r="BK350" s="50"/>
      <c r="BL350" s="50"/>
      <c r="BM350" s="50"/>
      <c r="BN350" s="50"/>
    </row>
    <row r="351">
      <c r="A351" s="50"/>
      <c r="B351" s="50"/>
      <c r="C351" s="50"/>
      <c r="D351" s="50"/>
      <c r="E351" s="158"/>
      <c r="F351" s="175"/>
      <c r="G351" s="175"/>
      <c r="H351" s="175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168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0"/>
      <c r="BC351" s="50"/>
      <c r="BD351" s="50"/>
      <c r="BE351" s="50"/>
      <c r="BF351" s="50"/>
      <c r="BG351" s="50"/>
      <c r="BH351" s="50"/>
      <c r="BI351" s="50"/>
      <c r="BJ351" s="50"/>
      <c r="BK351" s="50"/>
      <c r="BL351" s="50"/>
      <c r="BM351" s="50"/>
      <c r="BN351" s="50"/>
    </row>
    <row r="352">
      <c r="A352" s="50"/>
      <c r="B352" s="50"/>
      <c r="C352" s="50"/>
      <c r="D352" s="50"/>
      <c r="E352" s="158"/>
      <c r="F352" s="175"/>
      <c r="G352" s="175"/>
      <c r="H352" s="175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168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  <c r="AR352" s="50"/>
      <c r="AS352" s="50"/>
      <c r="AT352" s="50"/>
      <c r="AU352" s="50"/>
      <c r="AV352" s="50"/>
      <c r="AW352" s="50"/>
      <c r="AX352" s="50"/>
      <c r="AY352" s="50"/>
      <c r="AZ352" s="50"/>
      <c r="BA352" s="50"/>
      <c r="BB352" s="50"/>
      <c r="BC352" s="50"/>
      <c r="BD352" s="50"/>
      <c r="BE352" s="50"/>
      <c r="BF352" s="50"/>
      <c r="BG352" s="50"/>
      <c r="BH352" s="50"/>
      <c r="BI352" s="50"/>
      <c r="BJ352" s="50"/>
      <c r="BK352" s="50"/>
      <c r="BL352" s="50"/>
      <c r="BM352" s="50"/>
      <c r="BN352" s="50"/>
    </row>
    <row r="353">
      <c r="A353" s="50"/>
      <c r="B353" s="50"/>
      <c r="C353" s="50"/>
      <c r="D353" s="50"/>
      <c r="E353" s="158"/>
      <c r="F353" s="175"/>
      <c r="G353" s="175"/>
      <c r="H353" s="175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168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  <c r="AR353" s="50"/>
      <c r="AS353" s="50"/>
      <c r="AT353" s="50"/>
      <c r="AU353" s="50"/>
      <c r="AV353" s="50"/>
      <c r="AW353" s="50"/>
      <c r="AX353" s="50"/>
      <c r="AY353" s="50"/>
      <c r="AZ353" s="50"/>
      <c r="BA353" s="50"/>
      <c r="BB353" s="50"/>
      <c r="BC353" s="50"/>
      <c r="BD353" s="50"/>
      <c r="BE353" s="50"/>
      <c r="BF353" s="50"/>
      <c r="BG353" s="50"/>
      <c r="BH353" s="50"/>
      <c r="BI353" s="50"/>
      <c r="BJ353" s="50"/>
      <c r="BK353" s="50"/>
      <c r="BL353" s="50"/>
      <c r="BM353" s="50"/>
      <c r="BN353" s="50"/>
    </row>
    <row r="354">
      <c r="A354" s="50"/>
      <c r="B354" s="50"/>
      <c r="C354" s="50"/>
      <c r="D354" s="50"/>
      <c r="E354" s="158"/>
      <c r="F354" s="175"/>
      <c r="G354" s="175"/>
      <c r="H354" s="175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168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0"/>
      <c r="BC354" s="50"/>
      <c r="BD354" s="50"/>
      <c r="BE354" s="50"/>
      <c r="BF354" s="50"/>
      <c r="BG354" s="50"/>
      <c r="BH354" s="50"/>
      <c r="BI354" s="50"/>
      <c r="BJ354" s="50"/>
      <c r="BK354" s="50"/>
      <c r="BL354" s="50"/>
      <c r="BM354" s="50"/>
      <c r="BN354" s="50"/>
    </row>
    <row r="355">
      <c r="A355" s="50"/>
      <c r="B355" s="50"/>
      <c r="C355" s="50"/>
      <c r="D355" s="50"/>
      <c r="E355" s="158"/>
      <c r="F355" s="175"/>
      <c r="G355" s="175"/>
      <c r="H355" s="175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168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50"/>
      <c r="BE355" s="50"/>
      <c r="BF355" s="50"/>
      <c r="BG355" s="50"/>
      <c r="BH355" s="50"/>
      <c r="BI355" s="50"/>
      <c r="BJ355" s="50"/>
      <c r="BK355" s="50"/>
      <c r="BL355" s="50"/>
      <c r="BM355" s="50"/>
      <c r="BN355" s="50"/>
    </row>
    <row r="356">
      <c r="A356" s="50"/>
      <c r="B356" s="50"/>
      <c r="C356" s="50"/>
      <c r="D356" s="50"/>
      <c r="E356" s="158"/>
      <c r="F356" s="175"/>
      <c r="G356" s="175"/>
      <c r="H356" s="175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168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  <c r="AQ356" s="50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0"/>
      <c r="BC356" s="50"/>
      <c r="BD356" s="50"/>
      <c r="BE356" s="50"/>
      <c r="BF356" s="50"/>
      <c r="BG356" s="50"/>
      <c r="BH356" s="50"/>
      <c r="BI356" s="50"/>
      <c r="BJ356" s="50"/>
      <c r="BK356" s="50"/>
      <c r="BL356" s="50"/>
      <c r="BM356" s="50"/>
      <c r="BN356" s="50"/>
    </row>
    <row r="357">
      <c r="A357" s="50"/>
      <c r="B357" s="50"/>
      <c r="C357" s="50"/>
      <c r="D357" s="50"/>
      <c r="E357" s="158"/>
      <c r="F357" s="175"/>
      <c r="G357" s="175"/>
      <c r="H357" s="175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168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0"/>
      <c r="BC357" s="50"/>
      <c r="BD357" s="50"/>
      <c r="BE357" s="50"/>
      <c r="BF357" s="50"/>
      <c r="BG357" s="50"/>
      <c r="BH357" s="50"/>
      <c r="BI357" s="50"/>
      <c r="BJ357" s="50"/>
      <c r="BK357" s="50"/>
      <c r="BL357" s="50"/>
      <c r="BM357" s="50"/>
      <c r="BN357" s="50"/>
    </row>
    <row r="358">
      <c r="A358" s="50"/>
      <c r="B358" s="50"/>
      <c r="C358" s="50"/>
      <c r="D358" s="50"/>
      <c r="E358" s="158"/>
      <c r="F358" s="175"/>
      <c r="G358" s="175"/>
      <c r="H358" s="175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168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50"/>
      <c r="BE358" s="50"/>
      <c r="BF358" s="50"/>
      <c r="BG358" s="50"/>
      <c r="BH358" s="50"/>
      <c r="BI358" s="50"/>
      <c r="BJ358" s="50"/>
      <c r="BK358" s="50"/>
      <c r="BL358" s="50"/>
      <c r="BM358" s="50"/>
      <c r="BN358" s="50"/>
    </row>
    <row r="359">
      <c r="A359" s="50"/>
      <c r="B359" s="50"/>
      <c r="C359" s="50"/>
      <c r="D359" s="50"/>
      <c r="E359" s="158"/>
      <c r="F359" s="175"/>
      <c r="G359" s="175"/>
      <c r="H359" s="175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168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  <c r="AQ359" s="50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0"/>
      <c r="BC359" s="50"/>
      <c r="BD359" s="50"/>
      <c r="BE359" s="50"/>
      <c r="BF359" s="50"/>
      <c r="BG359" s="50"/>
      <c r="BH359" s="50"/>
      <c r="BI359" s="50"/>
      <c r="BJ359" s="50"/>
      <c r="BK359" s="50"/>
      <c r="BL359" s="50"/>
      <c r="BM359" s="50"/>
      <c r="BN359" s="50"/>
    </row>
    <row r="360">
      <c r="A360" s="50"/>
      <c r="B360" s="50"/>
      <c r="C360" s="50"/>
      <c r="D360" s="50"/>
      <c r="E360" s="158"/>
      <c r="F360" s="175"/>
      <c r="G360" s="175"/>
      <c r="H360" s="175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168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  <c r="AV360" s="50"/>
      <c r="AW360" s="50"/>
      <c r="AX360" s="50"/>
      <c r="AY360" s="50"/>
      <c r="AZ360" s="50"/>
      <c r="BA360" s="50"/>
      <c r="BB360" s="50"/>
      <c r="BC360" s="50"/>
      <c r="BD360" s="50"/>
      <c r="BE360" s="50"/>
      <c r="BF360" s="50"/>
      <c r="BG360" s="50"/>
      <c r="BH360" s="50"/>
      <c r="BI360" s="50"/>
      <c r="BJ360" s="50"/>
      <c r="BK360" s="50"/>
      <c r="BL360" s="50"/>
      <c r="BM360" s="50"/>
      <c r="BN360" s="50"/>
    </row>
    <row r="361">
      <c r="A361" s="50"/>
      <c r="B361" s="50"/>
      <c r="C361" s="50"/>
      <c r="D361" s="50"/>
      <c r="E361" s="158"/>
      <c r="F361" s="175"/>
      <c r="G361" s="175"/>
      <c r="H361" s="175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168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50"/>
      <c r="AQ361" s="50"/>
      <c r="AR361" s="50"/>
      <c r="AS361" s="50"/>
      <c r="AT361" s="50"/>
      <c r="AU361" s="50"/>
      <c r="AV361" s="50"/>
      <c r="AW361" s="50"/>
      <c r="AX361" s="50"/>
      <c r="AY361" s="50"/>
      <c r="AZ361" s="50"/>
      <c r="BA361" s="50"/>
      <c r="BB361" s="50"/>
      <c r="BC361" s="50"/>
      <c r="BD361" s="50"/>
      <c r="BE361" s="50"/>
      <c r="BF361" s="50"/>
      <c r="BG361" s="50"/>
      <c r="BH361" s="50"/>
      <c r="BI361" s="50"/>
      <c r="BJ361" s="50"/>
      <c r="BK361" s="50"/>
      <c r="BL361" s="50"/>
      <c r="BM361" s="50"/>
      <c r="BN361" s="50"/>
    </row>
    <row r="362">
      <c r="A362" s="50"/>
      <c r="B362" s="50"/>
      <c r="C362" s="50"/>
      <c r="D362" s="50"/>
      <c r="E362" s="158"/>
      <c r="F362" s="175"/>
      <c r="G362" s="175"/>
      <c r="H362" s="175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168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50"/>
      <c r="AQ362" s="50"/>
      <c r="AR362" s="50"/>
      <c r="AS362" s="50"/>
      <c r="AT362" s="50"/>
      <c r="AU362" s="50"/>
      <c r="AV362" s="50"/>
      <c r="AW362" s="50"/>
      <c r="AX362" s="50"/>
      <c r="AY362" s="50"/>
      <c r="AZ362" s="50"/>
      <c r="BA362" s="50"/>
      <c r="BB362" s="50"/>
      <c r="BC362" s="50"/>
      <c r="BD362" s="50"/>
      <c r="BE362" s="50"/>
      <c r="BF362" s="50"/>
      <c r="BG362" s="50"/>
      <c r="BH362" s="50"/>
      <c r="BI362" s="50"/>
      <c r="BJ362" s="50"/>
      <c r="BK362" s="50"/>
      <c r="BL362" s="50"/>
      <c r="BM362" s="50"/>
      <c r="BN362" s="50"/>
    </row>
    <row r="363">
      <c r="A363" s="50"/>
      <c r="B363" s="50"/>
      <c r="C363" s="50"/>
      <c r="D363" s="50"/>
      <c r="E363" s="158"/>
      <c r="F363" s="175"/>
      <c r="G363" s="175"/>
      <c r="H363" s="175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168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50"/>
      <c r="AQ363" s="50"/>
      <c r="AR363" s="50"/>
      <c r="AS363" s="50"/>
      <c r="AT363" s="50"/>
      <c r="AU363" s="50"/>
      <c r="AV363" s="50"/>
      <c r="AW363" s="50"/>
      <c r="AX363" s="50"/>
      <c r="AY363" s="50"/>
      <c r="AZ363" s="50"/>
      <c r="BA363" s="50"/>
      <c r="BB363" s="50"/>
      <c r="BC363" s="50"/>
      <c r="BD363" s="50"/>
      <c r="BE363" s="50"/>
      <c r="BF363" s="50"/>
      <c r="BG363" s="50"/>
      <c r="BH363" s="50"/>
      <c r="BI363" s="50"/>
      <c r="BJ363" s="50"/>
      <c r="BK363" s="50"/>
      <c r="BL363" s="50"/>
      <c r="BM363" s="50"/>
      <c r="BN363" s="50"/>
    </row>
    <row r="364">
      <c r="A364" s="50"/>
      <c r="B364" s="50"/>
      <c r="C364" s="50"/>
      <c r="D364" s="50"/>
      <c r="E364" s="158"/>
      <c r="F364" s="175"/>
      <c r="G364" s="175"/>
      <c r="H364" s="175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168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50"/>
      <c r="AQ364" s="50"/>
      <c r="AR364" s="50"/>
      <c r="AS364" s="50"/>
      <c r="AT364" s="50"/>
      <c r="AU364" s="50"/>
      <c r="AV364" s="50"/>
      <c r="AW364" s="50"/>
      <c r="AX364" s="50"/>
      <c r="AY364" s="50"/>
      <c r="AZ364" s="50"/>
      <c r="BA364" s="50"/>
      <c r="BB364" s="50"/>
      <c r="BC364" s="50"/>
      <c r="BD364" s="50"/>
      <c r="BE364" s="50"/>
      <c r="BF364" s="50"/>
      <c r="BG364" s="50"/>
      <c r="BH364" s="50"/>
      <c r="BI364" s="50"/>
      <c r="BJ364" s="50"/>
      <c r="BK364" s="50"/>
      <c r="BL364" s="50"/>
      <c r="BM364" s="50"/>
      <c r="BN364" s="50"/>
    </row>
    <row r="365">
      <c r="A365" s="50"/>
      <c r="B365" s="50"/>
      <c r="C365" s="50"/>
      <c r="D365" s="50"/>
      <c r="E365" s="158"/>
      <c r="F365" s="175"/>
      <c r="G365" s="175"/>
      <c r="H365" s="175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168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50"/>
      <c r="AQ365" s="50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0"/>
      <c r="BC365" s="50"/>
      <c r="BD365" s="50"/>
      <c r="BE365" s="50"/>
      <c r="BF365" s="50"/>
      <c r="BG365" s="50"/>
      <c r="BH365" s="50"/>
      <c r="BI365" s="50"/>
      <c r="BJ365" s="50"/>
      <c r="BK365" s="50"/>
      <c r="BL365" s="50"/>
      <c r="BM365" s="50"/>
      <c r="BN365" s="50"/>
    </row>
    <row r="366">
      <c r="A366" s="50"/>
      <c r="B366" s="50"/>
      <c r="C366" s="50"/>
      <c r="D366" s="50"/>
      <c r="E366" s="158"/>
      <c r="F366" s="175"/>
      <c r="G366" s="175"/>
      <c r="H366" s="175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168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50"/>
      <c r="AQ366" s="50"/>
      <c r="AR366" s="50"/>
      <c r="AS366" s="50"/>
      <c r="AT366" s="50"/>
      <c r="AU366" s="50"/>
      <c r="AV366" s="50"/>
      <c r="AW366" s="50"/>
      <c r="AX366" s="50"/>
      <c r="AY366" s="50"/>
      <c r="AZ366" s="50"/>
      <c r="BA366" s="50"/>
      <c r="BB366" s="50"/>
      <c r="BC366" s="50"/>
      <c r="BD366" s="50"/>
      <c r="BE366" s="50"/>
      <c r="BF366" s="50"/>
      <c r="BG366" s="50"/>
      <c r="BH366" s="50"/>
      <c r="BI366" s="50"/>
      <c r="BJ366" s="50"/>
      <c r="BK366" s="50"/>
      <c r="BL366" s="50"/>
      <c r="BM366" s="50"/>
      <c r="BN366" s="50"/>
    </row>
    <row r="367">
      <c r="A367" s="50"/>
      <c r="B367" s="50"/>
      <c r="C367" s="50"/>
      <c r="D367" s="50"/>
      <c r="E367" s="158"/>
      <c r="F367" s="175"/>
      <c r="G367" s="175"/>
      <c r="H367" s="175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168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50"/>
      <c r="AQ367" s="50"/>
      <c r="AR367" s="50"/>
      <c r="AS367" s="50"/>
      <c r="AT367" s="50"/>
      <c r="AU367" s="50"/>
      <c r="AV367" s="50"/>
      <c r="AW367" s="50"/>
      <c r="AX367" s="50"/>
      <c r="AY367" s="50"/>
      <c r="AZ367" s="50"/>
      <c r="BA367" s="50"/>
      <c r="BB367" s="50"/>
      <c r="BC367" s="50"/>
      <c r="BD367" s="50"/>
      <c r="BE367" s="50"/>
      <c r="BF367" s="50"/>
      <c r="BG367" s="50"/>
      <c r="BH367" s="50"/>
      <c r="BI367" s="50"/>
      <c r="BJ367" s="50"/>
      <c r="BK367" s="50"/>
      <c r="BL367" s="50"/>
      <c r="BM367" s="50"/>
      <c r="BN367" s="50"/>
    </row>
    <row r="368">
      <c r="A368" s="50"/>
      <c r="B368" s="50"/>
      <c r="C368" s="50"/>
      <c r="D368" s="50"/>
      <c r="E368" s="158"/>
      <c r="F368" s="175"/>
      <c r="G368" s="175"/>
      <c r="H368" s="175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168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50"/>
      <c r="BE368" s="50"/>
      <c r="BF368" s="50"/>
      <c r="BG368" s="50"/>
      <c r="BH368" s="50"/>
      <c r="BI368" s="50"/>
      <c r="BJ368" s="50"/>
      <c r="BK368" s="50"/>
      <c r="BL368" s="50"/>
      <c r="BM368" s="50"/>
      <c r="BN368" s="50"/>
    </row>
    <row r="369">
      <c r="A369" s="50"/>
      <c r="B369" s="50"/>
      <c r="C369" s="50"/>
      <c r="D369" s="50"/>
      <c r="E369" s="158"/>
      <c r="F369" s="175"/>
      <c r="G369" s="175"/>
      <c r="H369" s="175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168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50"/>
      <c r="AQ369" s="50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0"/>
      <c r="BC369" s="50"/>
      <c r="BD369" s="50"/>
      <c r="BE369" s="50"/>
      <c r="BF369" s="50"/>
      <c r="BG369" s="50"/>
      <c r="BH369" s="50"/>
      <c r="BI369" s="50"/>
      <c r="BJ369" s="50"/>
      <c r="BK369" s="50"/>
      <c r="BL369" s="50"/>
      <c r="BM369" s="50"/>
      <c r="BN369" s="50"/>
    </row>
    <row r="370">
      <c r="A370" s="50"/>
      <c r="B370" s="50"/>
      <c r="C370" s="50"/>
      <c r="D370" s="50"/>
      <c r="E370" s="158"/>
      <c r="F370" s="175"/>
      <c r="G370" s="175"/>
      <c r="H370" s="175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168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50"/>
      <c r="BE370" s="50"/>
      <c r="BF370" s="50"/>
      <c r="BG370" s="50"/>
      <c r="BH370" s="50"/>
      <c r="BI370" s="50"/>
      <c r="BJ370" s="50"/>
      <c r="BK370" s="50"/>
      <c r="BL370" s="50"/>
      <c r="BM370" s="50"/>
      <c r="BN370" s="50"/>
    </row>
    <row r="371">
      <c r="A371" s="50"/>
      <c r="B371" s="50"/>
      <c r="C371" s="50"/>
      <c r="D371" s="50"/>
      <c r="E371" s="158"/>
      <c r="F371" s="175"/>
      <c r="G371" s="175"/>
      <c r="H371" s="175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168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0"/>
      <c r="BC371" s="50"/>
      <c r="BD371" s="50"/>
      <c r="BE371" s="50"/>
      <c r="BF371" s="50"/>
      <c r="BG371" s="50"/>
      <c r="BH371" s="50"/>
      <c r="BI371" s="50"/>
      <c r="BJ371" s="50"/>
      <c r="BK371" s="50"/>
      <c r="BL371" s="50"/>
      <c r="BM371" s="50"/>
      <c r="BN371" s="50"/>
    </row>
    <row r="372">
      <c r="A372" s="50"/>
      <c r="B372" s="50"/>
      <c r="C372" s="50"/>
      <c r="D372" s="50"/>
      <c r="E372" s="158"/>
      <c r="F372" s="175"/>
      <c r="G372" s="175"/>
      <c r="H372" s="175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168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0"/>
      <c r="AR372" s="50"/>
      <c r="AS372" s="50"/>
      <c r="AT372" s="50"/>
      <c r="AU372" s="50"/>
      <c r="AV372" s="50"/>
      <c r="AW372" s="50"/>
      <c r="AX372" s="50"/>
      <c r="AY372" s="50"/>
      <c r="AZ372" s="50"/>
      <c r="BA372" s="50"/>
      <c r="BB372" s="50"/>
      <c r="BC372" s="50"/>
      <c r="BD372" s="50"/>
      <c r="BE372" s="50"/>
      <c r="BF372" s="50"/>
      <c r="BG372" s="50"/>
      <c r="BH372" s="50"/>
      <c r="BI372" s="50"/>
      <c r="BJ372" s="50"/>
      <c r="BK372" s="50"/>
      <c r="BL372" s="50"/>
      <c r="BM372" s="50"/>
      <c r="BN372" s="50"/>
    </row>
    <row r="373">
      <c r="A373" s="50"/>
      <c r="B373" s="50"/>
      <c r="C373" s="50"/>
      <c r="D373" s="50"/>
      <c r="E373" s="158"/>
      <c r="F373" s="175"/>
      <c r="G373" s="175"/>
      <c r="H373" s="175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168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50"/>
      <c r="AQ373" s="50"/>
      <c r="AR373" s="50"/>
      <c r="AS373" s="50"/>
      <c r="AT373" s="50"/>
      <c r="AU373" s="50"/>
      <c r="AV373" s="50"/>
      <c r="AW373" s="50"/>
      <c r="AX373" s="50"/>
      <c r="AY373" s="50"/>
      <c r="AZ373" s="50"/>
      <c r="BA373" s="50"/>
      <c r="BB373" s="50"/>
      <c r="BC373" s="50"/>
      <c r="BD373" s="50"/>
      <c r="BE373" s="50"/>
      <c r="BF373" s="50"/>
      <c r="BG373" s="50"/>
      <c r="BH373" s="50"/>
      <c r="BI373" s="50"/>
      <c r="BJ373" s="50"/>
      <c r="BK373" s="50"/>
      <c r="BL373" s="50"/>
      <c r="BM373" s="50"/>
      <c r="BN373" s="50"/>
    </row>
    <row r="374">
      <c r="A374" s="50"/>
      <c r="B374" s="50"/>
      <c r="C374" s="50"/>
      <c r="D374" s="50"/>
      <c r="E374" s="158"/>
      <c r="F374" s="175"/>
      <c r="G374" s="175"/>
      <c r="H374" s="175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168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  <c r="BL374" s="50"/>
      <c r="BM374" s="50"/>
      <c r="BN374" s="50"/>
    </row>
    <row r="375">
      <c r="A375" s="50"/>
      <c r="B375" s="50"/>
      <c r="C375" s="50"/>
      <c r="D375" s="50"/>
      <c r="E375" s="158"/>
      <c r="F375" s="175"/>
      <c r="G375" s="175"/>
      <c r="H375" s="175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168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50"/>
      <c r="AQ375" s="50"/>
      <c r="AR375" s="50"/>
      <c r="AS375" s="50"/>
      <c r="AT375" s="50"/>
      <c r="AU375" s="50"/>
      <c r="AV375" s="50"/>
      <c r="AW375" s="50"/>
      <c r="AX375" s="50"/>
      <c r="AY375" s="50"/>
      <c r="AZ375" s="50"/>
      <c r="BA375" s="50"/>
      <c r="BB375" s="50"/>
      <c r="BC375" s="50"/>
      <c r="BD375" s="50"/>
      <c r="BE375" s="50"/>
      <c r="BF375" s="50"/>
      <c r="BG375" s="50"/>
      <c r="BH375" s="50"/>
      <c r="BI375" s="50"/>
      <c r="BJ375" s="50"/>
      <c r="BK375" s="50"/>
      <c r="BL375" s="50"/>
      <c r="BM375" s="50"/>
      <c r="BN375" s="50"/>
    </row>
    <row r="376">
      <c r="A376" s="50"/>
      <c r="B376" s="50"/>
      <c r="C376" s="50"/>
      <c r="D376" s="50"/>
      <c r="E376" s="158"/>
      <c r="F376" s="175"/>
      <c r="G376" s="175"/>
      <c r="H376" s="175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168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50"/>
      <c r="AQ376" s="50"/>
      <c r="AR376" s="50"/>
      <c r="AS376" s="50"/>
      <c r="AT376" s="50"/>
      <c r="AU376" s="50"/>
      <c r="AV376" s="50"/>
      <c r="AW376" s="50"/>
      <c r="AX376" s="50"/>
      <c r="AY376" s="50"/>
      <c r="AZ376" s="50"/>
      <c r="BA376" s="50"/>
      <c r="BB376" s="50"/>
      <c r="BC376" s="50"/>
      <c r="BD376" s="50"/>
      <c r="BE376" s="50"/>
      <c r="BF376" s="50"/>
      <c r="BG376" s="50"/>
      <c r="BH376" s="50"/>
      <c r="BI376" s="50"/>
      <c r="BJ376" s="50"/>
      <c r="BK376" s="50"/>
      <c r="BL376" s="50"/>
      <c r="BM376" s="50"/>
      <c r="BN376" s="50"/>
    </row>
    <row r="377">
      <c r="A377" s="50"/>
      <c r="B377" s="50"/>
      <c r="C377" s="50"/>
      <c r="D377" s="50"/>
      <c r="E377" s="158"/>
      <c r="F377" s="175"/>
      <c r="G377" s="175"/>
      <c r="H377" s="175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168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50"/>
      <c r="AQ377" s="50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0"/>
      <c r="BC377" s="50"/>
      <c r="BD377" s="50"/>
      <c r="BE377" s="50"/>
      <c r="BF377" s="50"/>
      <c r="BG377" s="50"/>
      <c r="BH377" s="50"/>
      <c r="BI377" s="50"/>
      <c r="BJ377" s="50"/>
      <c r="BK377" s="50"/>
      <c r="BL377" s="50"/>
      <c r="BM377" s="50"/>
      <c r="BN377" s="50"/>
    </row>
    <row r="378">
      <c r="A378" s="50"/>
      <c r="B378" s="50"/>
      <c r="C378" s="50"/>
      <c r="D378" s="50"/>
      <c r="E378" s="158"/>
      <c r="F378" s="175"/>
      <c r="G378" s="175"/>
      <c r="H378" s="175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168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  <c r="AQ378" s="50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50"/>
      <c r="BE378" s="50"/>
      <c r="BF378" s="50"/>
      <c r="BG378" s="50"/>
      <c r="BH378" s="50"/>
      <c r="BI378" s="50"/>
      <c r="BJ378" s="50"/>
      <c r="BK378" s="50"/>
      <c r="BL378" s="50"/>
      <c r="BM378" s="50"/>
      <c r="BN378" s="50"/>
    </row>
    <row r="379">
      <c r="A379" s="50"/>
      <c r="B379" s="50"/>
      <c r="C379" s="50"/>
      <c r="D379" s="50"/>
      <c r="E379" s="158"/>
      <c r="F379" s="175"/>
      <c r="G379" s="175"/>
      <c r="H379" s="175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168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50"/>
      <c r="AQ379" s="50"/>
      <c r="AR379" s="50"/>
      <c r="AS379" s="50"/>
      <c r="AT379" s="50"/>
      <c r="AU379" s="50"/>
      <c r="AV379" s="50"/>
      <c r="AW379" s="50"/>
      <c r="AX379" s="50"/>
      <c r="AY379" s="50"/>
      <c r="AZ379" s="50"/>
      <c r="BA379" s="50"/>
      <c r="BB379" s="50"/>
      <c r="BC379" s="50"/>
      <c r="BD379" s="50"/>
      <c r="BE379" s="50"/>
      <c r="BF379" s="50"/>
      <c r="BG379" s="50"/>
      <c r="BH379" s="50"/>
      <c r="BI379" s="50"/>
      <c r="BJ379" s="50"/>
      <c r="BK379" s="50"/>
      <c r="BL379" s="50"/>
      <c r="BM379" s="50"/>
      <c r="BN379" s="50"/>
    </row>
    <row r="380">
      <c r="A380" s="50"/>
      <c r="B380" s="50"/>
      <c r="C380" s="50"/>
      <c r="D380" s="50"/>
      <c r="E380" s="158"/>
      <c r="F380" s="175"/>
      <c r="G380" s="175"/>
      <c r="H380" s="175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168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50"/>
      <c r="AQ380" s="50"/>
      <c r="AR380" s="50"/>
      <c r="AS380" s="50"/>
      <c r="AT380" s="50"/>
      <c r="AU380" s="50"/>
      <c r="AV380" s="50"/>
      <c r="AW380" s="50"/>
      <c r="AX380" s="50"/>
      <c r="AY380" s="50"/>
      <c r="AZ380" s="50"/>
      <c r="BA380" s="50"/>
      <c r="BB380" s="50"/>
      <c r="BC380" s="50"/>
      <c r="BD380" s="50"/>
      <c r="BE380" s="50"/>
      <c r="BF380" s="50"/>
      <c r="BG380" s="50"/>
      <c r="BH380" s="50"/>
      <c r="BI380" s="50"/>
      <c r="BJ380" s="50"/>
      <c r="BK380" s="50"/>
      <c r="BL380" s="50"/>
      <c r="BM380" s="50"/>
      <c r="BN380" s="50"/>
    </row>
    <row r="381">
      <c r="A381" s="50"/>
      <c r="B381" s="50"/>
      <c r="C381" s="50"/>
      <c r="D381" s="50"/>
      <c r="E381" s="158"/>
      <c r="F381" s="175"/>
      <c r="G381" s="175"/>
      <c r="H381" s="175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168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50"/>
      <c r="AQ381" s="50"/>
      <c r="AR381" s="50"/>
      <c r="AS381" s="50"/>
      <c r="AT381" s="50"/>
      <c r="AU381" s="50"/>
      <c r="AV381" s="50"/>
      <c r="AW381" s="50"/>
      <c r="AX381" s="50"/>
      <c r="AY381" s="50"/>
      <c r="AZ381" s="50"/>
      <c r="BA381" s="50"/>
      <c r="BB381" s="50"/>
      <c r="BC381" s="50"/>
      <c r="BD381" s="50"/>
      <c r="BE381" s="50"/>
      <c r="BF381" s="50"/>
      <c r="BG381" s="50"/>
      <c r="BH381" s="50"/>
      <c r="BI381" s="50"/>
      <c r="BJ381" s="50"/>
      <c r="BK381" s="50"/>
      <c r="BL381" s="50"/>
      <c r="BM381" s="50"/>
      <c r="BN381" s="50"/>
    </row>
    <row r="382">
      <c r="A382" s="50"/>
      <c r="B382" s="50"/>
      <c r="C382" s="50"/>
      <c r="D382" s="50"/>
      <c r="E382" s="158"/>
      <c r="F382" s="175"/>
      <c r="G382" s="175"/>
      <c r="H382" s="175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168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50"/>
      <c r="AQ382" s="50"/>
      <c r="AR382" s="50"/>
      <c r="AS382" s="50"/>
      <c r="AT382" s="50"/>
      <c r="AU382" s="50"/>
      <c r="AV382" s="50"/>
      <c r="AW382" s="50"/>
      <c r="AX382" s="50"/>
      <c r="AY382" s="50"/>
      <c r="AZ382" s="50"/>
      <c r="BA382" s="50"/>
      <c r="BB382" s="50"/>
      <c r="BC382" s="50"/>
      <c r="BD382" s="50"/>
      <c r="BE382" s="50"/>
      <c r="BF382" s="50"/>
      <c r="BG382" s="50"/>
      <c r="BH382" s="50"/>
      <c r="BI382" s="50"/>
      <c r="BJ382" s="50"/>
      <c r="BK382" s="50"/>
      <c r="BL382" s="50"/>
      <c r="BM382" s="50"/>
      <c r="BN382" s="50"/>
    </row>
    <row r="383">
      <c r="A383" s="50"/>
      <c r="B383" s="50"/>
      <c r="C383" s="50"/>
      <c r="D383" s="50"/>
      <c r="E383" s="158"/>
      <c r="F383" s="175"/>
      <c r="G383" s="175"/>
      <c r="H383" s="175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168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50"/>
      <c r="AQ383" s="50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50"/>
      <c r="BE383" s="50"/>
      <c r="BF383" s="50"/>
      <c r="BG383" s="50"/>
      <c r="BH383" s="50"/>
      <c r="BI383" s="50"/>
      <c r="BJ383" s="50"/>
      <c r="BK383" s="50"/>
      <c r="BL383" s="50"/>
      <c r="BM383" s="50"/>
      <c r="BN383" s="50"/>
    </row>
    <row r="384">
      <c r="A384" s="50"/>
      <c r="B384" s="50"/>
      <c r="C384" s="50"/>
      <c r="D384" s="50"/>
      <c r="E384" s="158"/>
      <c r="F384" s="175"/>
      <c r="G384" s="175"/>
      <c r="H384" s="175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168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50"/>
      <c r="AQ384" s="50"/>
      <c r="AR384" s="50"/>
      <c r="AS384" s="50"/>
      <c r="AT384" s="50"/>
      <c r="AU384" s="50"/>
      <c r="AV384" s="50"/>
      <c r="AW384" s="50"/>
      <c r="AX384" s="50"/>
      <c r="AY384" s="50"/>
      <c r="AZ384" s="50"/>
      <c r="BA384" s="50"/>
      <c r="BB384" s="50"/>
      <c r="BC384" s="50"/>
      <c r="BD384" s="50"/>
      <c r="BE384" s="50"/>
      <c r="BF384" s="50"/>
      <c r="BG384" s="50"/>
      <c r="BH384" s="50"/>
      <c r="BI384" s="50"/>
      <c r="BJ384" s="50"/>
      <c r="BK384" s="50"/>
      <c r="BL384" s="50"/>
      <c r="BM384" s="50"/>
      <c r="BN384" s="50"/>
    </row>
    <row r="385">
      <c r="A385" s="50"/>
      <c r="B385" s="50"/>
      <c r="C385" s="50"/>
      <c r="D385" s="50"/>
      <c r="E385" s="158"/>
      <c r="F385" s="175"/>
      <c r="G385" s="175"/>
      <c r="H385" s="175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168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/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</row>
    <row r="386">
      <c r="A386" s="50"/>
      <c r="B386" s="50"/>
      <c r="C386" s="50"/>
      <c r="D386" s="50"/>
      <c r="E386" s="158"/>
      <c r="F386" s="175"/>
      <c r="G386" s="175"/>
      <c r="H386" s="175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168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50"/>
      <c r="AQ386" s="50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0"/>
      <c r="BE386" s="50"/>
      <c r="BF386" s="50"/>
      <c r="BG386" s="50"/>
      <c r="BH386" s="50"/>
      <c r="BI386" s="50"/>
      <c r="BJ386" s="50"/>
      <c r="BK386" s="50"/>
      <c r="BL386" s="50"/>
      <c r="BM386" s="50"/>
      <c r="BN386" s="50"/>
    </row>
    <row r="387">
      <c r="A387" s="50"/>
      <c r="B387" s="50"/>
      <c r="C387" s="50"/>
      <c r="D387" s="50"/>
      <c r="E387" s="158"/>
      <c r="F387" s="175"/>
      <c r="G387" s="175"/>
      <c r="H387" s="175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168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</row>
    <row r="388">
      <c r="A388" s="50"/>
      <c r="B388" s="50"/>
      <c r="C388" s="50"/>
      <c r="D388" s="50"/>
      <c r="E388" s="158"/>
      <c r="F388" s="175"/>
      <c r="G388" s="175"/>
      <c r="H388" s="175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168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50"/>
      <c r="AR388" s="50"/>
      <c r="AS388" s="50"/>
      <c r="AT388" s="50"/>
      <c r="AU388" s="50"/>
      <c r="AV388" s="50"/>
      <c r="AW388" s="50"/>
      <c r="AX388" s="50"/>
      <c r="AY388" s="50"/>
      <c r="AZ388" s="50"/>
      <c r="BA388" s="50"/>
      <c r="BB388" s="50"/>
      <c r="BC388" s="50"/>
      <c r="BD388" s="50"/>
      <c r="BE388" s="50"/>
      <c r="BF388" s="50"/>
      <c r="BG388" s="50"/>
      <c r="BH388" s="50"/>
      <c r="BI388" s="50"/>
      <c r="BJ388" s="50"/>
      <c r="BK388" s="50"/>
      <c r="BL388" s="50"/>
      <c r="BM388" s="50"/>
      <c r="BN388" s="50"/>
    </row>
    <row r="389">
      <c r="A389" s="50"/>
      <c r="B389" s="50"/>
      <c r="C389" s="50"/>
      <c r="D389" s="50"/>
      <c r="E389" s="158"/>
      <c r="F389" s="175"/>
      <c r="G389" s="175"/>
      <c r="H389" s="175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168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</row>
    <row r="390">
      <c r="A390" s="50"/>
      <c r="B390" s="50"/>
      <c r="C390" s="50"/>
      <c r="D390" s="50"/>
      <c r="E390" s="158"/>
      <c r="F390" s="175"/>
      <c r="G390" s="175"/>
      <c r="H390" s="175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168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/>
      <c r="BE390" s="50"/>
      <c r="BF390" s="50"/>
      <c r="BG390" s="50"/>
      <c r="BH390" s="50"/>
      <c r="BI390" s="50"/>
      <c r="BJ390" s="50"/>
      <c r="BK390" s="50"/>
      <c r="BL390" s="50"/>
      <c r="BM390" s="50"/>
      <c r="BN390" s="50"/>
    </row>
    <row r="391">
      <c r="A391" s="50"/>
      <c r="B391" s="50"/>
      <c r="C391" s="50"/>
      <c r="D391" s="50"/>
      <c r="E391" s="158"/>
      <c r="F391" s="175"/>
      <c r="G391" s="175"/>
      <c r="H391" s="175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168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  <c r="AQ391" s="50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50"/>
      <c r="BE391" s="50"/>
      <c r="BF391" s="50"/>
      <c r="BG391" s="50"/>
      <c r="BH391" s="50"/>
      <c r="BI391" s="50"/>
      <c r="BJ391" s="50"/>
      <c r="BK391" s="50"/>
      <c r="BL391" s="50"/>
      <c r="BM391" s="50"/>
      <c r="BN391" s="50"/>
    </row>
    <row r="392">
      <c r="A392" s="50"/>
      <c r="B392" s="50"/>
      <c r="C392" s="50"/>
      <c r="D392" s="50"/>
      <c r="E392" s="158"/>
      <c r="F392" s="175"/>
      <c r="G392" s="175"/>
      <c r="H392" s="175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168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  <c r="AQ392" s="50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50"/>
      <c r="BE392" s="50"/>
      <c r="BF392" s="50"/>
      <c r="BG392" s="50"/>
      <c r="BH392" s="50"/>
      <c r="BI392" s="50"/>
      <c r="BJ392" s="50"/>
      <c r="BK392" s="50"/>
      <c r="BL392" s="50"/>
      <c r="BM392" s="50"/>
      <c r="BN392" s="50"/>
    </row>
    <row r="393">
      <c r="A393" s="50"/>
      <c r="B393" s="50"/>
      <c r="C393" s="50"/>
      <c r="D393" s="50"/>
      <c r="E393" s="158"/>
      <c r="F393" s="175"/>
      <c r="G393" s="175"/>
      <c r="H393" s="175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168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50"/>
      <c r="AQ393" s="50"/>
      <c r="AR393" s="50"/>
      <c r="AS393" s="50"/>
      <c r="AT393" s="50"/>
      <c r="AU393" s="50"/>
      <c r="AV393" s="50"/>
      <c r="AW393" s="50"/>
      <c r="AX393" s="50"/>
      <c r="AY393" s="50"/>
      <c r="AZ393" s="50"/>
      <c r="BA393" s="50"/>
      <c r="BB393" s="50"/>
      <c r="BC393" s="50"/>
      <c r="BD393" s="50"/>
      <c r="BE393" s="50"/>
      <c r="BF393" s="50"/>
      <c r="BG393" s="50"/>
      <c r="BH393" s="50"/>
      <c r="BI393" s="50"/>
      <c r="BJ393" s="50"/>
      <c r="BK393" s="50"/>
      <c r="BL393" s="50"/>
      <c r="BM393" s="50"/>
      <c r="BN393" s="50"/>
    </row>
    <row r="394">
      <c r="A394" s="50"/>
      <c r="B394" s="50"/>
      <c r="C394" s="50"/>
      <c r="D394" s="50"/>
      <c r="E394" s="158"/>
      <c r="F394" s="175"/>
      <c r="G394" s="175"/>
      <c r="H394" s="175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168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50"/>
      <c r="AQ394" s="50"/>
      <c r="AR394" s="50"/>
      <c r="AS394" s="50"/>
      <c r="AT394" s="50"/>
      <c r="AU394" s="50"/>
      <c r="AV394" s="50"/>
      <c r="AW394" s="50"/>
      <c r="AX394" s="50"/>
      <c r="AY394" s="50"/>
      <c r="AZ394" s="50"/>
      <c r="BA394" s="50"/>
      <c r="BB394" s="50"/>
      <c r="BC394" s="50"/>
      <c r="BD394" s="50"/>
      <c r="BE394" s="50"/>
      <c r="BF394" s="50"/>
      <c r="BG394" s="50"/>
      <c r="BH394" s="50"/>
      <c r="BI394" s="50"/>
      <c r="BJ394" s="50"/>
      <c r="BK394" s="50"/>
      <c r="BL394" s="50"/>
      <c r="BM394" s="50"/>
      <c r="BN394" s="50"/>
    </row>
    <row r="395">
      <c r="A395" s="50"/>
      <c r="B395" s="50"/>
      <c r="C395" s="50"/>
      <c r="D395" s="50"/>
      <c r="E395" s="158"/>
      <c r="F395" s="175"/>
      <c r="G395" s="175"/>
      <c r="H395" s="175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168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50"/>
      <c r="AQ395" s="50"/>
      <c r="AR395" s="50"/>
      <c r="AS395" s="50"/>
      <c r="AT395" s="50"/>
      <c r="AU395" s="50"/>
      <c r="AV395" s="50"/>
      <c r="AW395" s="50"/>
      <c r="AX395" s="50"/>
      <c r="AY395" s="50"/>
      <c r="AZ395" s="50"/>
      <c r="BA395" s="50"/>
      <c r="BB395" s="50"/>
      <c r="BC395" s="50"/>
      <c r="BD395" s="50"/>
      <c r="BE395" s="50"/>
      <c r="BF395" s="50"/>
      <c r="BG395" s="50"/>
      <c r="BH395" s="50"/>
      <c r="BI395" s="50"/>
      <c r="BJ395" s="50"/>
      <c r="BK395" s="50"/>
      <c r="BL395" s="50"/>
      <c r="BM395" s="50"/>
      <c r="BN395" s="50"/>
    </row>
    <row r="396">
      <c r="A396" s="50"/>
      <c r="B396" s="50"/>
      <c r="C396" s="50"/>
      <c r="D396" s="50"/>
      <c r="E396" s="158"/>
      <c r="F396" s="175"/>
      <c r="G396" s="175"/>
      <c r="H396" s="175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168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  <c r="AQ396" s="50"/>
      <c r="AR396" s="50"/>
      <c r="AS396" s="50"/>
      <c r="AT396" s="50"/>
      <c r="AU396" s="50"/>
      <c r="AV396" s="50"/>
      <c r="AW396" s="50"/>
      <c r="AX396" s="50"/>
      <c r="AY396" s="50"/>
      <c r="AZ396" s="50"/>
      <c r="BA396" s="50"/>
      <c r="BB396" s="50"/>
      <c r="BC396" s="50"/>
      <c r="BD396" s="50"/>
      <c r="BE396" s="50"/>
      <c r="BF396" s="50"/>
      <c r="BG396" s="50"/>
      <c r="BH396" s="50"/>
      <c r="BI396" s="50"/>
      <c r="BJ396" s="50"/>
      <c r="BK396" s="50"/>
      <c r="BL396" s="50"/>
      <c r="BM396" s="50"/>
      <c r="BN396" s="50"/>
    </row>
    <row r="397">
      <c r="A397" s="50"/>
      <c r="B397" s="50"/>
      <c r="C397" s="50"/>
      <c r="D397" s="50"/>
      <c r="E397" s="158"/>
      <c r="F397" s="175"/>
      <c r="G397" s="175"/>
      <c r="H397" s="175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168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50"/>
      <c r="AQ397" s="50"/>
      <c r="AR397" s="50"/>
      <c r="AS397" s="50"/>
      <c r="AT397" s="50"/>
      <c r="AU397" s="50"/>
      <c r="AV397" s="50"/>
      <c r="AW397" s="50"/>
      <c r="AX397" s="50"/>
      <c r="AY397" s="50"/>
      <c r="AZ397" s="50"/>
      <c r="BA397" s="50"/>
      <c r="BB397" s="50"/>
      <c r="BC397" s="50"/>
      <c r="BD397" s="50"/>
      <c r="BE397" s="50"/>
      <c r="BF397" s="50"/>
      <c r="BG397" s="50"/>
      <c r="BH397" s="50"/>
      <c r="BI397" s="50"/>
      <c r="BJ397" s="50"/>
      <c r="BK397" s="50"/>
      <c r="BL397" s="50"/>
      <c r="BM397" s="50"/>
      <c r="BN397" s="50"/>
    </row>
    <row r="398">
      <c r="A398" s="50"/>
      <c r="B398" s="50"/>
      <c r="C398" s="50"/>
      <c r="D398" s="50"/>
      <c r="E398" s="158"/>
      <c r="F398" s="175"/>
      <c r="G398" s="175"/>
      <c r="H398" s="175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168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50"/>
      <c r="AQ398" s="50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0"/>
      <c r="BE398" s="50"/>
      <c r="BF398" s="50"/>
      <c r="BG398" s="50"/>
      <c r="BH398" s="50"/>
      <c r="BI398" s="50"/>
      <c r="BJ398" s="50"/>
      <c r="BK398" s="50"/>
      <c r="BL398" s="50"/>
      <c r="BM398" s="50"/>
      <c r="BN398" s="50"/>
    </row>
    <row r="399">
      <c r="A399" s="50"/>
      <c r="B399" s="50"/>
      <c r="C399" s="50"/>
      <c r="D399" s="50"/>
      <c r="E399" s="158"/>
      <c r="F399" s="175"/>
      <c r="G399" s="175"/>
      <c r="H399" s="175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168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50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0"/>
      <c r="BE399" s="50"/>
      <c r="BF399" s="50"/>
      <c r="BG399" s="50"/>
      <c r="BH399" s="50"/>
      <c r="BI399" s="50"/>
      <c r="BJ399" s="50"/>
      <c r="BK399" s="50"/>
      <c r="BL399" s="50"/>
      <c r="BM399" s="50"/>
      <c r="BN399" s="50"/>
    </row>
    <row r="400">
      <c r="A400" s="50"/>
      <c r="B400" s="50"/>
      <c r="C400" s="50"/>
      <c r="D400" s="50"/>
      <c r="E400" s="158"/>
      <c r="F400" s="175"/>
      <c r="G400" s="175"/>
      <c r="H400" s="175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168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50"/>
      <c r="AQ400" s="50"/>
      <c r="AR400" s="50"/>
      <c r="AS400" s="50"/>
      <c r="AT400" s="50"/>
      <c r="AU400" s="50"/>
      <c r="AV400" s="50"/>
      <c r="AW400" s="50"/>
      <c r="AX400" s="50"/>
      <c r="AY400" s="50"/>
      <c r="AZ400" s="50"/>
      <c r="BA400" s="50"/>
      <c r="BB400" s="50"/>
      <c r="BC400" s="50"/>
      <c r="BD400" s="50"/>
      <c r="BE400" s="50"/>
      <c r="BF400" s="50"/>
      <c r="BG400" s="50"/>
      <c r="BH400" s="50"/>
      <c r="BI400" s="50"/>
      <c r="BJ400" s="50"/>
      <c r="BK400" s="50"/>
      <c r="BL400" s="50"/>
      <c r="BM400" s="50"/>
      <c r="BN400" s="50"/>
    </row>
    <row r="401">
      <c r="A401" s="50"/>
      <c r="B401" s="50"/>
      <c r="C401" s="50"/>
      <c r="D401" s="50"/>
      <c r="E401" s="158"/>
      <c r="F401" s="175"/>
      <c r="G401" s="175"/>
      <c r="H401" s="175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168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  <c r="AQ401" s="50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0"/>
      <c r="BE401" s="50"/>
      <c r="BF401" s="50"/>
      <c r="BG401" s="50"/>
      <c r="BH401" s="50"/>
      <c r="BI401" s="50"/>
      <c r="BJ401" s="50"/>
      <c r="BK401" s="50"/>
      <c r="BL401" s="50"/>
      <c r="BM401" s="50"/>
      <c r="BN401" s="50"/>
    </row>
    <row r="402">
      <c r="A402" s="50"/>
      <c r="B402" s="50"/>
      <c r="C402" s="50"/>
      <c r="D402" s="50"/>
      <c r="E402" s="158"/>
      <c r="F402" s="175"/>
      <c r="G402" s="175"/>
      <c r="H402" s="175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168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  <c r="AQ402" s="50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50"/>
      <c r="BE402" s="50"/>
      <c r="BF402" s="50"/>
      <c r="BG402" s="50"/>
      <c r="BH402" s="50"/>
      <c r="BI402" s="50"/>
      <c r="BJ402" s="50"/>
      <c r="BK402" s="50"/>
      <c r="BL402" s="50"/>
      <c r="BM402" s="50"/>
      <c r="BN402" s="50"/>
    </row>
    <row r="403">
      <c r="A403" s="50"/>
      <c r="B403" s="50"/>
      <c r="C403" s="50"/>
      <c r="D403" s="50"/>
      <c r="E403" s="158"/>
      <c r="F403" s="175"/>
      <c r="G403" s="175"/>
      <c r="H403" s="175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168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50"/>
      <c r="AQ403" s="50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0"/>
      <c r="BC403" s="50"/>
      <c r="BD403" s="50"/>
      <c r="BE403" s="50"/>
      <c r="BF403" s="50"/>
      <c r="BG403" s="50"/>
      <c r="BH403" s="50"/>
      <c r="BI403" s="50"/>
      <c r="BJ403" s="50"/>
      <c r="BK403" s="50"/>
      <c r="BL403" s="50"/>
      <c r="BM403" s="50"/>
      <c r="BN403" s="50"/>
    </row>
    <row r="404">
      <c r="A404" s="50"/>
      <c r="B404" s="50"/>
      <c r="C404" s="50"/>
      <c r="D404" s="50"/>
      <c r="E404" s="158"/>
      <c r="F404" s="175"/>
      <c r="G404" s="175"/>
      <c r="H404" s="175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168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50"/>
      <c r="AQ404" s="50"/>
      <c r="AR404" s="50"/>
      <c r="AS404" s="50"/>
      <c r="AT404" s="50"/>
      <c r="AU404" s="50"/>
      <c r="AV404" s="50"/>
      <c r="AW404" s="50"/>
      <c r="AX404" s="50"/>
      <c r="AY404" s="50"/>
      <c r="AZ404" s="50"/>
      <c r="BA404" s="50"/>
      <c r="BB404" s="50"/>
      <c r="BC404" s="50"/>
      <c r="BD404" s="50"/>
      <c r="BE404" s="50"/>
      <c r="BF404" s="50"/>
      <c r="BG404" s="50"/>
      <c r="BH404" s="50"/>
      <c r="BI404" s="50"/>
      <c r="BJ404" s="50"/>
      <c r="BK404" s="50"/>
      <c r="BL404" s="50"/>
      <c r="BM404" s="50"/>
      <c r="BN404" s="50"/>
    </row>
    <row r="405">
      <c r="A405" s="50"/>
      <c r="B405" s="50"/>
      <c r="C405" s="50"/>
      <c r="D405" s="50"/>
      <c r="E405" s="158"/>
      <c r="F405" s="175"/>
      <c r="G405" s="175"/>
      <c r="H405" s="175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168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50"/>
      <c r="AQ405" s="50"/>
      <c r="AR405" s="50"/>
      <c r="AS405" s="50"/>
      <c r="AT405" s="50"/>
      <c r="AU405" s="50"/>
      <c r="AV405" s="50"/>
      <c r="AW405" s="50"/>
      <c r="AX405" s="50"/>
      <c r="AY405" s="50"/>
      <c r="AZ405" s="50"/>
      <c r="BA405" s="50"/>
      <c r="BB405" s="50"/>
      <c r="BC405" s="50"/>
      <c r="BD405" s="50"/>
      <c r="BE405" s="50"/>
      <c r="BF405" s="50"/>
      <c r="BG405" s="50"/>
      <c r="BH405" s="50"/>
      <c r="BI405" s="50"/>
      <c r="BJ405" s="50"/>
      <c r="BK405" s="50"/>
      <c r="BL405" s="50"/>
      <c r="BM405" s="50"/>
      <c r="BN405" s="50"/>
    </row>
    <row r="406">
      <c r="A406" s="50"/>
      <c r="B406" s="50"/>
      <c r="C406" s="50"/>
      <c r="D406" s="50"/>
      <c r="E406" s="158"/>
      <c r="F406" s="175"/>
      <c r="G406" s="175"/>
      <c r="H406" s="175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168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/>
      <c r="AR406" s="50"/>
      <c r="AS406" s="50"/>
      <c r="AT406" s="50"/>
      <c r="AU406" s="50"/>
      <c r="AV406" s="50"/>
      <c r="AW406" s="50"/>
      <c r="AX406" s="50"/>
      <c r="AY406" s="50"/>
      <c r="AZ406" s="50"/>
      <c r="BA406" s="50"/>
      <c r="BB406" s="50"/>
      <c r="BC406" s="50"/>
      <c r="BD406" s="50"/>
      <c r="BE406" s="50"/>
      <c r="BF406" s="50"/>
      <c r="BG406" s="50"/>
      <c r="BH406" s="50"/>
      <c r="BI406" s="50"/>
      <c r="BJ406" s="50"/>
      <c r="BK406" s="50"/>
      <c r="BL406" s="50"/>
      <c r="BM406" s="50"/>
      <c r="BN406" s="50"/>
    </row>
    <row r="407">
      <c r="A407" s="50"/>
      <c r="B407" s="50"/>
      <c r="C407" s="50"/>
      <c r="D407" s="50"/>
      <c r="E407" s="158"/>
      <c r="F407" s="175"/>
      <c r="G407" s="175"/>
      <c r="H407" s="175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168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  <c r="AQ407" s="50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0"/>
      <c r="BC407" s="50"/>
      <c r="BD407" s="50"/>
      <c r="BE407" s="50"/>
      <c r="BF407" s="50"/>
      <c r="BG407" s="50"/>
      <c r="BH407" s="50"/>
      <c r="BI407" s="50"/>
      <c r="BJ407" s="50"/>
      <c r="BK407" s="50"/>
      <c r="BL407" s="50"/>
      <c r="BM407" s="50"/>
      <c r="BN407" s="50"/>
    </row>
    <row r="408">
      <c r="A408" s="50"/>
      <c r="B408" s="50"/>
      <c r="C408" s="50"/>
      <c r="D408" s="50"/>
      <c r="E408" s="158"/>
      <c r="F408" s="175"/>
      <c r="G408" s="175"/>
      <c r="H408" s="175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168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50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0"/>
      <c r="BC408" s="50"/>
      <c r="BD408" s="50"/>
      <c r="BE408" s="50"/>
      <c r="BF408" s="50"/>
      <c r="BG408" s="50"/>
      <c r="BH408" s="50"/>
      <c r="BI408" s="50"/>
      <c r="BJ408" s="50"/>
      <c r="BK408" s="50"/>
      <c r="BL408" s="50"/>
      <c r="BM408" s="50"/>
      <c r="BN408" s="50"/>
    </row>
    <row r="409">
      <c r="A409" s="50"/>
      <c r="B409" s="50"/>
      <c r="C409" s="50"/>
      <c r="D409" s="50"/>
      <c r="E409" s="158"/>
      <c r="F409" s="175"/>
      <c r="G409" s="175"/>
      <c r="H409" s="175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168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50"/>
      <c r="AQ409" s="50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0"/>
      <c r="BC409" s="50"/>
      <c r="BD409" s="50"/>
      <c r="BE409" s="50"/>
      <c r="BF409" s="50"/>
      <c r="BG409" s="50"/>
      <c r="BH409" s="50"/>
      <c r="BI409" s="50"/>
      <c r="BJ409" s="50"/>
      <c r="BK409" s="50"/>
      <c r="BL409" s="50"/>
      <c r="BM409" s="50"/>
      <c r="BN409" s="50"/>
    </row>
    <row r="410">
      <c r="A410" s="50"/>
      <c r="B410" s="50"/>
      <c r="C410" s="50"/>
      <c r="D410" s="50"/>
      <c r="E410" s="158"/>
      <c r="F410" s="175"/>
      <c r="G410" s="175"/>
      <c r="H410" s="175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168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50"/>
      <c r="AQ410" s="50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50"/>
      <c r="BE410" s="50"/>
      <c r="BF410" s="50"/>
      <c r="BG410" s="50"/>
      <c r="BH410" s="50"/>
      <c r="BI410" s="50"/>
      <c r="BJ410" s="50"/>
      <c r="BK410" s="50"/>
      <c r="BL410" s="50"/>
      <c r="BM410" s="50"/>
      <c r="BN410" s="50"/>
    </row>
    <row r="411">
      <c r="A411" s="50"/>
      <c r="B411" s="50"/>
      <c r="C411" s="50"/>
      <c r="D411" s="50"/>
      <c r="E411" s="158"/>
      <c r="F411" s="175"/>
      <c r="G411" s="175"/>
      <c r="H411" s="175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168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50"/>
      <c r="AQ411" s="50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0"/>
      <c r="BC411" s="50"/>
      <c r="BD411" s="50"/>
      <c r="BE411" s="50"/>
      <c r="BF411" s="50"/>
      <c r="BG411" s="50"/>
      <c r="BH411" s="50"/>
      <c r="BI411" s="50"/>
      <c r="BJ411" s="50"/>
      <c r="BK411" s="50"/>
      <c r="BL411" s="50"/>
      <c r="BM411" s="50"/>
      <c r="BN411" s="50"/>
    </row>
    <row r="412">
      <c r="A412" s="50"/>
      <c r="B412" s="50"/>
      <c r="C412" s="50"/>
      <c r="D412" s="50"/>
      <c r="E412" s="158"/>
      <c r="F412" s="175"/>
      <c r="G412" s="175"/>
      <c r="H412" s="175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168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  <c r="AQ412" s="50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0"/>
      <c r="BC412" s="50"/>
      <c r="BD412" s="50"/>
      <c r="BE412" s="50"/>
      <c r="BF412" s="50"/>
      <c r="BG412" s="50"/>
      <c r="BH412" s="50"/>
      <c r="BI412" s="50"/>
      <c r="BJ412" s="50"/>
      <c r="BK412" s="50"/>
      <c r="BL412" s="50"/>
      <c r="BM412" s="50"/>
      <c r="BN412" s="50"/>
    </row>
    <row r="413">
      <c r="A413" s="50"/>
      <c r="B413" s="50"/>
      <c r="C413" s="50"/>
      <c r="D413" s="50"/>
      <c r="E413" s="158"/>
      <c r="F413" s="175"/>
      <c r="G413" s="175"/>
      <c r="H413" s="175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168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50"/>
      <c r="AQ413" s="50"/>
      <c r="AR413" s="50"/>
      <c r="AS413" s="50"/>
      <c r="AT413" s="50"/>
      <c r="AU413" s="50"/>
      <c r="AV413" s="50"/>
      <c r="AW413" s="50"/>
      <c r="AX413" s="50"/>
      <c r="AY413" s="50"/>
      <c r="AZ413" s="50"/>
      <c r="BA413" s="50"/>
      <c r="BB413" s="50"/>
      <c r="BC413" s="50"/>
      <c r="BD413" s="50"/>
      <c r="BE413" s="50"/>
      <c r="BF413" s="50"/>
      <c r="BG413" s="50"/>
      <c r="BH413" s="50"/>
      <c r="BI413" s="50"/>
      <c r="BJ413" s="50"/>
      <c r="BK413" s="50"/>
      <c r="BL413" s="50"/>
      <c r="BM413" s="50"/>
      <c r="BN413" s="50"/>
    </row>
    <row r="414">
      <c r="A414" s="50"/>
      <c r="B414" s="50"/>
      <c r="C414" s="50"/>
      <c r="D414" s="50"/>
      <c r="E414" s="158"/>
      <c r="F414" s="175"/>
      <c r="G414" s="175"/>
      <c r="H414" s="175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168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50"/>
      <c r="AQ414" s="50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50"/>
      <c r="BE414" s="50"/>
      <c r="BF414" s="50"/>
      <c r="BG414" s="50"/>
      <c r="BH414" s="50"/>
      <c r="BI414" s="50"/>
      <c r="BJ414" s="50"/>
      <c r="BK414" s="50"/>
      <c r="BL414" s="50"/>
      <c r="BM414" s="50"/>
      <c r="BN414" s="50"/>
    </row>
    <row r="415">
      <c r="A415" s="50"/>
      <c r="B415" s="50"/>
      <c r="C415" s="50"/>
      <c r="D415" s="50"/>
      <c r="E415" s="158"/>
      <c r="F415" s="175"/>
      <c r="G415" s="175"/>
      <c r="H415" s="175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168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0"/>
      <c r="BC415" s="50"/>
      <c r="BD415" s="50"/>
      <c r="BE415" s="50"/>
      <c r="BF415" s="50"/>
      <c r="BG415" s="50"/>
      <c r="BH415" s="50"/>
      <c r="BI415" s="50"/>
      <c r="BJ415" s="50"/>
      <c r="BK415" s="50"/>
      <c r="BL415" s="50"/>
      <c r="BM415" s="50"/>
      <c r="BN415" s="50"/>
    </row>
    <row r="416">
      <c r="A416" s="50"/>
      <c r="B416" s="50"/>
      <c r="C416" s="50"/>
      <c r="D416" s="50"/>
      <c r="E416" s="158"/>
      <c r="F416" s="175"/>
      <c r="G416" s="175"/>
      <c r="H416" s="175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168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50"/>
      <c r="AQ416" s="50"/>
      <c r="AR416" s="50"/>
      <c r="AS416" s="50"/>
      <c r="AT416" s="50"/>
      <c r="AU416" s="50"/>
      <c r="AV416" s="50"/>
      <c r="AW416" s="50"/>
      <c r="AX416" s="50"/>
      <c r="AY416" s="50"/>
      <c r="AZ416" s="50"/>
      <c r="BA416" s="50"/>
      <c r="BB416" s="50"/>
      <c r="BC416" s="50"/>
      <c r="BD416" s="50"/>
      <c r="BE416" s="50"/>
      <c r="BF416" s="50"/>
      <c r="BG416" s="50"/>
      <c r="BH416" s="50"/>
      <c r="BI416" s="50"/>
      <c r="BJ416" s="50"/>
      <c r="BK416" s="50"/>
      <c r="BL416" s="50"/>
      <c r="BM416" s="50"/>
      <c r="BN416" s="50"/>
    </row>
    <row r="417">
      <c r="A417" s="50"/>
      <c r="B417" s="50"/>
      <c r="C417" s="50"/>
      <c r="D417" s="50"/>
      <c r="E417" s="158"/>
      <c r="F417" s="175"/>
      <c r="G417" s="175"/>
      <c r="H417" s="175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168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50"/>
      <c r="AQ417" s="50"/>
      <c r="AR417" s="50"/>
      <c r="AS417" s="50"/>
      <c r="AT417" s="50"/>
      <c r="AU417" s="50"/>
      <c r="AV417" s="50"/>
      <c r="AW417" s="50"/>
      <c r="AX417" s="50"/>
      <c r="AY417" s="50"/>
      <c r="AZ417" s="50"/>
      <c r="BA417" s="50"/>
      <c r="BB417" s="50"/>
      <c r="BC417" s="50"/>
      <c r="BD417" s="50"/>
      <c r="BE417" s="50"/>
      <c r="BF417" s="50"/>
      <c r="BG417" s="50"/>
      <c r="BH417" s="50"/>
      <c r="BI417" s="50"/>
      <c r="BJ417" s="50"/>
      <c r="BK417" s="50"/>
      <c r="BL417" s="50"/>
      <c r="BM417" s="50"/>
      <c r="BN417" s="50"/>
    </row>
    <row r="418">
      <c r="A418" s="50"/>
      <c r="B418" s="50"/>
      <c r="C418" s="50"/>
      <c r="D418" s="50"/>
      <c r="E418" s="158"/>
      <c r="F418" s="175"/>
      <c r="G418" s="175"/>
      <c r="H418" s="175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168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50"/>
      <c r="AQ418" s="50"/>
      <c r="AR418" s="50"/>
      <c r="AS418" s="50"/>
      <c r="AT418" s="50"/>
      <c r="AU418" s="50"/>
      <c r="AV418" s="50"/>
      <c r="AW418" s="50"/>
      <c r="AX418" s="50"/>
      <c r="AY418" s="50"/>
      <c r="AZ418" s="50"/>
      <c r="BA418" s="50"/>
      <c r="BB418" s="50"/>
      <c r="BC418" s="50"/>
      <c r="BD418" s="50"/>
      <c r="BE418" s="50"/>
      <c r="BF418" s="50"/>
      <c r="BG418" s="50"/>
      <c r="BH418" s="50"/>
      <c r="BI418" s="50"/>
      <c r="BJ418" s="50"/>
      <c r="BK418" s="50"/>
      <c r="BL418" s="50"/>
      <c r="BM418" s="50"/>
      <c r="BN418" s="50"/>
    </row>
    <row r="419">
      <c r="A419" s="50"/>
      <c r="B419" s="50"/>
      <c r="C419" s="50"/>
      <c r="D419" s="50"/>
      <c r="E419" s="158"/>
      <c r="F419" s="175"/>
      <c r="G419" s="175"/>
      <c r="H419" s="175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168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50"/>
      <c r="AQ419" s="50"/>
      <c r="AR419" s="50"/>
      <c r="AS419" s="50"/>
      <c r="AT419" s="50"/>
      <c r="AU419" s="50"/>
      <c r="AV419" s="50"/>
      <c r="AW419" s="50"/>
      <c r="AX419" s="50"/>
      <c r="AY419" s="50"/>
      <c r="AZ419" s="50"/>
      <c r="BA419" s="50"/>
      <c r="BB419" s="50"/>
      <c r="BC419" s="50"/>
      <c r="BD419" s="50"/>
      <c r="BE419" s="50"/>
      <c r="BF419" s="50"/>
      <c r="BG419" s="50"/>
      <c r="BH419" s="50"/>
      <c r="BI419" s="50"/>
      <c r="BJ419" s="50"/>
      <c r="BK419" s="50"/>
      <c r="BL419" s="50"/>
      <c r="BM419" s="50"/>
      <c r="BN419" s="50"/>
    </row>
    <row r="420">
      <c r="A420" s="50"/>
      <c r="B420" s="50"/>
      <c r="C420" s="50"/>
      <c r="D420" s="50"/>
      <c r="E420" s="158"/>
      <c r="F420" s="175"/>
      <c r="G420" s="175"/>
      <c r="H420" s="175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168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50"/>
      <c r="AQ420" s="50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0"/>
      <c r="BC420" s="50"/>
      <c r="BD420" s="50"/>
      <c r="BE420" s="50"/>
      <c r="BF420" s="50"/>
      <c r="BG420" s="50"/>
      <c r="BH420" s="50"/>
      <c r="BI420" s="50"/>
      <c r="BJ420" s="50"/>
      <c r="BK420" s="50"/>
      <c r="BL420" s="50"/>
      <c r="BM420" s="50"/>
      <c r="BN420" s="50"/>
    </row>
    <row r="421">
      <c r="A421" s="50"/>
      <c r="B421" s="50"/>
      <c r="C421" s="50"/>
      <c r="D421" s="50"/>
      <c r="E421" s="158"/>
      <c r="F421" s="175"/>
      <c r="G421" s="175"/>
      <c r="H421" s="175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168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50"/>
      <c r="AQ421" s="50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0"/>
      <c r="BC421" s="50"/>
      <c r="BD421" s="50"/>
      <c r="BE421" s="50"/>
      <c r="BF421" s="50"/>
      <c r="BG421" s="50"/>
      <c r="BH421" s="50"/>
      <c r="BI421" s="50"/>
      <c r="BJ421" s="50"/>
      <c r="BK421" s="50"/>
      <c r="BL421" s="50"/>
      <c r="BM421" s="50"/>
      <c r="BN421" s="50"/>
    </row>
    <row r="422">
      <c r="A422" s="50"/>
      <c r="B422" s="50"/>
      <c r="C422" s="50"/>
      <c r="D422" s="50"/>
      <c r="E422" s="158"/>
      <c r="F422" s="175"/>
      <c r="G422" s="175"/>
      <c r="H422" s="175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168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50"/>
      <c r="AQ422" s="50"/>
      <c r="AR422" s="50"/>
      <c r="AS422" s="50"/>
      <c r="AT422" s="50"/>
      <c r="AU422" s="50"/>
      <c r="AV422" s="50"/>
      <c r="AW422" s="50"/>
      <c r="AX422" s="50"/>
      <c r="AY422" s="50"/>
      <c r="AZ422" s="50"/>
      <c r="BA422" s="50"/>
      <c r="BB422" s="50"/>
      <c r="BC422" s="50"/>
      <c r="BD422" s="50"/>
      <c r="BE422" s="50"/>
      <c r="BF422" s="50"/>
      <c r="BG422" s="50"/>
      <c r="BH422" s="50"/>
      <c r="BI422" s="50"/>
      <c r="BJ422" s="50"/>
      <c r="BK422" s="50"/>
      <c r="BL422" s="50"/>
      <c r="BM422" s="50"/>
      <c r="BN422" s="50"/>
    </row>
    <row r="423">
      <c r="A423" s="50"/>
      <c r="B423" s="50"/>
      <c r="C423" s="50"/>
      <c r="D423" s="50"/>
      <c r="E423" s="158"/>
      <c r="F423" s="175"/>
      <c r="G423" s="175"/>
      <c r="H423" s="175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168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50"/>
      <c r="AQ423" s="50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0"/>
      <c r="BC423" s="50"/>
      <c r="BD423" s="50"/>
      <c r="BE423" s="50"/>
      <c r="BF423" s="50"/>
      <c r="BG423" s="50"/>
      <c r="BH423" s="50"/>
      <c r="BI423" s="50"/>
      <c r="BJ423" s="50"/>
      <c r="BK423" s="50"/>
      <c r="BL423" s="50"/>
      <c r="BM423" s="50"/>
      <c r="BN423" s="50"/>
    </row>
    <row r="424">
      <c r="A424" s="50"/>
      <c r="B424" s="50"/>
      <c r="C424" s="50"/>
      <c r="D424" s="50"/>
      <c r="E424" s="158"/>
      <c r="F424" s="175"/>
      <c r="G424" s="175"/>
      <c r="H424" s="175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168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  <c r="AQ424" s="50"/>
      <c r="AR424" s="50"/>
      <c r="AS424" s="50"/>
      <c r="AT424" s="50"/>
      <c r="AU424" s="50"/>
      <c r="AV424" s="50"/>
      <c r="AW424" s="50"/>
      <c r="AX424" s="50"/>
      <c r="AY424" s="50"/>
      <c r="AZ424" s="50"/>
      <c r="BA424" s="50"/>
      <c r="BB424" s="50"/>
      <c r="BC424" s="50"/>
      <c r="BD424" s="50"/>
      <c r="BE424" s="50"/>
      <c r="BF424" s="50"/>
      <c r="BG424" s="50"/>
      <c r="BH424" s="50"/>
      <c r="BI424" s="50"/>
      <c r="BJ424" s="50"/>
      <c r="BK424" s="50"/>
      <c r="BL424" s="50"/>
      <c r="BM424" s="50"/>
      <c r="BN424" s="50"/>
    </row>
    <row r="425">
      <c r="A425" s="50"/>
      <c r="B425" s="50"/>
      <c r="C425" s="50"/>
      <c r="D425" s="50"/>
      <c r="E425" s="158"/>
      <c r="F425" s="175"/>
      <c r="G425" s="175"/>
      <c r="H425" s="175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168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/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</row>
    <row r="426">
      <c r="A426" s="50"/>
      <c r="B426" s="50"/>
      <c r="C426" s="50"/>
      <c r="D426" s="50"/>
      <c r="E426" s="158"/>
      <c r="F426" s="175"/>
      <c r="G426" s="175"/>
      <c r="H426" s="175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168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/>
      <c r="AR426" s="50"/>
      <c r="AS426" s="50"/>
      <c r="AT426" s="50"/>
      <c r="AU426" s="50"/>
      <c r="AV426" s="50"/>
      <c r="AW426" s="50"/>
      <c r="AX426" s="50"/>
      <c r="AY426" s="50"/>
      <c r="AZ426" s="50"/>
      <c r="BA426" s="50"/>
      <c r="BB426" s="50"/>
      <c r="BC426" s="50"/>
      <c r="BD426" s="50"/>
      <c r="BE426" s="50"/>
      <c r="BF426" s="50"/>
      <c r="BG426" s="50"/>
      <c r="BH426" s="50"/>
      <c r="BI426" s="50"/>
      <c r="BJ426" s="50"/>
      <c r="BK426" s="50"/>
      <c r="BL426" s="50"/>
      <c r="BM426" s="50"/>
      <c r="BN426" s="50"/>
    </row>
    <row r="427">
      <c r="A427" s="50"/>
      <c r="B427" s="50"/>
      <c r="C427" s="50"/>
      <c r="D427" s="50"/>
      <c r="E427" s="158"/>
      <c r="F427" s="175"/>
      <c r="G427" s="175"/>
      <c r="H427" s="175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168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/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</row>
    <row r="428">
      <c r="A428" s="50"/>
      <c r="B428" s="50"/>
      <c r="C428" s="50"/>
      <c r="D428" s="50"/>
      <c r="E428" s="158"/>
      <c r="F428" s="175"/>
      <c r="G428" s="175"/>
      <c r="H428" s="175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168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50"/>
      <c r="AQ428" s="50"/>
      <c r="AR428" s="50"/>
      <c r="AS428" s="50"/>
      <c r="AT428" s="50"/>
      <c r="AU428" s="50"/>
      <c r="AV428" s="50"/>
      <c r="AW428" s="50"/>
      <c r="AX428" s="50"/>
      <c r="AY428" s="50"/>
      <c r="AZ428" s="50"/>
      <c r="BA428" s="50"/>
      <c r="BB428" s="50"/>
      <c r="BC428" s="50"/>
      <c r="BD428" s="50"/>
      <c r="BE428" s="50"/>
      <c r="BF428" s="50"/>
      <c r="BG428" s="50"/>
      <c r="BH428" s="50"/>
      <c r="BI428" s="50"/>
      <c r="BJ428" s="50"/>
      <c r="BK428" s="50"/>
      <c r="BL428" s="50"/>
      <c r="BM428" s="50"/>
      <c r="BN428" s="50"/>
    </row>
    <row r="429">
      <c r="A429" s="50"/>
      <c r="B429" s="50"/>
      <c r="C429" s="50"/>
      <c r="D429" s="50"/>
      <c r="E429" s="158"/>
      <c r="F429" s="175"/>
      <c r="G429" s="175"/>
      <c r="H429" s="175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168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</row>
    <row r="430">
      <c r="A430" s="50"/>
      <c r="B430" s="50"/>
      <c r="C430" s="50"/>
      <c r="D430" s="50"/>
      <c r="E430" s="158"/>
      <c r="F430" s="175"/>
      <c r="G430" s="175"/>
      <c r="H430" s="175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168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50"/>
      <c r="AQ430" s="50"/>
      <c r="AR430" s="50"/>
      <c r="AS430" s="50"/>
      <c r="AT430" s="50"/>
      <c r="AU430" s="50"/>
      <c r="AV430" s="50"/>
      <c r="AW430" s="50"/>
      <c r="AX430" s="50"/>
      <c r="AY430" s="50"/>
      <c r="AZ430" s="50"/>
      <c r="BA430" s="50"/>
      <c r="BB430" s="50"/>
      <c r="BC430" s="50"/>
      <c r="BD430" s="50"/>
      <c r="BE430" s="50"/>
      <c r="BF430" s="50"/>
      <c r="BG430" s="50"/>
      <c r="BH430" s="50"/>
      <c r="BI430" s="50"/>
      <c r="BJ430" s="50"/>
      <c r="BK430" s="50"/>
      <c r="BL430" s="50"/>
      <c r="BM430" s="50"/>
      <c r="BN430" s="50"/>
    </row>
    <row r="431">
      <c r="A431" s="50"/>
      <c r="B431" s="50"/>
      <c r="C431" s="50"/>
      <c r="D431" s="50"/>
      <c r="E431" s="158"/>
      <c r="F431" s="175"/>
      <c r="G431" s="175"/>
      <c r="H431" s="175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168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  <c r="AQ431" s="50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50"/>
      <c r="BE431" s="50"/>
      <c r="BF431" s="50"/>
      <c r="BG431" s="50"/>
      <c r="BH431" s="50"/>
      <c r="BI431" s="50"/>
      <c r="BJ431" s="50"/>
      <c r="BK431" s="50"/>
      <c r="BL431" s="50"/>
      <c r="BM431" s="50"/>
      <c r="BN431" s="50"/>
    </row>
    <row r="432">
      <c r="A432" s="50"/>
      <c r="B432" s="50"/>
      <c r="C432" s="50"/>
      <c r="D432" s="50"/>
      <c r="E432" s="158"/>
      <c r="F432" s="175"/>
      <c r="G432" s="175"/>
      <c r="H432" s="175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168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50"/>
      <c r="AQ432" s="50"/>
      <c r="AR432" s="50"/>
      <c r="AS432" s="50"/>
      <c r="AT432" s="50"/>
      <c r="AU432" s="50"/>
      <c r="AV432" s="50"/>
      <c r="AW432" s="50"/>
      <c r="AX432" s="50"/>
      <c r="AY432" s="50"/>
      <c r="AZ432" s="50"/>
      <c r="BA432" s="50"/>
      <c r="BB432" s="50"/>
      <c r="BC432" s="50"/>
      <c r="BD432" s="50"/>
      <c r="BE432" s="50"/>
      <c r="BF432" s="50"/>
      <c r="BG432" s="50"/>
      <c r="BH432" s="50"/>
      <c r="BI432" s="50"/>
      <c r="BJ432" s="50"/>
      <c r="BK432" s="50"/>
      <c r="BL432" s="50"/>
      <c r="BM432" s="50"/>
      <c r="BN432" s="50"/>
    </row>
    <row r="433">
      <c r="A433" s="50"/>
      <c r="B433" s="50"/>
      <c r="C433" s="50"/>
      <c r="D433" s="50"/>
      <c r="E433" s="158"/>
      <c r="F433" s="175"/>
      <c r="G433" s="175"/>
      <c r="H433" s="175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168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50"/>
      <c r="AQ433" s="50"/>
      <c r="AR433" s="50"/>
      <c r="AS433" s="50"/>
      <c r="AT433" s="50"/>
      <c r="AU433" s="50"/>
      <c r="AV433" s="50"/>
      <c r="AW433" s="50"/>
      <c r="AX433" s="50"/>
      <c r="AY433" s="50"/>
      <c r="AZ433" s="50"/>
      <c r="BA433" s="50"/>
      <c r="BB433" s="50"/>
      <c r="BC433" s="50"/>
      <c r="BD433" s="50"/>
      <c r="BE433" s="50"/>
      <c r="BF433" s="50"/>
      <c r="BG433" s="50"/>
      <c r="BH433" s="50"/>
      <c r="BI433" s="50"/>
      <c r="BJ433" s="50"/>
      <c r="BK433" s="50"/>
      <c r="BL433" s="50"/>
      <c r="BM433" s="50"/>
      <c r="BN433" s="50"/>
    </row>
    <row r="434">
      <c r="A434" s="50"/>
      <c r="B434" s="50"/>
      <c r="C434" s="50"/>
      <c r="D434" s="50"/>
      <c r="E434" s="158"/>
      <c r="F434" s="175"/>
      <c r="G434" s="175"/>
      <c r="H434" s="175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168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50"/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0"/>
      <c r="BE434" s="50"/>
      <c r="BF434" s="50"/>
      <c r="BG434" s="50"/>
      <c r="BH434" s="50"/>
      <c r="BI434" s="50"/>
      <c r="BJ434" s="50"/>
      <c r="BK434" s="50"/>
      <c r="BL434" s="50"/>
      <c r="BM434" s="50"/>
      <c r="BN434" s="50"/>
    </row>
    <row r="435">
      <c r="A435" s="50"/>
      <c r="B435" s="50"/>
      <c r="C435" s="50"/>
      <c r="D435" s="50"/>
      <c r="E435" s="158"/>
      <c r="F435" s="175"/>
      <c r="G435" s="175"/>
      <c r="H435" s="175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168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50"/>
      <c r="AQ435" s="50"/>
      <c r="AR435" s="50"/>
      <c r="AS435" s="50"/>
      <c r="AT435" s="50"/>
      <c r="AU435" s="50"/>
      <c r="AV435" s="50"/>
      <c r="AW435" s="50"/>
      <c r="AX435" s="50"/>
      <c r="AY435" s="50"/>
      <c r="AZ435" s="50"/>
      <c r="BA435" s="50"/>
      <c r="BB435" s="50"/>
      <c r="BC435" s="50"/>
      <c r="BD435" s="50"/>
      <c r="BE435" s="50"/>
      <c r="BF435" s="50"/>
      <c r="BG435" s="50"/>
      <c r="BH435" s="50"/>
      <c r="BI435" s="50"/>
      <c r="BJ435" s="50"/>
      <c r="BK435" s="50"/>
      <c r="BL435" s="50"/>
      <c r="BM435" s="50"/>
      <c r="BN435" s="50"/>
    </row>
    <row r="436">
      <c r="A436" s="50"/>
      <c r="B436" s="50"/>
      <c r="C436" s="50"/>
      <c r="D436" s="50"/>
      <c r="E436" s="158"/>
      <c r="F436" s="175"/>
      <c r="G436" s="175"/>
      <c r="H436" s="175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168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50"/>
      <c r="AQ436" s="50"/>
      <c r="AR436" s="50"/>
      <c r="AS436" s="50"/>
      <c r="AT436" s="50"/>
      <c r="AU436" s="50"/>
      <c r="AV436" s="50"/>
      <c r="AW436" s="50"/>
      <c r="AX436" s="50"/>
      <c r="AY436" s="50"/>
      <c r="AZ436" s="50"/>
      <c r="BA436" s="50"/>
      <c r="BB436" s="50"/>
      <c r="BC436" s="50"/>
      <c r="BD436" s="50"/>
      <c r="BE436" s="50"/>
      <c r="BF436" s="50"/>
      <c r="BG436" s="50"/>
      <c r="BH436" s="50"/>
      <c r="BI436" s="50"/>
      <c r="BJ436" s="50"/>
      <c r="BK436" s="50"/>
      <c r="BL436" s="50"/>
      <c r="BM436" s="50"/>
      <c r="BN436" s="50"/>
    </row>
    <row r="437">
      <c r="A437" s="50"/>
      <c r="B437" s="50"/>
      <c r="C437" s="50"/>
      <c r="D437" s="50"/>
      <c r="E437" s="158"/>
      <c r="F437" s="175"/>
      <c r="G437" s="175"/>
      <c r="H437" s="175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168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50"/>
      <c r="AQ437" s="50"/>
      <c r="AR437" s="50"/>
      <c r="AS437" s="50"/>
      <c r="AT437" s="50"/>
      <c r="AU437" s="50"/>
      <c r="AV437" s="50"/>
      <c r="AW437" s="50"/>
      <c r="AX437" s="50"/>
      <c r="AY437" s="50"/>
      <c r="AZ437" s="50"/>
      <c r="BA437" s="50"/>
      <c r="BB437" s="50"/>
      <c r="BC437" s="50"/>
      <c r="BD437" s="50"/>
      <c r="BE437" s="50"/>
      <c r="BF437" s="50"/>
      <c r="BG437" s="50"/>
      <c r="BH437" s="50"/>
      <c r="BI437" s="50"/>
      <c r="BJ437" s="50"/>
      <c r="BK437" s="50"/>
      <c r="BL437" s="50"/>
      <c r="BM437" s="50"/>
      <c r="BN437" s="50"/>
    </row>
    <row r="438">
      <c r="A438" s="50"/>
      <c r="B438" s="50"/>
      <c r="C438" s="50"/>
      <c r="D438" s="50"/>
      <c r="E438" s="158"/>
      <c r="F438" s="175"/>
      <c r="G438" s="175"/>
      <c r="H438" s="175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168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50"/>
      <c r="AQ438" s="50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0"/>
      <c r="BC438" s="50"/>
      <c r="BD438" s="50"/>
      <c r="BE438" s="50"/>
      <c r="BF438" s="50"/>
      <c r="BG438" s="50"/>
      <c r="BH438" s="50"/>
      <c r="BI438" s="50"/>
      <c r="BJ438" s="50"/>
      <c r="BK438" s="50"/>
      <c r="BL438" s="50"/>
      <c r="BM438" s="50"/>
      <c r="BN438" s="50"/>
    </row>
    <row r="439">
      <c r="A439" s="50"/>
      <c r="B439" s="50"/>
      <c r="C439" s="50"/>
      <c r="D439" s="50"/>
      <c r="E439" s="158"/>
      <c r="F439" s="175"/>
      <c r="G439" s="175"/>
      <c r="H439" s="175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168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50"/>
      <c r="AQ439" s="50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0"/>
      <c r="BC439" s="50"/>
      <c r="BD439" s="50"/>
      <c r="BE439" s="50"/>
      <c r="BF439" s="50"/>
      <c r="BG439" s="50"/>
      <c r="BH439" s="50"/>
      <c r="BI439" s="50"/>
      <c r="BJ439" s="50"/>
      <c r="BK439" s="50"/>
      <c r="BL439" s="50"/>
      <c r="BM439" s="50"/>
      <c r="BN439" s="50"/>
    </row>
    <row r="440">
      <c r="A440" s="50"/>
      <c r="B440" s="50"/>
      <c r="C440" s="50"/>
      <c r="D440" s="50"/>
      <c r="E440" s="158"/>
      <c r="F440" s="175"/>
      <c r="G440" s="175"/>
      <c r="H440" s="175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168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50"/>
      <c r="AQ440" s="50"/>
      <c r="AR440" s="50"/>
      <c r="AS440" s="50"/>
      <c r="AT440" s="50"/>
      <c r="AU440" s="50"/>
      <c r="AV440" s="50"/>
      <c r="AW440" s="50"/>
      <c r="AX440" s="50"/>
      <c r="AY440" s="50"/>
      <c r="AZ440" s="50"/>
      <c r="BA440" s="50"/>
      <c r="BB440" s="50"/>
      <c r="BC440" s="50"/>
      <c r="BD440" s="50"/>
      <c r="BE440" s="50"/>
      <c r="BF440" s="50"/>
      <c r="BG440" s="50"/>
      <c r="BH440" s="50"/>
      <c r="BI440" s="50"/>
      <c r="BJ440" s="50"/>
      <c r="BK440" s="50"/>
      <c r="BL440" s="50"/>
      <c r="BM440" s="50"/>
      <c r="BN440" s="50"/>
    </row>
    <row r="441">
      <c r="A441" s="50"/>
      <c r="B441" s="50"/>
      <c r="C441" s="50"/>
      <c r="D441" s="50"/>
      <c r="E441" s="158"/>
      <c r="F441" s="175"/>
      <c r="G441" s="175"/>
      <c r="H441" s="175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168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50"/>
      <c r="AQ441" s="50"/>
      <c r="AR441" s="50"/>
      <c r="AS441" s="50"/>
      <c r="AT441" s="50"/>
      <c r="AU441" s="50"/>
      <c r="AV441" s="50"/>
      <c r="AW441" s="50"/>
      <c r="AX441" s="50"/>
      <c r="AY441" s="50"/>
      <c r="AZ441" s="50"/>
      <c r="BA441" s="50"/>
      <c r="BB441" s="50"/>
      <c r="BC441" s="50"/>
      <c r="BD441" s="50"/>
      <c r="BE441" s="50"/>
      <c r="BF441" s="50"/>
      <c r="BG441" s="50"/>
      <c r="BH441" s="50"/>
      <c r="BI441" s="50"/>
      <c r="BJ441" s="50"/>
      <c r="BK441" s="50"/>
      <c r="BL441" s="50"/>
      <c r="BM441" s="50"/>
      <c r="BN441" s="50"/>
    </row>
    <row r="442">
      <c r="A442" s="50"/>
      <c r="B442" s="50"/>
      <c r="C442" s="50"/>
      <c r="D442" s="50"/>
      <c r="E442" s="158"/>
      <c r="F442" s="175"/>
      <c r="G442" s="175"/>
      <c r="H442" s="175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168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  <c r="AQ442" s="50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50"/>
      <c r="BE442" s="50"/>
      <c r="BF442" s="50"/>
      <c r="BG442" s="50"/>
      <c r="BH442" s="50"/>
      <c r="BI442" s="50"/>
      <c r="BJ442" s="50"/>
      <c r="BK442" s="50"/>
      <c r="BL442" s="50"/>
      <c r="BM442" s="50"/>
      <c r="BN442" s="50"/>
    </row>
    <row r="443">
      <c r="A443" s="50"/>
      <c r="B443" s="50"/>
      <c r="C443" s="50"/>
      <c r="D443" s="50"/>
      <c r="E443" s="158"/>
      <c r="F443" s="175"/>
      <c r="G443" s="175"/>
      <c r="H443" s="175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168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50"/>
      <c r="BE443" s="50"/>
      <c r="BF443" s="50"/>
      <c r="BG443" s="50"/>
      <c r="BH443" s="50"/>
      <c r="BI443" s="50"/>
      <c r="BJ443" s="50"/>
      <c r="BK443" s="50"/>
      <c r="BL443" s="50"/>
      <c r="BM443" s="50"/>
      <c r="BN443" s="50"/>
    </row>
    <row r="444">
      <c r="A444" s="50"/>
      <c r="B444" s="50"/>
      <c r="C444" s="50"/>
      <c r="D444" s="50"/>
      <c r="E444" s="158"/>
      <c r="F444" s="175"/>
      <c r="G444" s="175"/>
      <c r="H444" s="175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168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  <c r="AQ444" s="50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0"/>
      <c r="BC444" s="50"/>
      <c r="BD444" s="50"/>
      <c r="BE444" s="50"/>
      <c r="BF444" s="50"/>
      <c r="BG444" s="50"/>
      <c r="BH444" s="50"/>
      <c r="BI444" s="50"/>
      <c r="BJ444" s="50"/>
      <c r="BK444" s="50"/>
      <c r="BL444" s="50"/>
      <c r="BM444" s="50"/>
      <c r="BN444" s="50"/>
    </row>
    <row r="445">
      <c r="A445" s="50"/>
      <c r="B445" s="50"/>
      <c r="C445" s="50"/>
      <c r="D445" s="50"/>
      <c r="E445" s="158"/>
      <c r="F445" s="175"/>
      <c r="G445" s="175"/>
      <c r="H445" s="175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168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50"/>
      <c r="AQ445" s="50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0"/>
      <c r="BC445" s="50"/>
      <c r="BD445" s="50"/>
      <c r="BE445" s="50"/>
      <c r="BF445" s="50"/>
      <c r="BG445" s="50"/>
      <c r="BH445" s="50"/>
      <c r="BI445" s="50"/>
      <c r="BJ445" s="50"/>
      <c r="BK445" s="50"/>
      <c r="BL445" s="50"/>
      <c r="BM445" s="50"/>
      <c r="BN445" s="50"/>
    </row>
    <row r="446">
      <c r="A446" s="50"/>
      <c r="B446" s="50"/>
      <c r="C446" s="50"/>
      <c r="D446" s="50"/>
      <c r="E446" s="158"/>
      <c r="F446" s="175"/>
      <c r="G446" s="175"/>
      <c r="H446" s="175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168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50"/>
      <c r="AQ446" s="50"/>
      <c r="AR446" s="50"/>
      <c r="AS446" s="50"/>
      <c r="AT446" s="50"/>
      <c r="AU446" s="50"/>
      <c r="AV446" s="50"/>
      <c r="AW446" s="50"/>
      <c r="AX446" s="50"/>
      <c r="AY446" s="50"/>
      <c r="AZ446" s="50"/>
      <c r="BA446" s="50"/>
      <c r="BB446" s="50"/>
      <c r="BC446" s="50"/>
      <c r="BD446" s="50"/>
      <c r="BE446" s="50"/>
      <c r="BF446" s="50"/>
      <c r="BG446" s="50"/>
      <c r="BH446" s="50"/>
      <c r="BI446" s="50"/>
      <c r="BJ446" s="50"/>
      <c r="BK446" s="50"/>
      <c r="BL446" s="50"/>
      <c r="BM446" s="50"/>
      <c r="BN446" s="50"/>
    </row>
    <row r="447">
      <c r="A447" s="50"/>
      <c r="B447" s="50"/>
      <c r="C447" s="50"/>
      <c r="D447" s="50"/>
      <c r="E447" s="158"/>
      <c r="F447" s="175"/>
      <c r="G447" s="175"/>
      <c r="H447" s="175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168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50"/>
      <c r="AQ447" s="50"/>
      <c r="AR447" s="50"/>
      <c r="AS447" s="50"/>
      <c r="AT447" s="50"/>
      <c r="AU447" s="50"/>
      <c r="AV447" s="50"/>
      <c r="AW447" s="50"/>
      <c r="AX447" s="50"/>
      <c r="AY447" s="50"/>
      <c r="AZ447" s="50"/>
      <c r="BA447" s="50"/>
      <c r="BB447" s="50"/>
      <c r="BC447" s="50"/>
      <c r="BD447" s="50"/>
      <c r="BE447" s="50"/>
      <c r="BF447" s="50"/>
      <c r="BG447" s="50"/>
      <c r="BH447" s="50"/>
      <c r="BI447" s="50"/>
      <c r="BJ447" s="50"/>
      <c r="BK447" s="50"/>
      <c r="BL447" s="50"/>
      <c r="BM447" s="50"/>
      <c r="BN447" s="50"/>
    </row>
    <row r="448">
      <c r="A448" s="50"/>
      <c r="B448" s="50"/>
      <c r="C448" s="50"/>
      <c r="D448" s="50"/>
      <c r="E448" s="158"/>
      <c r="F448" s="175"/>
      <c r="G448" s="175"/>
      <c r="H448" s="175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168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50"/>
      <c r="AQ448" s="50"/>
      <c r="AR448" s="50"/>
      <c r="AS448" s="50"/>
      <c r="AT448" s="50"/>
      <c r="AU448" s="50"/>
      <c r="AV448" s="50"/>
      <c r="AW448" s="50"/>
      <c r="AX448" s="50"/>
      <c r="AY448" s="50"/>
      <c r="AZ448" s="50"/>
      <c r="BA448" s="50"/>
      <c r="BB448" s="50"/>
      <c r="BC448" s="50"/>
      <c r="BD448" s="50"/>
      <c r="BE448" s="50"/>
      <c r="BF448" s="50"/>
      <c r="BG448" s="50"/>
      <c r="BH448" s="50"/>
      <c r="BI448" s="50"/>
      <c r="BJ448" s="50"/>
      <c r="BK448" s="50"/>
      <c r="BL448" s="50"/>
      <c r="BM448" s="50"/>
      <c r="BN448" s="50"/>
    </row>
    <row r="449">
      <c r="A449" s="50"/>
      <c r="B449" s="50"/>
      <c r="C449" s="50"/>
      <c r="D449" s="50"/>
      <c r="E449" s="158"/>
      <c r="F449" s="175"/>
      <c r="G449" s="175"/>
      <c r="H449" s="175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168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50"/>
      <c r="AQ449" s="50"/>
      <c r="AR449" s="50"/>
      <c r="AS449" s="50"/>
      <c r="AT449" s="50"/>
      <c r="AU449" s="50"/>
      <c r="AV449" s="50"/>
      <c r="AW449" s="50"/>
      <c r="AX449" s="50"/>
      <c r="AY449" s="50"/>
      <c r="AZ449" s="50"/>
      <c r="BA449" s="50"/>
      <c r="BB449" s="50"/>
      <c r="BC449" s="50"/>
      <c r="BD449" s="50"/>
      <c r="BE449" s="50"/>
      <c r="BF449" s="50"/>
      <c r="BG449" s="50"/>
      <c r="BH449" s="50"/>
      <c r="BI449" s="50"/>
      <c r="BJ449" s="50"/>
      <c r="BK449" s="50"/>
      <c r="BL449" s="50"/>
      <c r="BM449" s="50"/>
      <c r="BN449" s="50"/>
    </row>
    <row r="450">
      <c r="A450" s="50"/>
      <c r="B450" s="50"/>
      <c r="C450" s="50"/>
      <c r="D450" s="50"/>
      <c r="E450" s="158"/>
      <c r="F450" s="175"/>
      <c r="G450" s="175"/>
      <c r="H450" s="175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168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50"/>
      <c r="AQ450" s="50"/>
      <c r="AR450" s="50"/>
      <c r="AS450" s="50"/>
      <c r="AT450" s="50"/>
      <c r="AU450" s="50"/>
      <c r="AV450" s="50"/>
      <c r="AW450" s="50"/>
      <c r="AX450" s="50"/>
      <c r="AY450" s="50"/>
      <c r="AZ450" s="50"/>
      <c r="BA450" s="50"/>
      <c r="BB450" s="50"/>
      <c r="BC450" s="50"/>
      <c r="BD450" s="50"/>
      <c r="BE450" s="50"/>
      <c r="BF450" s="50"/>
      <c r="BG450" s="50"/>
      <c r="BH450" s="50"/>
      <c r="BI450" s="50"/>
      <c r="BJ450" s="50"/>
      <c r="BK450" s="50"/>
      <c r="BL450" s="50"/>
      <c r="BM450" s="50"/>
      <c r="BN450" s="50"/>
    </row>
    <row r="451">
      <c r="A451" s="50"/>
      <c r="B451" s="50"/>
      <c r="C451" s="50"/>
      <c r="D451" s="50"/>
      <c r="E451" s="158"/>
      <c r="F451" s="175"/>
      <c r="G451" s="175"/>
      <c r="H451" s="175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168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50"/>
      <c r="AQ451" s="50"/>
      <c r="AR451" s="50"/>
      <c r="AS451" s="50"/>
      <c r="AT451" s="50"/>
      <c r="AU451" s="50"/>
      <c r="AV451" s="50"/>
      <c r="AW451" s="50"/>
      <c r="AX451" s="50"/>
      <c r="AY451" s="50"/>
      <c r="AZ451" s="50"/>
      <c r="BA451" s="50"/>
      <c r="BB451" s="50"/>
      <c r="BC451" s="50"/>
      <c r="BD451" s="50"/>
      <c r="BE451" s="50"/>
      <c r="BF451" s="50"/>
      <c r="BG451" s="50"/>
      <c r="BH451" s="50"/>
      <c r="BI451" s="50"/>
      <c r="BJ451" s="50"/>
      <c r="BK451" s="50"/>
      <c r="BL451" s="50"/>
      <c r="BM451" s="50"/>
      <c r="BN451" s="50"/>
    </row>
    <row r="452">
      <c r="A452" s="50"/>
      <c r="B452" s="50"/>
      <c r="C452" s="50"/>
      <c r="D452" s="50"/>
      <c r="E452" s="158"/>
      <c r="F452" s="175"/>
      <c r="G452" s="175"/>
      <c r="H452" s="175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168"/>
      <c r="AF452" s="50"/>
      <c r="AG452" s="50"/>
      <c r="AH452" s="50"/>
      <c r="AI452" s="50"/>
      <c r="AJ452" s="50"/>
      <c r="AK452" s="50"/>
      <c r="AL452" s="50"/>
      <c r="AM452" s="50"/>
      <c r="AN452" s="50"/>
      <c r="AO452" s="50"/>
      <c r="AP452" s="50"/>
      <c r="AQ452" s="50"/>
      <c r="AR452" s="50"/>
      <c r="AS452" s="50"/>
      <c r="AT452" s="50"/>
      <c r="AU452" s="50"/>
      <c r="AV452" s="50"/>
      <c r="AW452" s="50"/>
      <c r="AX452" s="50"/>
      <c r="AY452" s="50"/>
      <c r="AZ452" s="50"/>
      <c r="BA452" s="50"/>
      <c r="BB452" s="50"/>
      <c r="BC452" s="50"/>
      <c r="BD452" s="50"/>
      <c r="BE452" s="50"/>
      <c r="BF452" s="50"/>
      <c r="BG452" s="50"/>
      <c r="BH452" s="50"/>
      <c r="BI452" s="50"/>
      <c r="BJ452" s="50"/>
      <c r="BK452" s="50"/>
      <c r="BL452" s="50"/>
      <c r="BM452" s="50"/>
      <c r="BN452" s="50"/>
    </row>
    <row r="453">
      <c r="A453" s="50"/>
      <c r="B453" s="50"/>
      <c r="C453" s="50"/>
      <c r="D453" s="50"/>
      <c r="E453" s="158"/>
      <c r="F453" s="175"/>
      <c r="G453" s="175"/>
      <c r="H453" s="175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168"/>
      <c r="AF453" s="50"/>
      <c r="AG453" s="50"/>
      <c r="AH453" s="50"/>
      <c r="AI453" s="50"/>
      <c r="AJ453" s="50"/>
      <c r="AK453" s="50"/>
      <c r="AL453" s="50"/>
      <c r="AM453" s="50"/>
      <c r="AN453" s="50"/>
      <c r="AO453" s="50"/>
      <c r="AP453" s="50"/>
      <c r="AQ453" s="50"/>
      <c r="AR453" s="50"/>
      <c r="AS453" s="50"/>
      <c r="AT453" s="50"/>
      <c r="AU453" s="50"/>
      <c r="AV453" s="50"/>
      <c r="AW453" s="50"/>
      <c r="AX453" s="50"/>
      <c r="AY453" s="50"/>
      <c r="AZ453" s="50"/>
      <c r="BA453" s="50"/>
      <c r="BB453" s="50"/>
      <c r="BC453" s="50"/>
      <c r="BD453" s="50"/>
      <c r="BE453" s="50"/>
      <c r="BF453" s="50"/>
      <c r="BG453" s="50"/>
      <c r="BH453" s="50"/>
      <c r="BI453" s="50"/>
      <c r="BJ453" s="50"/>
      <c r="BK453" s="50"/>
      <c r="BL453" s="50"/>
      <c r="BM453" s="50"/>
      <c r="BN453" s="50"/>
    </row>
    <row r="454">
      <c r="A454" s="50"/>
      <c r="B454" s="50"/>
      <c r="C454" s="50"/>
      <c r="D454" s="50"/>
      <c r="E454" s="158"/>
      <c r="F454" s="175"/>
      <c r="G454" s="175"/>
      <c r="H454" s="175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168"/>
      <c r="AF454" s="50"/>
      <c r="AG454" s="50"/>
      <c r="AH454" s="50"/>
      <c r="AI454" s="50"/>
      <c r="AJ454" s="50"/>
      <c r="AK454" s="50"/>
      <c r="AL454" s="50"/>
      <c r="AM454" s="50"/>
      <c r="AN454" s="50"/>
      <c r="AO454" s="50"/>
      <c r="AP454" s="50"/>
      <c r="AQ454" s="50"/>
      <c r="AR454" s="50"/>
      <c r="AS454" s="50"/>
      <c r="AT454" s="50"/>
      <c r="AU454" s="50"/>
      <c r="AV454" s="50"/>
      <c r="AW454" s="50"/>
      <c r="AX454" s="50"/>
      <c r="AY454" s="50"/>
      <c r="AZ454" s="50"/>
      <c r="BA454" s="50"/>
      <c r="BB454" s="50"/>
      <c r="BC454" s="50"/>
      <c r="BD454" s="50"/>
      <c r="BE454" s="50"/>
      <c r="BF454" s="50"/>
      <c r="BG454" s="50"/>
      <c r="BH454" s="50"/>
      <c r="BI454" s="50"/>
      <c r="BJ454" s="50"/>
      <c r="BK454" s="50"/>
      <c r="BL454" s="50"/>
      <c r="BM454" s="50"/>
      <c r="BN454" s="50"/>
    </row>
    <row r="455">
      <c r="A455" s="50"/>
      <c r="B455" s="50"/>
      <c r="C455" s="50"/>
      <c r="D455" s="50"/>
      <c r="E455" s="158"/>
      <c r="F455" s="175"/>
      <c r="G455" s="175"/>
      <c r="H455" s="175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168"/>
      <c r="AF455" s="50"/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  <c r="AQ455" s="50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50"/>
      <c r="BE455" s="50"/>
      <c r="BF455" s="50"/>
      <c r="BG455" s="50"/>
      <c r="BH455" s="50"/>
      <c r="BI455" s="50"/>
      <c r="BJ455" s="50"/>
      <c r="BK455" s="50"/>
      <c r="BL455" s="50"/>
      <c r="BM455" s="50"/>
      <c r="BN455" s="50"/>
    </row>
    <row r="456">
      <c r="A456" s="50"/>
      <c r="B456" s="50"/>
      <c r="C456" s="50"/>
      <c r="D456" s="50"/>
      <c r="E456" s="158"/>
      <c r="F456" s="175"/>
      <c r="G456" s="175"/>
      <c r="H456" s="175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168"/>
      <c r="AF456" s="50"/>
      <c r="AG456" s="50"/>
      <c r="AH456" s="50"/>
      <c r="AI456" s="50"/>
      <c r="AJ456" s="50"/>
      <c r="AK456" s="50"/>
      <c r="AL456" s="50"/>
      <c r="AM456" s="50"/>
      <c r="AN456" s="50"/>
      <c r="AO456" s="50"/>
      <c r="AP456" s="50"/>
      <c r="AQ456" s="50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0"/>
      <c r="BC456" s="50"/>
      <c r="BD456" s="50"/>
      <c r="BE456" s="50"/>
      <c r="BF456" s="50"/>
      <c r="BG456" s="50"/>
      <c r="BH456" s="50"/>
      <c r="BI456" s="50"/>
      <c r="BJ456" s="50"/>
      <c r="BK456" s="50"/>
      <c r="BL456" s="50"/>
      <c r="BM456" s="50"/>
      <c r="BN456" s="50"/>
    </row>
    <row r="457">
      <c r="A457" s="50"/>
      <c r="B457" s="50"/>
      <c r="C457" s="50"/>
      <c r="D457" s="50"/>
      <c r="E457" s="158"/>
      <c r="F457" s="175"/>
      <c r="G457" s="175"/>
      <c r="H457" s="175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168"/>
      <c r="AF457" s="50"/>
      <c r="AG457" s="50"/>
      <c r="AH457" s="50"/>
      <c r="AI457" s="50"/>
      <c r="AJ457" s="50"/>
      <c r="AK457" s="50"/>
      <c r="AL457" s="50"/>
      <c r="AM457" s="50"/>
      <c r="AN457" s="50"/>
      <c r="AO457" s="50"/>
      <c r="AP457" s="50"/>
      <c r="AQ457" s="50"/>
      <c r="AR457" s="50"/>
      <c r="AS457" s="50"/>
      <c r="AT457" s="50"/>
      <c r="AU457" s="50"/>
      <c r="AV457" s="50"/>
      <c r="AW457" s="50"/>
      <c r="AX457" s="50"/>
      <c r="AY457" s="50"/>
      <c r="AZ457" s="50"/>
      <c r="BA457" s="50"/>
      <c r="BB457" s="50"/>
      <c r="BC457" s="50"/>
      <c r="BD457" s="50"/>
      <c r="BE457" s="50"/>
      <c r="BF457" s="50"/>
      <c r="BG457" s="50"/>
      <c r="BH457" s="50"/>
      <c r="BI457" s="50"/>
      <c r="BJ457" s="50"/>
      <c r="BK457" s="50"/>
      <c r="BL457" s="50"/>
      <c r="BM457" s="50"/>
      <c r="BN457" s="50"/>
    </row>
    <row r="458">
      <c r="A458" s="50"/>
      <c r="B458" s="50"/>
      <c r="C458" s="50"/>
      <c r="D458" s="50"/>
      <c r="E458" s="158"/>
      <c r="F458" s="175"/>
      <c r="G458" s="175"/>
      <c r="H458" s="175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168"/>
      <c r="AF458" s="50"/>
      <c r="AG458" s="50"/>
      <c r="AH458" s="50"/>
      <c r="AI458" s="50"/>
      <c r="AJ458" s="50"/>
      <c r="AK458" s="50"/>
      <c r="AL458" s="50"/>
      <c r="AM458" s="50"/>
      <c r="AN458" s="50"/>
      <c r="AO458" s="50"/>
      <c r="AP458" s="50"/>
      <c r="AQ458" s="50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50"/>
      <c r="BE458" s="50"/>
      <c r="BF458" s="50"/>
      <c r="BG458" s="50"/>
      <c r="BH458" s="50"/>
      <c r="BI458" s="50"/>
      <c r="BJ458" s="50"/>
      <c r="BK458" s="50"/>
      <c r="BL458" s="50"/>
      <c r="BM458" s="50"/>
      <c r="BN458" s="50"/>
    </row>
    <row r="459">
      <c r="A459" s="50"/>
      <c r="B459" s="50"/>
      <c r="C459" s="50"/>
      <c r="D459" s="50"/>
      <c r="E459" s="158"/>
      <c r="F459" s="175"/>
      <c r="G459" s="175"/>
      <c r="H459" s="175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168"/>
      <c r="AF459" s="50"/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50"/>
      <c r="BE459" s="50"/>
      <c r="BF459" s="50"/>
      <c r="BG459" s="50"/>
      <c r="BH459" s="50"/>
      <c r="BI459" s="50"/>
      <c r="BJ459" s="50"/>
      <c r="BK459" s="50"/>
      <c r="BL459" s="50"/>
      <c r="BM459" s="50"/>
      <c r="BN459" s="50"/>
    </row>
    <row r="460">
      <c r="A460" s="50"/>
      <c r="B460" s="50"/>
      <c r="C460" s="50"/>
      <c r="D460" s="50"/>
      <c r="E460" s="158"/>
      <c r="F460" s="175"/>
      <c r="G460" s="175"/>
      <c r="H460" s="175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168"/>
      <c r="AF460" s="50"/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  <c r="AQ460" s="50"/>
      <c r="AR460" s="50"/>
      <c r="AS460" s="50"/>
      <c r="AT460" s="50"/>
      <c r="AU460" s="50"/>
      <c r="AV460" s="50"/>
      <c r="AW460" s="50"/>
      <c r="AX460" s="50"/>
      <c r="AY460" s="50"/>
      <c r="AZ460" s="50"/>
      <c r="BA460" s="50"/>
      <c r="BB460" s="50"/>
      <c r="BC460" s="50"/>
      <c r="BD460" s="50"/>
      <c r="BE460" s="50"/>
      <c r="BF460" s="50"/>
      <c r="BG460" s="50"/>
      <c r="BH460" s="50"/>
      <c r="BI460" s="50"/>
      <c r="BJ460" s="50"/>
      <c r="BK460" s="50"/>
      <c r="BL460" s="50"/>
      <c r="BM460" s="50"/>
      <c r="BN460" s="50"/>
    </row>
    <row r="461">
      <c r="A461" s="50"/>
      <c r="B461" s="50"/>
      <c r="C461" s="50"/>
      <c r="D461" s="50"/>
      <c r="E461" s="158"/>
      <c r="F461" s="175"/>
      <c r="G461" s="175"/>
      <c r="H461" s="175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168"/>
      <c r="AF461" s="50"/>
      <c r="AG461" s="50"/>
      <c r="AH461" s="50"/>
      <c r="AI461" s="50"/>
      <c r="AJ461" s="50"/>
      <c r="AK461" s="50"/>
      <c r="AL461" s="50"/>
      <c r="AM461" s="50"/>
      <c r="AN461" s="50"/>
      <c r="AO461" s="50"/>
      <c r="AP461" s="50"/>
      <c r="AQ461" s="50"/>
      <c r="AR461" s="50"/>
      <c r="AS461" s="50"/>
      <c r="AT461" s="50"/>
      <c r="AU461" s="50"/>
      <c r="AV461" s="50"/>
      <c r="AW461" s="50"/>
      <c r="AX461" s="50"/>
      <c r="AY461" s="50"/>
      <c r="AZ461" s="50"/>
      <c r="BA461" s="50"/>
      <c r="BB461" s="50"/>
      <c r="BC461" s="50"/>
      <c r="BD461" s="50"/>
      <c r="BE461" s="50"/>
      <c r="BF461" s="50"/>
      <c r="BG461" s="50"/>
      <c r="BH461" s="50"/>
      <c r="BI461" s="50"/>
      <c r="BJ461" s="50"/>
      <c r="BK461" s="50"/>
      <c r="BL461" s="50"/>
      <c r="BM461" s="50"/>
      <c r="BN461" s="50"/>
    </row>
    <row r="462">
      <c r="A462" s="50"/>
      <c r="B462" s="50"/>
      <c r="C462" s="50"/>
      <c r="D462" s="50"/>
      <c r="E462" s="158"/>
      <c r="F462" s="175"/>
      <c r="G462" s="175"/>
      <c r="H462" s="175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168"/>
      <c r="AF462" s="50"/>
      <c r="AG462" s="50"/>
      <c r="AH462" s="50"/>
      <c r="AI462" s="50"/>
      <c r="AJ462" s="50"/>
      <c r="AK462" s="50"/>
      <c r="AL462" s="50"/>
      <c r="AM462" s="50"/>
      <c r="AN462" s="50"/>
      <c r="AO462" s="50"/>
      <c r="AP462" s="50"/>
      <c r="AQ462" s="50"/>
      <c r="AR462" s="50"/>
      <c r="AS462" s="50"/>
      <c r="AT462" s="50"/>
      <c r="AU462" s="50"/>
      <c r="AV462" s="50"/>
      <c r="AW462" s="50"/>
      <c r="AX462" s="50"/>
      <c r="AY462" s="50"/>
      <c r="AZ462" s="50"/>
      <c r="BA462" s="50"/>
      <c r="BB462" s="50"/>
      <c r="BC462" s="50"/>
      <c r="BD462" s="50"/>
      <c r="BE462" s="50"/>
      <c r="BF462" s="50"/>
      <c r="BG462" s="50"/>
      <c r="BH462" s="50"/>
      <c r="BI462" s="50"/>
      <c r="BJ462" s="50"/>
      <c r="BK462" s="50"/>
      <c r="BL462" s="50"/>
      <c r="BM462" s="50"/>
      <c r="BN462" s="50"/>
    </row>
    <row r="463">
      <c r="A463" s="50"/>
      <c r="B463" s="50"/>
      <c r="C463" s="50"/>
      <c r="D463" s="50"/>
      <c r="E463" s="158"/>
      <c r="F463" s="175"/>
      <c r="G463" s="175"/>
      <c r="H463" s="175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168"/>
      <c r="AF463" s="50"/>
      <c r="AG463" s="50"/>
      <c r="AH463" s="50"/>
      <c r="AI463" s="50"/>
      <c r="AJ463" s="50"/>
      <c r="AK463" s="50"/>
      <c r="AL463" s="50"/>
      <c r="AM463" s="50"/>
      <c r="AN463" s="50"/>
      <c r="AO463" s="50"/>
      <c r="AP463" s="50"/>
      <c r="AQ463" s="50"/>
      <c r="AR463" s="50"/>
      <c r="AS463" s="50"/>
      <c r="AT463" s="50"/>
      <c r="AU463" s="50"/>
      <c r="AV463" s="50"/>
      <c r="AW463" s="50"/>
      <c r="AX463" s="50"/>
      <c r="AY463" s="50"/>
      <c r="AZ463" s="50"/>
      <c r="BA463" s="50"/>
      <c r="BB463" s="50"/>
      <c r="BC463" s="50"/>
      <c r="BD463" s="50"/>
      <c r="BE463" s="50"/>
      <c r="BF463" s="50"/>
      <c r="BG463" s="50"/>
      <c r="BH463" s="50"/>
      <c r="BI463" s="50"/>
      <c r="BJ463" s="50"/>
      <c r="BK463" s="50"/>
      <c r="BL463" s="50"/>
      <c r="BM463" s="50"/>
      <c r="BN463" s="50"/>
    </row>
    <row r="464">
      <c r="A464" s="50"/>
      <c r="B464" s="50"/>
      <c r="C464" s="50"/>
      <c r="D464" s="50"/>
      <c r="E464" s="158"/>
      <c r="F464" s="175"/>
      <c r="G464" s="175"/>
      <c r="H464" s="175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168"/>
      <c r="AF464" s="50"/>
      <c r="AG464" s="50"/>
      <c r="AH464" s="50"/>
      <c r="AI464" s="50"/>
      <c r="AJ464" s="50"/>
      <c r="AK464" s="50"/>
      <c r="AL464" s="50"/>
      <c r="AM464" s="50"/>
      <c r="AN464" s="50"/>
      <c r="AO464" s="50"/>
      <c r="AP464" s="50"/>
      <c r="AQ464" s="50"/>
      <c r="AR464" s="50"/>
      <c r="AS464" s="50"/>
      <c r="AT464" s="50"/>
      <c r="AU464" s="50"/>
      <c r="AV464" s="50"/>
      <c r="AW464" s="50"/>
      <c r="AX464" s="50"/>
      <c r="AY464" s="50"/>
      <c r="AZ464" s="50"/>
      <c r="BA464" s="50"/>
      <c r="BB464" s="50"/>
      <c r="BC464" s="50"/>
      <c r="BD464" s="50"/>
      <c r="BE464" s="50"/>
      <c r="BF464" s="50"/>
      <c r="BG464" s="50"/>
      <c r="BH464" s="50"/>
      <c r="BI464" s="50"/>
      <c r="BJ464" s="50"/>
      <c r="BK464" s="50"/>
      <c r="BL464" s="50"/>
      <c r="BM464" s="50"/>
      <c r="BN464" s="50"/>
    </row>
    <row r="465">
      <c r="A465" s="50"/>
      <c r="B465" s="50"/>
      <c r="C465" s="50"/>
      <c r="D465" s="50"/>
      <c r="E465" s="158"/>
      <c r="F465" s="175"/>
      <c r="G465" s="175"/>
      <c r="H465" s="175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168"/>
      <c r="AF465" s="50"/>
      <c r="AG465" s="50"/>
      <c r="AH465" s="50"/>
      <c r="AI465" s="50"/>
      <c r="AJ465" s="50"/>
      <c r="AK465" s="50"/>
      <c r="AL465" s="50"/>
      <c r="AM465" s="50"/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</row>
    <row r="466">
      <c r="A466" s="50"/>
      <c r="B466" s="50"/>
      <c r="C466" s="50"/>
      <c r="D466" s="50"/>
      <c r="E466" s="158"/>
      <c r="F466" s="175"/>
      <c r="G466" s="175"/>
      <c r="H466" s="175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168"/>
      <c r="AF466" s="50"/>
      <c r="AG466" s="50"/>
      <c r="AH466" s="50"/>
      <c r="AI466" s="50"/>
      <c r="AJ466" s="50"/>
      <c r="AK466" s="50"/>
      <c r="AL466" s="50"/>
      <c r="AM466" s="50"/>
      <c r="AN466" s="50"/>
      <c r="AO466" s="50"/>
      <c r="AP466" s="50"/>
      <c r="AQ466" s="50"/>
      <c r="AR466" s="50"/>
      <c r="AS466" s="50"/>
      <c r="AT466" s="50"/>
      <c r="AU466" s="50"/>
      <c r="AV466" s="50"/>
      <c r="AW466" s="50"/>
      <c r="AX466" s="50"/>
      <c r="AY466" s="50"/>
      <c r="AZ466" s="50"/>
      <c r="BA466" s="50"/>
      <c r="BB466" s="50"/>
      <c r="BC466" s="50"/>
      <c r="BD466" s="50"/>
      <c r="BE466" s="50"/>
      <c r="BF466" s="50"/>
      <c r="BG466" s="50"/>
      <c r="BH466" s="50"/>
      <c r="BI466" s="50"/>
      <c r="BJ466" s="50"/>
      <c r="BK466" s="50"/>
      <c r="BL466" s="50"/>
      <c r="BM466" s="50"/>
      <c r="BN466" s="50"/>
    </row>
    <row r="467">
      <c r="A467" s="50"/>
      <c r="B467" s="50"/>
      <c r="C467" s="50"/>
      <c r="D467" s="50"/>
      <c r="E467" s="158"/>
      <c r="F467" s="175"/>
      <c r="G467" s="175"/>
      <c r="H467" s="175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168"/>
      <c r="AF467" s="50"/>
      <c r="AG467" s="50"/>
      <c r="AH467" s="50"/>
      <c r="AI467" s="50"/>
      <c r="AJ467" s="50"/>
      <c r="AK467" s="50"/>
      <c r="AL467" s="50"/>
      <c r="AM467" s="50"/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/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</row>
    <row r="468">
      <c r="A468" s="50"/>
      <c r="B468" s="50"/>
      <c r="C468" s="50"/>
      <c r="D468" s="50"/>
      <c r="E468" s="158"/>
      <c r="F468" s="175"/>
      <c r="G468" s="175"/>
      <c r="H468" s="175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168"/>
      <c r="AF468" s="50"/>
      <c r="AG468" s="50"/>
      <c r="AH468" s="50"/>
      <c r="AI468" s="50"/>
      <c r="AJ468" s="50"/>
      <c r="AK468" s="50"/>
      <c r="AL468" s="50"/>
      <c r="AM468" s="50"/>
      <c r="AN468" s="50"/>
      <c r="AO468" s="50"/>
      <c r="AP468" s="50"/>
      <c r="AQ468" s="50"/>
      <c r="AR468" s="50"/>
      <c r="AS468" s="50"/>
      <c r="AT468" s="50"/>
      <c r="AU468" s="50"/>
      <c r="AV468" s="50"/>
      <c r="AW468" s="50"/>
      <c r="AX468" s="50"/>
      <c r="AY468" s="50"/>
      <c r="AZ468" s="50"/>
      <c r="BA468" s="50"/>
      <c r="BB468" s="50"/>
      <c r="BC468" s="50"/>
      <c r="BD468" s="50"/>
      <c r="BE468" s="50"/>
      <c r="BF468" s="50"/>
      <c r="BG468" s="50"/>
      <c r="BH468" s="50"/>
      <c r="BI468" s="50"/>
      <c r="BJ468" s="50"/>
      <c r="BK468" s="50"/>
      <c r="BL468" s="50"/>
      <c r="BM468" s="50"/>
      <c r="BN468" s="50"/>
    </row>
    <row r="469">
      <c r="A469" s="50"/>
      <c r="B469" s="50"/>
      <c r="C469" s="50"/>
      <c r="D469" s="50"/>
      <c r="E469" s="158"/>
      <c r="F469" s="175"/>
      <c r="G469" s="175"/>
      <c r="H469" s="175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168"/>
      <c r="AF469" s="50"/>
      <c r="AG469" s="50"/>
      <c r="AH469" s="50"/>
      <c r="AI469" s="50"/>
      <c r="AJ469" s="50"/>
      <c r="AK469" s="50"/>
      <c r="AL469" s="50"/>
      <c r="AM469" s="50"/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/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</row>
    <row r="470">
      <c r="A470" s="50"/>
      <c r="B470" s="50"/>
      <c r="C470" s="50"/>
      <c r="D470" s="50"/>
      <c r="E470" s="158"/>
      <c r="F470" s="175"/>
      <c r="G470" s="175"/>
      <c r="H470" s="175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168"/>
      <c r="AF470" s="50"/>
      <c r="AG470" s="50"/>
      <c r="AH470" s="50"/>
      <c r="AI470" s="50"/>
      <c r="AJ470" s="50"/>
      <c r="AK470" s="50"/>
      <c r="AL470" s="50"/>
      <c r="AM470" s="50"/>
      <c r="AN470" s="50"/>
      <c r="AO470" s="50"/>
      <c r="AP470" s="50"/>
      <c r="AQ470" s="50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50"/>
      <c r="BE470" s="50"/>
      <c r="BF470" s="50"/>
      <c r="BG470" s="50"/>
      <c r="BH470" s="50"/>
      <c r="BI470" s="50"/>
      <c r="BJ470" s="50"/>
      <c r="BK470" s="50"/>
      <c r="BL470" s="50"/>
      <c r="BM470" s="50"/>
      <c r="BN470" s="50"/>
    </row>
    <row r="471">
      <c r="A471" s="50"/>
      <c r="B471" s="50"/>
      <c r="C471" s="50"/>
      <c r="D471" s="50"/>
      <c r="E471" s="158"/>
      <c r="F471" s="175"/>
      <c r="G471" s="175"/>
      <c r="H471" s="175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168"/>
      <c r="AF471" s="50"/>
      <c r="AG471" s="50"/>
      <c r="AH471" s="50"/>
      <c r="AI471" s="50"/>
      <c r="AJ471" s="50"/>
      <c r="AK471" s="50"/>
      <c r="AL471" s="50"/>
      <c r="AM471" s="50"/>
      <c r="AN471" s="50"/>
      <c r="AO471" s="50"/>
      <c r="AP471" s="50"/>
      <c r="AQ471" s="50"/>
      <c r="AR471" s="50"/>
      <c r="AS471" s="50"/>
      <c r="AT471" s="50"/>
      <c r="AU471" s="50"/>
      <c r="AV471" s="50"/>
      <c r="AW471" s="50"/>
      <c r="AX471" s="50"/>
      <c r="AY471" s="50"/>
      <c r="AZ471" s="50"/>
      <c r="BA471" s="50"/>
      <c r="BB471" s="50"/>
      <c r="BC471" s="50"/>
      <c r="BD471" s="50"/>
      <c r="BE471" s="50"/>
      <c r="BF471" s="50"/>
      <c r="BG471" s="50"/>
      <c r="BH471" s="50"/>
      <c r="BI471" s="50"/>
      <c r="BJ471" s="50"/>
      <c r="BK471" s="50"/>
      <c r="BL471" s="50"/>
      <c r="BM471" s="50"/>
      <c r="BN471" s="50"/>
    </row>
    <row r="472">
      <c r="A472" s="50"/>
      <c r="B472" s="50"/>
      <c r="C472" s="50"/>
      <c r="D472" s="50"/>
      <c r="E472" s="158"/>
      <c r="F472" s="175"/>
      <c r="G472" s="175"/>
      <c r="H472" s="175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168"/>
      <c r="AF472" s="50"/>
      <c r="AG472" s="50"/>
      <c r="AH472" s="50"/>
      <c r="AI472" s="50"/>
      <c r="AJ472" s="50"/>
      <c r="AK472" s="50"/>
      <c r="AL472" s="50"/>
      <c r="AM472" s="50"/>
      <c r="AN472" s="50"/>
      <c r="AO472" s="50"/>
      <c r="AP472" s="50"/>
      <c r="AQ472" s="50"/>
      <c r="AR472" s="50"/>
      <c r="AS472" s="50"/>
      <c r="AT472" s="50"/>
      <c r="AU472" s="50"/>
      <c r="AV472" s="50"/>
      <c r="AW472" s="50"/>
      <c r="AX472" s="50"/>
      <c r="AY472" s="50"/>
      <c r="AZ472" s="50"/>
      <c r="BA472" s="50"/>
      <c r="BB472" s="50"/>
      <c r="BC472" s="50"/>
      <c r="BD472" s="50"/>
      <c r="BE472" s="50"/>
      <c r="BF472" s="50"/>
      <c r="BG472" s="50"/>
      <c r="BH472" s="50"/>
      <c r="BI472" s="50"/>
      <c r="BJ472" s="50"/>
      <c r="BK472" s="50"/>
      <c r="BL472" s="50"/>
      <c r="BM472" s="50"/>
      <c r="BN472" s="50"/>
    </row>
    <row r="473">
      <c r="A473" s="50"/>
      <c r="B473" s="50"/>
      <c r="C473" s="50"/>
      <c r="D473" s="50"/>
      <c r="E473" s="158"/>
      <c r="F473" s="175"/>
      <c r="G473" s="175"/>
      <c r="H473" s="175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168"/>
      <c r="AF473" s="50"/>
      <c r="AG473" s="50"/>
      <c r="AH473" s="50"/>
      <c r="AI473" s="50"/>
      <c r="AJ473" s="50"/>
      <c r="AK473" s="50"/>
      <c r="AL473" s="50"/>
      <c r="AM473" s="50"/>
      <c r="AN473" s="50"/>
      <c r="AO473" s="50"/>
      <c r="AP473" s="50"/>
      <c r="AQ473" s="50"/>
      <c r="AR473" s="50"/>
      <c r="AS473" s="50"/>
      <c r="AT473" s="50"/>
      <c r="AU473" s="50"/>
      <c r="AV473" s="50"/>
      <c r="AW473" s="50"/>
      <c r="AX473" s="50"/>
      <c r="AY473" s="50"/>
      <c r="AZ473" s="50"/>
      <c r="BA473" s="50"/>
      <c r="BB473" s="50"/>
      <c r="BC473" s="50"/>
      <c r="BD473" s="50"/>
      <c r="BE473" s="50"/>
      <c r="BF473" s="50"/>
      <c r="BG473" s="50"/>
      <c r="BH473" s="50"/>
      <c r="BI473" s="50"/>
      <c r="BJ473" s="50"/>
      <c r="BK473" s="50"/>
      <c r="BL473" s="50"/>
      <c r="BM473" s="50"/>
      <c r="BN473" s="50"/>
    </row>
    <row r="474">
      <c r="A474" s="50"/>
      <c r="B474" s="50"/>
      <c r="C474" s="50"/>
      <c r="D474" s="50"/>
      <c r="E474" s="158"/>
      <c r="F474" s="175"/>
      <c r="G474" s="175"/>
      <c r="H474" s="175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168"/>
      <c r="AF474" s="50"/>
      <c r="AG474" s="50"/>
      <c r="AH474" s="50"/>
      <c r="AI474" s="50"/>
      <c r="AJ474" s="50"/>
      <c r="AK474" s="50"/>
      <c r="AL474" s="50"/>
      <c r="AM474" s="50"/>
      <c r="AN474" s="50"/>
      <c r="AO474" s="50"/>
      <c r="AP474" s="50"/>
      <c r="AQ474" s="50"/>
      <c r="AR474" s="50"/>
      <c r="AS474" s="50"/>
      <c r="AT474" s="50"/>
      <c r="AU474" s="50"/>
      <c r="AV474" s="50"/>
      <c r="AW474" s="50"/>
      <c r="AX474" s="50"/>
      <c r="AY474" s="50"/>
      <c r="AZ474" s="50"/>
      <c r="BA474" s="50"/>
      <c r="BB474" s="50"/>
      <c r="BC474" s="50"/>
      <c r="BD474" s="50"/>
      <c r="BE474" s="50"/>
      <c r="BF474" s="50"/>
      <c r="BG474" s="50"/>
      <c r="BH474" s="50"/>
      <c r="BI474" s="50"/>
      <c r="BJ474" s="50"/>
      <c r="BK474" s="50"/>
      <c r="BL474" s="50"/>
      <c r="BM474" s="50"/>
      <c r="BN474" s="50"/>
    </row>
    <row r="475">
      <c r="A475" s="50"/>
      <c r="B475" s="50"/>
      <c r="C475" s="50"/>
      <c r="D475" s="50"/>
      <c r="E475" s="158"/>
      <c r="F475" s="175"/>
      <c r="G475" s="175"/>
      <c r="H475" s="175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168"/>
      <c r="AF475" s="50"/>
      <c r="AG475" s="50"/>
      <c r="AH475" s="50"/>
      <c r="AI475" s="50"/>
      <c r="AJ475" s="50"/>
      <c r="AK475" s="50"/>
      <c r="AL475" s="50"/>
      <c r="AM475" s="50"/>
      <c r="AN475" s="50"/>
      <c r="AO475" s="50"/>
      <c r="AP475" s="50"/>
      <c r="AQ475" s="50"/>
      <c r="AR475" s="50"/>
      <c r="AS475" s="50"/>
      <c r="AT475" s="50"/>
      <c r="AU475" s="50"/>
      <c r="AV475" s="50"/>
      <c r="AW475" s="50"/>
      <c r="AX475" s="50"/>
      <c r="AY475" s="50"/>
      <c r="AZ475" s="50"/>
      <c r="BA475" s="50"/>
      <c r="BB475" s="50"/>
      <c r="BC475" s="50"/>
      <c r="BD475" s="50"/>
      <c r="BE475" s="50"/>
      <c r="BF475" s="50"/>
      <c r="BG475" s="50"/>
      <c r="BH475" s="50"/>
      <c r="BI475" s="50"/>
      <c r="BJ475" s="50"/>
      <c r="BK475" s="50"/>
      <c r="BL475" s="50"/>
      <c r="BM475" s="50"/>
      <c r="BN475" s="50"/>
    </row>
    <row r="476">
      <c r="A476" s="50"/>
      <c r="B476" s="50"/>
      <c r="C476" s="50"/>
      <c r="D476" s="50"/>
      <c r="E476" s="158"/>
      <c r="F476" s="175"/>
      <c r="G476" s="175"/>
      <c r="H476" s="175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168"/>
      <c r="AF476" s="50"/>
      <c r="AG476" s="50"/>
      <c r="AH476" s="50"/>
      <c r="AI476" s="50"/>
      <c r="AJ476" s="50"/>
      <c r="AK476" s="50"/>
      <c r="AL476" s="50"/>
      <c r="AM476" s="50"/>
      <c r="AN476" s="50"/>
      <c r="AO476" s="50"/>
      <c r="AP476" s="50"/>
      <c r="AQ476" s="50"/>
      <c r="AR476" s="50"/>
      <c r="AS476" s="50"/>
      <c r="AT476" s="50"/>
      <c r="AU476" s="50"/>
      <c r="AV476" s="50"/>
      <c r="AW476" s="50"/>
      <c r="AX476" s="50"/>
      <c r="AY476" s="50"/>
      <c r="AZ476" s="50"/>
      <c r="BA476" s="50"/>
      <c r="BB476" s="50"/>
      <c r="BC476" s="50"/>
      <c r="BD476" s="50"/>
      <c r="BE476" s="50"/>
      <c r="BF476" s="50"/>
      <c r="BG476" s="50"/>
      <c r="BH476" s="50"/>
      <c r="BI476" s="50"/>
      <c r="BJ476" s="50"/>
      <c r="BK476" s="50"/>
      <c r="BL476" s="50"/>
      <c r="BM476" s="50"/>
      <c r="BN476" s="50"/>
    </row>
    <row r="477">
      <c r="A477" s="50"/>
      <c r="B477" s="50"/>
      <c r="C477" s="50"/>
      <c r="D477" s="50"/>
      <c r="E477" s="158"/>
      <c r="F477" s="175"/>
      <c r="G477" s="175"/>
      <c r="H477" s="175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168"/>
      <c r="AF477" s="50"/>
      <c r="AG477" s="50"/>
      <c r="AH477" s="50"/>
      <c r="AI477" s="50"/>
      <c r="AJ477" s="50"/>
      <c r="AK477" s="50"/>
      <c r="AL477" s="50"/>
      <c r="AM477" s="50"/>
      <c r="AN477" s="50"/>
      <c r="AO477" s="50"/>
      <c r="AP477" s="50"/>
      <c r="AQ477" s="50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50"/>
      <c r="BE477" s="50"/>
      <c r="BF477" s="50"/>
      <c r="BG477" s="50"/>
      <c r="BH477" s="50"/>
      <c r="BI477" s="50"/>
      <c r="BJ477" s="50"/>
      <c r="BK477" s="50"/>
      <c r="BL477" s="50"/>
      <c r="BM477" s="50"/>
      <c r="BN477" s="50"/>
    </row>
    <row r="478">
      <c r="A478" s="50"/>
      <c r="B478" s="50"/>
      <c r="C478" s="50"/>
      <c r="D478" s="50"/>
      <c r="E478" s="158"/>
      <c r="F478" s="175"/>
      <c r="G478" s="175"/>
      <c r="H478" s="175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168"/>
      <c r="AF478" s="50"/>
      <c r="AG478" s="50"/>
      <c r="AH478" s="50"/>
      <c r="AI478" s="50"/>
      <c r="AJ478" s="50"/>
      <c r="AK478" s="50"/>
      <c r="AL478" s="50"/>
      <c r="AM478" s="50"/>
      <c r="AN478" s="50"/>
      <c r="AO478" s="50"/>
      <c r="AP478" s="50"/>
      <c r="AQ478" s="50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50"/>
      <c r="BE478" s="50"/>
      <c r="BF478" s="50"/>
      <c r="BG478" s="50"/>
      <c r="BH478" s="50"/>
      <c r="BI478" s="50"/>
      <c r="BJ478" s="50"/>
      <c r="BK478" s="50"/>
      <c r="BL478" s="50"/>
      <c r="BM478" s="50"/>
      <c r="BN478" s="50"/>
    </row>
    <row r="479">
      <c r="A479" s="50"/>
      <c r="B479" s="50"/>
      <c r="C479" s="50"/>
      <c r="D479" s="50"/>
      <c r="E479" s="158"/>
      <c r="F479" s="175"/>
      <c r="G479" s="175"/>
      <c r="H479" s="175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168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50"/>
      <c r="AR479" s="50"/>
      <c r="AS479" s="50"/>
      <c r="AT479" s="50"/>
      <c r="AU479" s="50"/>
      <c r="AV479" s="50"/>
      <c r="AW479" s="50"/>
      <c r="AX479" s="50"/>
      <c r="AY479" s="50"/>
      <c r="AZ479" s="50"/>
      <c r="BA479" s="50"/>
      <c r="BB479" s="50"/>
      <c r="BC479" s="50"/>
      <c r="BD479" s="50"/>
      <c r="BE479" s="50"/>
      <c r="BF479" s="50"/>
      <c r="BG479" s="50"/>
      <c r="BH479" s="50"/>
      <c r="BI479" s="50"/>
      <c r="BJ479" s="50"/>
      <c r="BK479" s="50"/>
      <c r="BL479" s="50"/>
      <c r="BM479" s="50"/>
      <c r="BN479" s="50"/>
    </row>
    <row r="480">
      <c r="A480" s="50"/>
      <c r="B480" s="50"/>
      <c r="C480" s="50"/>
      <c r="D480" s="50"/>
      <c r="E480" s="158"/>
      <c r="F480" s="175"/>
      <c r="G480" s="175"/>
      <c r="H480" s="175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168"/>
      <c r="AF480" s="50"/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  <c r="AQ480" s="50"/>
      <c r="AR480" s="50"/>
      <c r="AS480" s="50"/>
      <c r="AT480" s="50"/>
      <c r="AU480" s="50"/>
      <c r="AV480" s="50"/>
      <c r="AW480" s="50"/>
      <c r="AX480" s="50"/>
      <c r="AY480" s="50"/>
      <c r="AZ480" s="50"/>
      <c r="BA480" s="50"/>
      <c r="BB480" s="50"/>
      <c r="BC480" s="50"/>
      <c r="BD480" s="50"/>
      <c r="BE480" s="50"/>
      <c r="BF480" s="50"/>
      <c r="BG480" s="50"/>
      <c r="BH480" s="50"/>
      <c r="BI480" s="50"/>
      <c r="BJ480" s="50"/>
      <c r="BK480" s="50"/>
      <c r="BL480" s="50"/>
      <c r="BM480" s="50"/>
      <c r="BN480" s="50"/>
    </row>
    <row r="481">
      <c r="A481" s="50"/>
      <c r="B481" s="50"/>
      <c r="C481" s="50"/>
      <c r="D481" s="50"/>
      <c r="E481" s="158"/>
      <c r="F481" s="175"/>
      <c r="G481" s="175"/>
      <c r="H481" s="175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168"/>
      <c r="AF481" s="50"/>
      <c r="AG481" s="50"/>
      <c r="AH481" s="50"/>
      <c r="AI481" s="50"/>
      <c r="AJ481" s="50"/>
      <c r="AK481" s="50"/>
      <c r="AL481" s="50"/>
      <c r="AM481" s="50"/>
      <c r="AN481" s="50"/>
      <c r="AO481" s="50"/>
      <c r="AP481" s="50"/>
      <c r="AQ481" s="50"/>
      <c r="AR481" s="50"/>
      <c r="AS481" s="50"/>
      <c r="AT481" s="50"/>
      <c r="AU481" s="50"/>
      <c r="AV481" s="50"/>
      <c r="AW481" s="50"/>
      <c r="AX481" s="50"/>
      <c r="AY481" s="50"/>
      <c r="AZ481" s="50"/>
      <c r="BA481" s="50"/>
      <c r="BB481" s="50"/>
      <c r="BC481" s="50"/>
      <c r="BD481" s="50"/>
      <c r="BE481" s="50"/>
      <c r="BF481" s="50"/>
      <c r="BG481" s="50"/>
      <c r="BH481" s="50"/>
      <c r="BI481" s="50"/>
      <c r="BJ481" s="50"/>
      <c r="BK481" s="50"/>
      <c r="BL481" s="50"/>
      <c r="BM481" s="50"/>
      <c r="BN481" s="50"/>
    </row>
    <row r="482">
      <c r="A482" s="50"/>
      <c r="B482" s="50"/>
      <c r="C482" s="50"/>
      <c r="D482" s="50"/>
      <c r="E482" s="158"/>
      <c r="F482" s="175"/>
      <c r="G482" s="175"/>
      <c r="H482" s="175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168"/>
      <c r="AF482" s="50"/>
      <c r="AG482" s="50"/>
      <c r="AH482" s="50"/>
      <c r="AI482" s="50"/>
      <c r="AJ482" s="50"/>
      <c r="AK482" s="50"/>
      <c r="AL482" s="50"/>
      <c r="AM482" s="50"/>
      <c r="AN482" s="50"/>
      <c r="AO482" s="50"/>
      <c r="AP482" s="50"/>
      <c r="AQ482" s="50"/>
      <c r="AR482" s="50"/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50"/>
      <c r="BE482" s="50"/>
      <c r="BF482" s="50"/>
      <c r="BG482" s="50"/>
      <c r="BH482" s="50"/>
      <c r="BI482" s="50"/>
      <c r="BJ482" s="50"/>
      <c r="BK482" s="50"/>
      <c r="BL482" s="50"/>
      <c r="BM482" s="50"/>
      <c r="BN482" s="50"/>
    </row>
    <row r="483">
      <c r="A483" s="50"/>
      <c r="B483" s="50"/>
      <c r="C483" s="50"/>
      <c r="D483" s="50"/>
      <c r="E483" s="158"/>
      <c r="F483" s="175"/>
      <c r="G483" s="175"/>
      <c r="H483" s="175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168"/>
      <c r="AF483" s="50"/>
      <c r="AG483" s="50"/>
      <c r="AH483" s="50"/>
      <c r="AI483" s="50"/>
      <c r="AJ483" s="50"/>
      <c r="AK483" s="50"/>
      <c r="AL483" s="50"/>
      <c r="AM483" s="50"/>
      <c r="AN483" s="50"/>
      <c r="AO483" s="50"/>
      <c r="AP483" s="50"/>
      <c r="AQ483" s="50"/>
      <c r="AR483" s="50"/>
      <c r="AS483" s="50"/>
      <c r="AT483" s="50"/>
      <c r="AU483" s="50"/>
      <c r="AV483" s="50"/>
      <c r="AW483" s="50"/>
      <c r="AX483" s="50"/>
      <c r="AY483" s="50"/>
      <c r="AZ483" s="50"/>
      <c r="BA483" s="50"/>
      <c r="BB483" s="50"/>
      <c r="BC483" s="50"/>
      <c r="BD483" s="50"/>
      <c r="BE483" s="50"/>
      <c r="BF483" s="50"/>
      <c r="BG483" s="50"/>
      <c r="BH483" s="50"/>
      <c r="BI483" s="50"/>
      <c r="BJ483" s="50"/>
      <c r="BK483" s="50"/>
      <c r="BL483" s="50"/>
      <c r="BM483" s="50"/>
      <c r="BN483" s="50"/>
    </row>
    <row r="484">
      <c r="A484" s="50"/>
      <c r="B484" s="50"/>
      <c r="C484" s="50"/>
      <c r="D484" s="50"/>
      <c r="E484" s="158"/>
      <c r="F484" s="175"/>
      <c r="G484" s="175"/>
      <c r="H484" s="175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168"/>
      <c r="AF484" s="50"/>
      <c r="AG484" s="50"/>
      <c r="AH484" s="50"/>
      <c r="AI484" s="50"/>
      <c r="AJ484" s="50"/>
      <c r="AK484" s="50"/>
      <c r="AL484" s="50"/>
      <c r="AM484" s="50"/>
      <c r="AN484" s="50"/>
      <c r="AO484" s="50"/>
      <c r="AP484" s="50"/>
      <c r="AQ484" s="50"/>
      <c r="AR484" s="50"/>
      <c r="AS484" s="50"/>
      <c r="AT484" s="50"/>
      <c r="AU484" s="50"/>
      <c r="AV484" s="50"/>
      <c r="AW484" s="50"/>
      <c r="AX484" s="50"/>
      <c r="AY484" s="50"/>
      <c r="AZ484" s="50"/>
      <c r="BA484" s="50"/>
      <c r="BB484" s="50"/>
      <c r="BC484" s="50"/>
      <c r="BD484" s="50"/>
      <c r="BE484" s="50"/>
      <c r="BF484" s="50"/>
      <c r="BG484" s="50"/>
      <c r="BH484" s="50"/>
      <c r="BI484" s="50"/>
      <c r="BJ484" s="50"/>
      <c r="BK484" s="50"/>
      <c r="BL484" s="50"/>
      <c r="BM484" s="50"/>
      <c r="BN484" s="50"/>
    </row>
    <row r="485">
      <c r="A485" s="50"/>
      <c r="B485" s="50"/>
      <c r="C485" s="50"/>
      <c r="D485" s="50"/>
      <c r="E485" s="158"/>
      <c r="F485" s="175"/>
      <c r="G485" s="175"/>
      <c r="H485" s="175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168"/>
      <c r="AF485" s="50"/>
      <c r="AG485" s="50"/>
      <c r="AH485" s="50"/>
      <c r="AI485" s="50"/>
      <c r="AJ485" s="50"/>
      <c r="AK485" s="50"/>
      <c r="AL485" s="50"/>
      <c r="AM485" s="50"/>
      <c r="AN485" s="50"/>
      <c r="AO485" s="50"/>
      <c r="AP485" s="50"/>
      <c r="AQ485" s="50"/>
      <c r="AR485" s="50"/>
      <c r="AS485" s="50"/>
      <c r="AT485" s="50"/>
      <c r="AU485" s="50"/>
      <c r="AV485" s="50"/>
      <c r="AW485" s="50"/>
      <c r="AX485" s="50"/>
      <c r="AY485" s="50"/>
      <c r="AZ485" s="50"/>
      <c r="BA485" s="50"/>
      <c r="BB485" s="50"/>
      <c r="BC485" s="50"/>
      <c r="BD485" s="50"/>
      <c r="BE485" s="50"/>
      <c r="BF485" s="50"/>
      <c r="BG485" s="50"/>
      <c r="BH485" s="50"/>
      <c r="BI485" s="50"/>
      <c r="BJ485" s="50"/>
      <c r="BK485" s="50"/>
      <c r="BL485" s="50"/>
      <c r="BM485" s="50"/>
      <c r="BN485" s="50"/>
    </row>
    <row r="486">
      <c r="A486" s="50"/>
      <c r="B486" s="50"/>
      <c r="C486" s="50"/>
      <c r="D486" s="50"/>
      <c r="E486" s="158"/>
      <c r="F486" s="175"/>
      <c r="G486" s="175"/>
      <c r="H486" s="175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168"/>
      <c r="AF486" s="50"/>
      <c r="AG486" s="50"/>
      <c r="AH486" s="50"/>
      <c r="AI486" s="50"/>
      <c r="AJ486" s="50"/>
      <c r="AK486" s="50"/>
      <c r="AL486" s="50"/>
      <c r="AM486" s="50"/>
      <c r="AN486" s="50"/>
      <c r="AO486" s="50"/>
      <c r="AP486" s="50"/>
      <c r="AQ486" s="50"/>
      <c r="AR486" s="50"/>
      <c r="AS486" s="50"/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50"/>
      <c r="BE486" s="50"/>
      <c r="BF486" s="50"/>
      <c r="BG486" s="50"/>
      <c r="BH486" s="50"/>
      <c r="BI486" s="50"/>
      <c r="BJ486" s="50"/>
      <c r="BK486" s="50"/>
      <c r="BL486" s="50"/>
      <c r="BM486" s="50"/>
      <c r="BN486" s="50"/>
    </row>
    <row r="487">
      <c r="A487" s="50"/>
      <c r="B487" s="50"/>
      <c r="C487" s="50"/>
      <c r="D487" s="50"/>
      <c r="E487" s="158"/>
      <c r="F487" s="175"/>
      <c r="G487" s="175"/>
      <c r="H487" s="175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168"/>
      <c r="AF487" s="50"/>
      <c r="AG487" s="50"/>
      <c r="AH487" s="50"/>
      <c r="AI487" s="50"/>
      <c r="AJ487" s="50"/>
      <c r="AK487" s="50"/>
      <c r="AL487" s="50"/>
      <c r="AM487" s="50"/>
      <c r="AN487" s="50"/>
      <c r="AO487" s="50"/>
      <c r="AP487" s="50"/>
      <c r="AQ487" s="50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0"/>
      <c r="BC487" s="50"/>
      <c r="BD487" s="50"/>
      <c r="BE487" s="50"/>
      <c r="BF487" s="50"/>
      <c r="BG487" s="50"/>
      <c r="BH487" s="50"/>
      <c r="BI487" s="50"/>
      <c r="BJ487" s="50"/>
      <c r="BK487" s="50"/>
      <c r="BL487" s="50"/>
      <c r="BM487" s="50"/>
      <c r="BN487" s="50"/>
    </row>
    <row r="488">
      <c r="A488" s="50"/>
      <c r="B488" s="50"/>
      <c r="C488" s="50"/>
      <c r="D488" s="50"/>
      <c r="E488" s="158"/>
      <c r="F488" s="175"/>
      <c r="G488" s="175"/>
      <c r="H488" s="175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168"/>
      <c r="AF488" s="50"/>
      <c r="AG488" s="50"/>
      <c r="AH488" s="50"/>
      <c r="AI488" s="50"/>
      <c r="AJ488" s="50"/>
      <c r="AK488" s="50"/>
      <c r="AL488" s="50"/>
      <c r="AM488" s="50"/>
      <c r="AN488" s="50"/>
      <c r="AO488" s="50"/>
      <c r="AP488" s="50"/>
      <c r="AQ488" s="50"/>
      <c r="AR488" s="50"/>
      <c r="AS488" s="50"/>
      <c r="AT488" s="50"/>
      <c r="AU488" s="50"/>
      <c r="AV488" s="50"/>
      <c r="AW488" s="50"/>
      <c r="AX488" s="50"/>
      <c r="AY488" s="50"/>
      <c r="AZ488" s="50"/>
      <c r="BA488" s="50"/>
      <c r="BB488" s="50"/>
      <c r="BC488" s="50"/>
      <c r="BD488" s="50"/>
      <c r="BE488" s="50"/>
      <c r="BF488" s="50"/>
      <c r="BG488" s="50"/>
      <c r="BH488" s="50"/>
      <c r="BI488" s="50"/>
      <c r="BJ488" s="50"/>
      <c r="BK488" s="50"/>
      <c r="BL488" s="50"/>
      <c r="BM488" s="50"/>
      <c r="BN488" s="50"/>
    </row>
    <row r="489">
      <c r="A489" s="50"/>
      <c r="B489" s="50"/>
      <c r="C489" s="50"/>
      <c r="D489" s="50"/>
      <c r="E489" s="158"/>
      <c r="F489" s="175"/>
      <c r="G489" s="175"/>
      <c r="H489" s="175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168"/>
      <c r="AF489" s="50"/>
      <c r="AG489" s="50"/>
      <c r="AH489" s="50"/>
      <c r="AI489" s="50"/>
      <c r="AJ489" s="50"/>
      <c r="AK489" s="50"/>
      <c r="AL489" s="50"/>
      <c r="AM489" s="50"/>
      <c r="AN489" s="50"/>
      <c r="AO489" s="50"/>
      <c r="AP489" s="50"/>
      <c r="AQ489" s="50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0"/>
      <c r="BC489" s="50"/>
      <c r="BD489" s="50"/>
      <c r="BE489" s="50"/>
      <c r="BF489" s="50"/>
      <c r="BG489" s="50"/>
      <c r="BH489" s="50"/>
      <c r="BI489" s="50"/>
      <c r="BJ489" s="50"/>
      <c r="BK489" s="50"/>
      <c r="BL489" s="50"/>
      <c r="BM489" s="50"/>
      <c r="BN489" s="50"/>
    </row>
    <row r="490">
      <c r="A490" s="50"/>
      <c r="B490" s="50"/>
      <c r="C490" s="50"/>
      <c r="D490" s="50"/>
      <c r="E490" s="158"/>
      <c r="F490" s="175"/>
      <c r="G490" s="175"/>
      <c r="H490" s="175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168"/>
      <c r="AF490" s="50"/>
      <c r="AG490" s="50"/>
      <c r="AH490" s="50"/>
      <c r="AI490" s="50"/>
      <c r="AJ490" s="50"/>
      <c r="AK490" s="50"/>
      <c r="AL490" s="50"/>
      <c r="AM490" s="50"/>
      <c r="AN490" s="50"/>
      <c r="AO490" s="50"/>
      <c r="AP490" s="50"/>
      <c r="AQ490" s="50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50"/>
      <c r="BE490" s="50"/>
      <c r="BF490" s="50"/>
      <c r="BG490" s="50"/>
      <c r="BH490" s="50"/>
      <c r="BI490" s="50"/>
      <c r="BJ490" s="50"/>
      <c r="BK490" s="50"/>
      <c r="BL490" s="50"/>
      <c r="BM490" s="50"/>
      <c r="BN490" s="50"/>
    </row>
    <row r="491">
      <c r="A491" s="50"/>
      <c r="B491" s="50"/>
      <c r="C491" s="50"/>
      <c r="D491" s="50"/>
      <c r="E491" s="158"/>
      <c r="F491" s="175"/>
      <c r="G491" s="175"/>
      <c r="H491" s="175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168"/>
      <c r="AF491" s="50"/>
      <c r="AG491" s="50"/>
      <c r="AH491" s="50"/>
      <c r="AI491" s="50"/>
      <c r="AJ491" s="50"/>
      <c r="AK491" s="50"/>
      <c r="AL491" s="50"/>
      <c r="AM491" s="50"/>
      <c r="AN491" s="50"/>
      <c r="AO491" s="50"/>
      <c r="AP491" s="50"/>
      <c r="AQ491" s="50"/>
      <c r="AR491" s="50"/>
      <c r="AS491" s="50"/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50"/>
      <c r="BE491" s="50"/>
      <c r="BF491" s="50"/>
      <c r="BG491" s="50"/>
      <c r="BH491" s="50"/>
      <c r="BI491" s="50"/>
      <c r="BJ491" s="50"/>
      <c r="BK491" s="50"/>
      <c r="BL491" s="50"/>
      <c r="BM491" s="50"/>
      <c r="BN491" s="50"/>
    </row>
    <row r="492">
      <c r="A492" s="50"/>
      <c r="B492" s="50"/>
      <c r="C492" s="50"/>
      <c r="D492" s="50"/>
      <c r="E492" s="158"/>
      <c r="F492" s="175"/>
      <c r="G492" s="175"/>
      <c r="H492" s="175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168"/>
      <c r="AF492" s="50"/>
      <c r="AG492" s="50"/>
      <c r="AH492" s="50"/>
      <c r="AI492" s="50"/>
      <c r="AJ492" s="50"/>
      <c r="AK492" s="50"/>
      <c r="AL492" s="50"/>
      <c r="AM492" s="50"/>
      <c r="AN492" s="50"/>
      <c r="AO492" s="50"/>
      <c r="AP492" s="50"/>
      <c r="AQ492" s="50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0"/>
      <c r="BC492" s="50"/>
      <c r="BD492" s="50"/>
      <c r="BE492" s="50"/>
      <c r="BF492" s="50"/>
      <c r="BG492" s="50"/>
      <c r="BH492" s="50"/>
      <c r="BI492" s="50"/>
      <c r="BJ492" s="50"/>
      <c r="BK492" s="50"/>
      <c r="BL492" s="50"/>
      <c r="BM492" s="50"/>
      <c r="BN492" s="50"/>
    </row>
    <row r="493">
      <c r="A493" s="50"/>
      <c r="B493" s="50"/>
      <c r="C493" s="50"/>
      <c r="D493" s="50"/>
      <c r="E493" s="158"/>
      <c r="F493" s="175"/>
      <c r="G493" s="175"/>
      <c r="H493" s="175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168"/>
      <c r="AF493" s="50"/>
      <c r="AG493" s="50"/>
      <c r="AH493" s="50"/>
      <c r="AI493" s="50"/>
      <c r="AJ493" s="50"/>
      <c r="AK493" s="50"/>
      <c r="AL493" s="50"/>
      <c r="AM493" s="50"/>
      <c r="AN493" s="50"/>
      <c r="AO493" s="50"/>
      <c r="AP493" s="50"/>
      <c r="AQ493" s="50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0"/>
      <c r="BC493" s="50"/>
      <c r="BD493" s="50"/>
      <c r="BE493" s="50"/>
      <c r="BF493" s="50"/>
      <c r="BG493" s="50"/>
      <c r="BH493" s="50"/>
      <c r="BI493" s="50"/>
      <c r="BJ493" s="50"/>
      <c r="BK493" s="50"/>
      <c r="BL493" s="50"/>
      <c r="BM493" s="50"/>
      <c r="BN493" s="50"/>
    </row>
    <row r="494">
      <c r="A494" s="50"/>
      <c r="B494" s="50"/>
      <c r="C494" s="50"/>
      <c r="D494" s="50"/>
      <c r="E494" s="158"/>
      <c r="F494" s="175"/>
      <c r="G494" s="175"/>
      <c r="H494" s="175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168"/>
      <c r="AF494" s="50"/>
      <c r="AG494" s="50"/>
      <c r="AH494" s="50"/>
      <c r="AI494" s="50"/>
      <c r="AJ494" s="50"/>
      <c r="AK494" s="50"/>
      <c r="AL494" s="50"/>
      <c r="AM494" s="50"/>
      <c r="AN494" s="50"/>
      <c r="AO494" s="50"/>
      <c r="AP494" s="50"/>
      <c r="AQ494" s="50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50"/>
      <c r="BE494" s="50"/>
      <c r="BF494" s="50"/>
      <c r="BG494" s="50"/>
      <c r="BH494" s="50"/>
      <c r="BI494" s="50"/>
      <c r="BJ494" s="50"/>
      <c r="BK494" s="50"/>
      <c r="BL494" s="50"/>
      <c r="BM494" s="50"/>
      <c r="BN494" s="50"/>
    </row>
    <row r="495">
      <c r="A495" s="50"/>
      <c r="B495" s="50"/>
      <c r="C495" s="50"/>
      <c r="D495" s="50"/>
      <c r="E495" s="158"/>
      <c r="F495" s="175"/>
      <c r="G495" s="175"/>
      <c r="H495" s="175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168"/>
      <c r="AF495" s="50"/>
      <c r="AG495" s="50"/>
      <c r="AH495" s="50"/>
      <c r="AI495" s="50"/>
      <c r="AJ495" s="50"/>
      <c r="AK495" s="50"/>
      <c r="AL495" s="50"/>
      <c r="AM495" s="50"/>
      <c r="AN495" s="50"/>
      <c r="AO495" s="50"/>
      <c r="AP495" s="50"/>
      <c r="AQ495" s="50"/>
      <c r="AR495" s="50"/>
      <c r="AS495" s="50"/>
      <c r="AT495" s="50"/>
      <c r="AU495" s="50"/>
      <c r="AV495" s="50"/>
      <c r="AW495" s="50"/>
      <c r="AX495" s="50"/>
      <c r="AY495" s="50"/>
      <c r="AZ495" s="50"/>
      <c r="BA495" s="50"/>
      <c r="BB495" s="50"/>
      <c r="BC495" s="50"/>
      <c r="BD495" s="50"/>
      <c r="BE495" s="50"/>
      <c r="BF495" s="50"/>
      <c r="BG495" s="50"/>
      <c r="BH495" s="50"/>
      <c r="BI495" s="50"/>
      <c r="BJ495" s="50"/>
      <c r="BK495" s="50"/>
      <c r="BL495" s="50"/>
      <c r="BM495" s="50"/>
      <c r="BN495" s="50"/>
    </row>
    <row r="496">
      <c r="A496" s="50"/>
      <c r="B496" s="50"/>
      <c r="C496" s="50"/>
      <c r="D496" s="50"/>
      <c r="E496" s="158"/>
      <c r="F496" s="175"/>
      <c r="G496" s="175"/>
      <c r="H496" s="175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168"/>
      <c r="AF496" s="50"/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50"/>
      <c r="AR496" s="50"/>
      <c r="AS496" s="50"/>
      <c r="AT496" s="50"/>
      <c r="AU496" s="50"/>
      <c r="AV496" s="50"/>
      <c r="AW496" s="50"/>
      <c r="AX496" s="50"/>
      <c r="AY496" s="50"/>
      <c r="AZ496" s="50"/>
      <c r="BA496" s="50"/>
      <c r="BB496" s="50"/>
      <c r="BC496" s="50"/>
      <c r="BD496" s="50"/>
      <c r="BE496" s="50"/>
      <c r="BF496" s="50"/>
      <c r="BG496" s="50"/>
      <c r="BH496" s="50"/>
      <c r="BI496" s="50"/>
      <c r="BJ496" s="50"/>
      <c r="BK496" s="50"/>
      <c r="BL496" s="50"/>
      <c r="BM496" s="50"/>
      <c r="BN496" s="50"/>
    </row>
    <row r="497">
      <c r="A497" s="50"/>
      <c r="B497" s="50"/>
      <c r="C497" s="50"/>
      <c r="D497" s="50"/>
      <c r="E497" s="158"/>
      <c r="F497" s="175"/>
      <c r="G497" s="175"/>
      <c r="H497" s="175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168"/>
      <c r="AF497" s="50"/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  <c r="AQ497" s="50"/>
      <c r="AR497" s="50"/>
      <c r="AS497" s="50"/>
      <c r="AT497" s="50"/>
      <c r="AU497" s="50"/>
      <c r="AV497" s="50"/>
      <c r="AW497" s="50"/>
      <c r="AX497" s="50"/>
      <c r="AY497" s="50"/>
      <c r="AZ497" s="50"/>
      <c r="BA497" s="50"/>
      <c r="BB497" s="50"/>
      <c r="BC497" s="50"/>
      <c r="BD497" s="50"/>
      <c r="BE497" s="50"/>
      <c r="BF497" s="50"/>
      <c r="BG497" s="50"/>
      <c r="BH497" s="50"/>
      <c r="BI497" s="50"/>
      <c r="BJ497" s="50"/>
      <c r="BK497" s="50"/>
      <c r="BL497" s="50"/>
      <c r="BM497" s="50"/>
      <c r="BN497" s="50"/>
    </row>
    <row r="498">
      <c r="A498" s="50"/>
      <c r="B498" s="50"/>
      <c r="C498" s="50"/>
      <c r="D498" s="50"/>
      <c r="E498" s="158"/>
      <c r="F498" s="175"/>
      <c r="G498" s="175"/>
      <c r="H498" s="175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168"/>
      <c r="AF498" s="50"/>
      <c r="AG498" s="50"/>
      <c r="AH498" s="50"/>
      <c r="AI498" s="50"/>
      <c r="AJ498" s="50"/>
      <c r="AK498" s="50"/>
      <c r="AL498" s="50"/>
      <c r="AM498" s="50"/>
      <c r="AN498" s="50"/>
      <c r="AO498" s="50"/>
      <c r="AP498" s="50"/>
      <c r="AQ498" s="50"/>
      <c r="AR498" s="50"/>
      <c r="AS498" s="50"/>
      <c r="AT498" s="50"/>
      <c r="AU498" s="50"/>
      <c r="AV498" s="50"/>
      <c r="AW498" s="50"/>
      <c r="AX498" s="50"/>
      <c r="AY498" s="50"/>
      <c r="AZ498" s="50"/>
      <c r="BA498" s="50"/>
      <c r="BB498" s="50"/>
      <c r="BC498" s="50"/>
      <c r="BD498" s="50"/>
      <c r="BE498" s="50"/>
      <c r="BF498" s="50"/>
      <c r="BG498" s="50"/>
      <c r="BH498" s="50"/>
      <c r="BI498" s="50"/>
      <c r="BJ498" s="50"/>
      <c r="BK498" s="50"/>
      <c r="BL498" s="50"/>
      <c r="BM498" s="50"/>
      <c r="BN498" s="50"/>
    </row>
    <row r="499">
      <c r="A499" s="50"/>
      <c r="B499" s="50"/>
      <c r="C499" s="50"/>
      <c r="D499" s="50"/>
      <c r="E499" s="158"/>
      <c r="F499" s="175"/>
      <c r="G499" s="175"/>
      <c r="H499" s="175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168"/>
      <c r="AF499" s="50"/>
      <c r="AG499" s="50"/>
      <c r="AH499" s="50"/>
      <c r="AI499" s="50"/>
      <c r="AJ499" s="50"/>
      <c r="AK499" s="50"/>
      <c r="AL499" s="50"/>
      <c r="AM499" s="50"/>
      <c r="AN499" s="50"/>
      <c r="AO499" s="50"/>
      <c r="AP499" s="50"/>
      <c r="AQ499" s="50"/>
      <c r="AR499" s="50"/>
      <c r="AS499" s="50"/>
      <c r="AT499" s="50"/>
      <c r="AU499" s="50"/>
      <c r="AV499" s="50"/>
      <c r="AW499" s="50"/>
      <c r="AX499" s="50"/>
      <c r="AY499" s="50"/>
      <c r="AZ499" s="50"/>
      <c r="BA499" s="50"/>
      <c r="BB499" s="50"/>
      <c r="BC499" s="50"/>
      <c r="BD499" s="50"/>
      <c r="BE499" s="50"/>
      <c r="BF499" s="50"/>
      <c r="BG499" s="50"/>
      <c r="BH499" s="50"/>
      <c r="BI499" s="50"/>
      <c r="BJ499" s="50"/>
      <c r="BK499" s="50"/>
      <c r="BL499" s="50"/>
      <c r="BM499" s="50"/>
      <c r="BN499" s="50"/>
    </row>
    <row r="500">
      <c r="A500" s="50"/>
      <c r="B500" s="50"/>
      <c r="C500" s="50"/>
      <c r="D500" s="50"/>
      <c r="E500" s="158"/>
      <c r="F500" s="175"/>
      <c r="G500" s="175"/>
      <c r="H500" s="175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168"/>
      <c r="AF500" s="50"/>
      <c r="AG500" s="50"/>
      <c r="AH500" s="50"/>
      <c r="AI500" s="50"/>
      <c r="AJ500" s="50"/>
      <c r="AK500" s="50"/>
      <c r="AL500" s="50"/>
      <c r="AM500" s="50"/>
      <c r="AN500" s="50"/>
      <c r="AO500" s="50"/>
      <c r="AP500" s="50"/>
      <c r="AQ500" s="50"/>
      <c r="AR500" s="50"/>
      <c r="AS500" s="50"/>
      <c r="AT500" s="50"/>
      <c r="AU500" s="50"/>
      <c r="AV500" s="50"/>
      <c r="AW500" s="50"/>
      <c r="AX500" s="50"/>
      <c r="AY500" s="50"/>
      <c r="AZ500" s="50"/>
      <c r="BA500" s="50"/>
      <c r="BB500" s="50"/>
      <c r="BC500" s="50"/>
      <c r="BD500" s="50"/>
      <c r="BE500" s="50"/>
      <c r="BF500" s="50"/>
      <c r="BG500" s="50"/>
      <c r="BH500" s="50"/>
      <c r="BI500" s="50"/>
      <c r="BJ500" s="50"/>
      <c r="BK500" s="50"/>
      <c r="BL500" s="50"/>
      <c r="BM500" s="50"/>
      <c r="BN500" s="50"/>
    </row>
    <row r="501">
      <c r="A501" s="50"/>
      <c r="B501" s="50"/>
      <c r="C501" s="50"/>
      <c r="D501" s="50"/>
      <c r="E501" s="158"/>
      <c r="F501" s="175"/>
      <c r="G501" s="175"/>
      <c r="H501" s="175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168"/>
      <c r="AF501" s="50"/>
      <c r="AG501" s="50"/>
      <c r="AH501" s="50"/>
      <c r="AI501" s="50"/>
      <c r="AJ501" s="50"/>
      <c r="AK501" s="50"/>
      <c r="AL501" s="50"/>
      <c r="AM501" s="50"/>
      <c r="AN501" s="50"/>
      <c r="AO501" s="50"/>
      <c r="AP501" s="50"/>
      <c r="AQ501" s="50"/>
      <c r="AR501" s="50"/>
      <c r="AS501" s="50"/>
      <c r="AT501" s="50"/>
      <c r="AU501" s="50"/>
      <c r="AV501" s="50"/>
      <c r="AW501" s="50"/>
      <c r="AX501" s="50"/>
      <c r="AY501" s="50"/>
      <c r="AZ501" s="50"/>
      <c r="BA501" s="50"/>
      <c r="BB501" s="50"/>
      <c r="BC501" s="50"/>
      <c r="BD501" s="50"/>
      <c r="BE501" s="50"/>
      <c r="BF501" s="50"/>
      <c r="BG501" s="50"/>
      <c r="BH501" s="50"/>
      <c r="BI501" s="50"/>
      <c r="BJ501" s="50"/>
      <c r="BK501" s="50"/>
      <c r="BL501" s="50"/>
      <c r="BM501" s="50"/>
      <c r="BN501" s="50"/>
    </row>
    <row r="502">
      <c r="A502" s="50"/>
      <c r="B502" s="50"/>
      <c r="C502" s="50"/>
      <c r="D502" s="50"/>
      <c r="E502" s="158"/>
      <c r="F502" s="175"/>
      <c r="G502" s="175"/>
      <c r="H502" s="175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168"/>
      <c r="AF502" s="50"/>
      <c r="AG502" s="50"/>
      <c r="AH502" s="50"/>
      <c r="AI502" s="50"/>
      <c r="AJ502" s="50"/>
      <c r="AK502" s="50"/>
      <c r="AL502" s="50"/>
      <c r="AM502" s="50"/>
      <c r="AN502" s="50"/>
      <c r="AO502" s="50"/>
      <c r="AP502" s="50"/>
      <c r="AQ502" s="50"/>
      <c r="AR502" s="50"/>
      <c r="AS502" s="50"/>
      <c r="AT502" s="50"/>
      <c r="AU502" s="50"/>
      <c r="AV502" s="50"/>
      <c r="AW502" s="50"/>
      <c r="AX502" s="50"/>
      <c r="AY502" s="50"/>
      <c r="AZ502" s="50"/>
      <c r="BA502" s="50"/>
      <c r="BB502" s="50"/>
      <c r="BC502" s="50"/>
      <c r="BD502" s="50"/>
      <c r="BE502" s="50"/>
      <c r="BF502" s="50"/>
      <c r="BG502" s="50"/>
      <c r="BH502" s="50"/>
      <c r="BI502" s="50"/>
      <c r="BJ502" s="50"/>
      <c r="BK502" s="50"/>
      <c r="BL502" s="50"/>
      <c r="BM502" s="50"/>
      <c r="BN502" s="50"/>
    </row>
    <row r="503">
      <c r="A503" s="50"/>
      <c r="B503" s="50"/>
      <c r="C503" s="50"/>
      <c r="D503" s="50"/>
      <c r="E503" s="158"/>
      <c r="F503" s="175"/>
      <c r="G503" s="175"/>
      <c r="H503" s="175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168"/>
      <c r="AF503" s="50"/>
      <c r="AG503" s="50"/>
      <c r="AH503" s="50"/>
      <c r="AI503" s="50"/>
      <c r="AJ503" s="50"/>
      <c r="AK503" s="50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  <c r="AV503" s="50"/>
      <c r="AW503" s="50"/>
      <c r="AX503" s="50"/>
      <c r="AY503" s="50"/>
      <c r="AZ503" s="50"/>
      <c r="BA503" s="50"/>
      <c r="BB503" s="50"/>
      <c r="BC503" s="50"/>
      <c r="BD503" s="50"/>
      <c r="BE503" s="50"/>
      <c r="BF503" s="50"/>
      <c r="BG503" s="50"/>
      <c r="BH503" s="50"/>
      <c r="BI503" s="50"/>
      <c r="BJ503" s="50"/>
      <c r="BK503" s="50"/>
      <c r="BL503" s="50"/>
      <c r="BM503" s="50"/>
      <c r="BN503" s="50"/>
    </row>
    <row r="504">
      <c r="A504" s="50"/>
      <c r="B504" s="50"/>
      <c r="C504" s="50"/>
      <c r="D504" s="50"/>
      <c r="E504" s="158"/>
      <c r="F504" s="175"/>
      <c r="G504" s="175"/>
      <c r="H504" s="175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168"/>
      <c r="AF504" s="50"/>
      <c r="AG504" s="50"/>
      <c r="AH504" s="50"/>
      <c r="AI504" s="50"/>
      <c r="AJ504" s="50"/>
      <c r="AK504" s="50"/>
      <c r="AL504" s="50"/>
      <c r="AM504" s="50"/>
      <c r="AN504" s="50"/>
      <c r="AO504" s="50"/>
      <c r="AP504" s="50"/>
      <c r="AQ504" s="50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0"/>
      <c r="BC504" s="50"/>
      <c r="BD504" s="50"/>
      <c r="BE504" s="50"/>
      <c r="BF504" s="50"/>
      <c r="BG504" s="50"/>
      <c r="BH504" s="50"/>
      <c r="BI504" s="50"/>
      <c r="BJ504" s="50"/>
      <c r="BK504" s="50"/>
      <c r="BL504" s="50"/>
      <c r="BM504" s="50"/>
      <c r="BN504" s="50"/>
    </row>
    <row r="505">
      <c r="A505" s="50"/>
      <c r="B505" s="50"/>
      <c r="C505" s="50"/>
      <c r="D505" s="50"/>
      <c r="E505" s="158"/>
      <c r="F505" s="175"/>
      <c r="G505" s="175"/>
      <c r="H505" s="175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168"/>
      <c r="AF505" s="50"/>
      <c r="AG505" s="50"/>
      <c r="AH505" s="50"/>
      <c r="AI505" s="50"/>
      <c r="AJ505" s="50"/>
      <c r="AK505" s="50"/>
      <c r="AL505" s="50"/>
      <c r="AM505" s="50"/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/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</row>
    <row r="506">
      <c r="A506" s="50"/>
      <c r="B506" s="50"/>
      <c r="C506" s="50"/>
      <c r="D506" s="50"/>
      <c r="E506" s="158"/>
      <c r="F506" s="175"/>
      <c r="G506" s="175"/>
      <c r="H506" s="175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168"/>
      <c r="AF506" s="50"/>
      <c r="AG506" s="50"/>
      <c r="AH506" s="50"/>
      <c r="AI506" s="50"/>
      <c r="AJ506" s="50"/>
      <c r="AK506" s="50"/>
      <c r="AL506" s="50"/>
      <c r="AM506" s="50"/>
      <c r="AN506" s="50"/>
      <c r="AO506" s="50"/>
      <c r="AP506" s="50"/>
      <c r="AQ506" s="50"/>
      <c r="AR506" s="50"/>
      <c r="AS506" s="50"/>
      <c r="AT506" s="50"/>
      <c r="AU506" s="50"/>
      <c r="AV506" s="50"/>
      <c r="AW506" s="50"/>
      <c r="AX506" s="50"/>
      <c r="AY506" s="50"/>
      <c r="AZ506" s="50"/>
      <c r="BA506" s="50"/>
      <c r="BB506" s="50"/>
      <c r="BC506" s="50"/>
      <c r="BD506" s="50"/>
      <c r="BE506" s="50"/>
      <c r="BF506" s="50"/>
      <c r="BG506" s="50"/>
      <c r="BH506" s="50"/>
      <c r="BI506" s="50"/>
      <c r="BJ506" s="50"/>
      <c r="BK506" s="50"/>
      <c r="BL506" s="50"/>
      <c r="BM506" s="50"/>
      <c r="BN506" s="50"/>
    </row>
    <row r="507">
      <c r="A507" s="50"/>
      <c r="B507" s="50"/>
      <c r="C507" s="50"/>
      <c r="D507" s="50"/>
      <c r="E507" s="158"/>
      <c r="F507" s="175"/>
      <c r="G507" s="175"/>
      <c r="H507" s="175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168"/>
      <c r="AF507" s="50"/>
      <c r="AG507" s="50"/>
      <c r="AH507" s="50"/>
      <c r="AI507" s="50"/>
      <c r="AJ507" s="50"/>
      <c r="AK507" s="50"/>
      <c r="AL507" s="50"/>
      <c r="AM507" s="50"/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/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</row>
    <row r="508">
      <c r="A508" s="50"/>
      <c r="B508" s="50"/>
      <c r="C508" s="50"/>
      <c r="D508" s="50"/>
      <c r="E508" s="158"/>
      <c r="F508" s="175"/>
      <c r="G508" s="175"/>
      <c r="H508" s="175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168"/>
      <c r="AF508" s="50"/>
      <c r="AG508" s="50"/>
      <c r="AH508" s="50"/>
      <c r="AI508" s="50"/>
      <c r="AJ508" s="50"/>
      <c r="AK508" s="50"/>
      <c r="AL508" s="50"/>
      <c r="AM508" s="50"/>
      <c r="AN508" s="50"/>
      <c r="AO508" s="50"/>
      <c r="AP508" s="50"/>
      <c r="AQ508" s="50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0"/>
      <c r="BC508" s="50"/>
      <c r="BD508" s="50"/>
      <c r="BE508" s="50"/>
      <c r="BF508" s="50"/>
      <c r="BG508" s="50"/>
      <c r="BH508" s="50"/>
      <c r="BI508" s="50"/>
      <c r="BJ508" s="50"/>
      <c r="BK508" s="50"/>
      <c r="BL508" s="50"/>
      <c r="BM508" s="50"/>
      <c r="BN508" s="50"/>
    </row>
    <row r="509">
      <c r="A509" s="50"/>
      <c r="B509" s="50"/>
      <c r="C509" s="50"/>
      <c r="D509" s="50"/>
      <c r="E509" s="158"/>
      <c r="F509" s="175"/>
      <c r="G509" s="175"/>
      <c r="H509" s="175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168"/>
      <c r="AF509" s="50"/>
      <c r="AG509" s="50"/>
      <c r="AH509" s="50"/>
      <c r="AI509" s="50"/>
      <c r="AJ509" s="50"/>
      <c r="AK509" s="50"/>
      <c r="AL509" s="50"/>
      <c r="AM509" s="50"/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/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</row>
    <row r="510">
      <c r="A510" s="50"/>
      <c r="B510" s="50"/>
      <c r="C510" s="50"/>
      <c r="D510" s="50"/>
      <c r="E510" s="158"/>
      <c r="F510" s="175"/>
      <c r="G510" s="175"/>
      <c r="H510" s="175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168"/>
      <c r="AF510" s="50"/>
      <c r="AG510" s="50"/>
      <c r="AH510" s="50"/>
      <c r="AI510" s="50"/>
      <c r="AJ510" s="50"/>
      <c r="AK510" s="50"/>
      <c r="AL510" s="50"/>
      <c r="AM510" s="50"/>
      <c r="AN510" s="50"/>
      <c r="AO510" s="50"/>
      <c r="AP510" s="50"/>
      <c r="AQ510" s="50"/>
      <c r="AR510" s="50"/>
      <c r="AS510" s="50"/>
      <c r="AT510" s="50"/>
      <c r="AU510" s="50"/>
      <c r="AV510" s="50"/>
      <c r="AW510" s="50"/>
      <c r="AX510" s="50"/>
      <c r="AY510" s="50"/>
      <c r="AZ510" s="50"/>
      <c r="BA510" s="50"/>
      <c r="BB510" s="50"/>
      <c r="BC510" s="50"/>
      <c r="BD510" s="50"/>
      <c r="BE510" s="50"/>
      <c r="BF510" s="50"/>
      <c r="BG510" s="50"/>
      <c r="BH510" s="50"/>
      <c r="BI510" s="50"/>
      <c r="BJ510" s="50"/>
      <c r="BK510" s="50"/>
      <c r="BL510" s="50"/>
      <c r="BM510" s="50"/>
      <c r="BN510" s="50"/>
    </row>
    <row r="511">
      <c r="A511" s="50"/>
      <c r="B511" s="50"/>
      <c r="C511" s="50"/>
      <c r="D511" s="50"/>
      <c r="E511" s="158"/>
      <c r="F511" s="175"/>
      <c r="G511" s="175"/>
      <c r="H511" s="175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168"/>
      <c r="AF511" s="50"/>
      <c r="AG511" s="50"/>
      <c r="AH511" s="50"/>
      <c r="AI511" s="50"/>
      <c r="AJ511" s="50"/>
      <c r="AK511" s="50"/>
      <c r="AL511" s="50"/>
      <c r="AM511" s="50"/>
      <c r="AN511" s="50"/>
      <c r="AO511" s="50"/>
      <c r="AP511" s="50"/>
      <c r="AQ511" s="50"/>
      <c r="AR511" s="50"/>
      <c r="AS511" s="50"/>
      <c r="AT511" s="50"/>
      <c r="AU511" s="50"/>
      <c r="AV511" s="50"/>
      <c r="AW511" s="50"/>
      <c r="AX511" s="50"/>
      <c r="AY511" s="50"/>
      <c r="AZ511" s="50"/>
      <c r="BA511" s="50"/>
      <c r="BB511" s="50"/>
      <c r="BC511" s="50"/>
      <c r="BD511" s="50"/>
      <c r="BE511" s="50"/>
      <c r="BF511" s="50"/>
      <c r="BG511" s="50"/>
      <c r="BH511" s="50"/>
      <c r="BI511" s="50"/>
      <c r="BJ511" s="50"/>
      <c r="BK511" s="50"/>
      <c r="BL511" s="50"/>
      <c r="BM511" s="50"/>
      <c r="BN511" s="50"/>
    </row>
    <row r="512">
      <c r="A512" s="50"/>
      <c r="B512" s="50"/>
      <c r="C512" s="50"/>
      <c r="D512" s="50"/>
      <c r="E512" s="158"/>
      <c r="F512" s="175"/>
      <c r="G512" s="175"/>
      <c r="H512" s="175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168"/>
      <c r="AF512" s="50"/>
      <c r="AG512" s="50"/>
      <c r="AH512" s="50"/>
      <c r="AI512" s="50"/>
      <c r="AJ512" s="50"/>
      <c r="AK512" s="50"/>
      <c r="AL512" s="50"/>
      <c r="AM512" s="50"/>
      <c r="AN512" s="50"/>
      <c r="AO512" s="50"/>
      <c r="AP512" s="50"/>
      <c r="AQ512" s="50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0"/>
      <c r="BC512" s="50"/>
      <c r="BD512" s="50"/>
      <c r="BE512" s="50"/>
      <c r="BF512" s="50"/>
      <c r="BG512" s="50"/>
      <c r="BH512" s="50"/>
      <c r="BI512" s="50"/>
      <c r="BJ512" s="50"/>
      <c r="BK512" s="50"/>
      <c r="BL512" s="50"/>
      <c r="BM512" s="50"/>
      <c r="BN512" s="50"/>
    </row>
    <row r="513">
      <c r="A513" s="50"/>
      <c r="B513" s="50"/>
      <c r="C513" s="50"/>
      <c r="D513" s="50"/>
      <c r="E513" s="158"/>
      <c r="F513" s="175"/>
      <c r="G513" s="175"/>
      <c r="H513" s="175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168"/>
      <c r="AF513" s="50"/>
      <c r="AG513" s="50"/>
      <c r="AH513" s="50"/>
      <c r="AI513" s="50"/>
      <c r="AJ513" s="50"/>
      <c r="AK513" s="50"/>
      <c r="AL513" s="50"/>
      <c r="AM513" s="50"/>
      <c r="AN513" s="50"/>
      <c r="AO513" s="50"/>
      <c r="AP513" s="50"/>
      <c r="AQ513" s="50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50"/>
      <c r="BE513" s="50"/>
      <c r="BF513" s="50"/>
      <c r="BG513" s="50"/>
      <c r="BH513" s="50"/>
      <c r="BI513" s="50"/>
      <c r="BJ513" s="50"/>
      <c r="BK513" s="50"/>
      <c r="BL513" s="50"/>
      <c r="BM513" s="50"/>
      <c r="BN513" s="50"/>
    </row>
    <row r="514">
      <c r="A514" s="50"/>
      <c r="B514" s="50"/>
      <c r="C514" s="50"/>
      <c r="D514" s="50"/>
      <c r="E514" s="158"/>
      <c r="F514" s="175"/>
      <c r="G514" s="175"/>
      <c r="H514" s="175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168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50"/>
      <c r="BE514" s="50"/>
      <c r="BF514" s="50"/>
      <c r="BG514" s="50"/>
      <c r="BH514" s="50"/>
      <c r="BI514" s="50"/>
      <c r="BJ514" s="50"/>
      <c r="BK514" s="50"/>
      <c r="BL514" s="50"/>
      <c r="BM514" s="50"/>
      <c r="BN514" s="50"/>
    </row>
    <row r="515">
      <c r="A515" s="50"/>
      <c r="B515" s="50"/>
      <c r="C515" s="50"/>
      <c r="D515" s="50"/>
      <c r="E515" s="158"/>
      <c r="F515" s="175"/>
      <c r="G515" s="175"/>
      <c r="H515" s="175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168"/>
      <c r="AF515" s="50"/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  <c r="AQ515" s="50"/>
      <c r="AR515" s="50"/>
      <c r="AS515" s="50"/>
      <c r="AT515" s="50"/>
      <c r="AU515" s="50"/>
      <c r="AV515" s="50"/>
      <c r="AW515" s="50"/>
      <c r="AX515" s="50"/>
      <c r="AY515" s="50"/>
      <c r="AZ515" s="50"/>
      <c r="BA515" s="50"/>
      <c r="BB515" s="50"/>
      <c r="BC515" s="50"/>
      <c r="BD515" s="50"/>
      <c r="BE515" s="50"/>
      <c r="BF515" s="50"/>
      <c r="BG515" s="50"/>
      <c r="BH515" s="50"/>
      <c r="BI515" s="50"/>
      <c r="BJ515" s="50"/>
      <c r="BK515" s="50"/>
      <c r="BL515" s="50"/>
      <c r="BM515" s="50"/>
      <c r="BN515" s="50"/>
    </row>
    <row r="516">
      <c r="A516" s="50"/>
      <c r="B516" s="50"/>
      <c r="C516" s="50"/>
      <c r="D516" s="50"/>
      <c r="E516" s="158"/>
      <c r="F516" s="175"/>
      <c r="G516" s="175"/>
      <c r="H516" s="175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168"/>
      <c r="AF516" s="50"/>
      <c r="AG516" s="50"/>
      <c r="AH516" s="50"/>
      <c r="AI516" s="50"/>
      <c r="AJ516" s="50"/>
      <c r="AK516" s="50"/>
      <c r="AL516" s="50"/>
      <c r="AM516" s="50"/>
      <c r="AN516" s="50"/>
      <c r="AO516" s="50"/>
      <c r="AP516" s="50"/>
      <c r="AQ516" s="50"/>
      <c r="AR516" s="50"/>
      <c r="AS516" s="50"/>
      <c r="AT516" s="50"/>
      <c r="AU516" s="50"/>
      <c r="AV516" s="50"/>
      <c r="AW516" s="50"/>
      <c r="AX516" s="50"/>
      <c r="AY516" s="50"/>
      <c r="AZ516" s="50"/>
      <c r="BA516" s="50"/>
      <c r="BB516" s="50"/>
      <c r="BC516" s="50"/>
      <c r="BD516" s="50"/>
      <c r="BE516" s="50"/>
      <c r="BF516" s="50"/>
      <c r="BG516" s="50"/>
      <c r="BH516" s="50"/>
      <c r="BI516" s="50"/>
      <c r="BJ516" s="50"/>
      <c r="BK516" s="50"/>
      <c r="BL516" s="50"/>
      <c r="BM516" s="50"/>
      <c r="BN516" s="50"/>
    </row>
    <row r="517">
      <c r="A517" s="50"/>
      <c r="B517" s="50"/>
      <c r="C517" s="50"/>
      <c r="D517" s="50"/>
      <c r="E517" s="158"/>
      <c r="F517" s="175"/>
      <c r="G517" s="175"/>
      <c r="H517" s="175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168"/>
      <c r="AF517" s="50"/>
      <c r="AG517" s="50"/>
      <c r="AH517" s="50"/>
      <c r="AI517" s="50"/>
      <c r="AJ517" s="50"/>
      <c r="AK517" s="50"/>
      <c r="AL517" s="50"/>
      <c r="AM517" s="50"/>
      <c r="AN517" s="50"/>
      <c r="AO517" s="50"/>
      <c r="AP517" s="50"/>
      <c r="AQ517" s="50"/>
      <c r="AR517" s="50"/>
      <c r="AS517" s="50"/>
      <c r="AT517" s="50"/>
      <c r="AU517" s="50"/>
      <c r="AV517" s="50"/>
      <c r="AW517" s="50"/>
      <c r="AX517" s="50"/>
      <c r="AY517" s="50"/>
      <c r="AZ517" s="50"/>
      <c r="BA517" s="50"/>
      <c r="BB517" s="50"/>
      <c r="BC517" s="50"/>
      <c r="BD517" s="50"/>
      <c r="BE517" s="50"/>
      <c r="BF517" s="50"/>
      <c r="BG517" s="50"/>
      <c r="BH517" s="50"/>
      <c r="BI517" s="50"/>
      <c r="BJ517" s="50"/>
      <c r="BK517" s="50"/>
      <c r="BL517" s="50"/>
      <c r="BM517" s="50"/>
      <c r="BN517" s="50"/>
    </row>
    <row r="518">
      <c r="A518" s="50"/>
      <c r="B518" s="50"/>
      <c r="C518" s="50"/>
      <c r="D518" s="50"/>
      <c r="E518" s="158"/>
      <c r="F518" s="175"/>
      <c r="G518" s="175"/>
      <c r="H518" s="175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168"/>
      <c r="AF518" s="50"/>
      <c r="AG518" s="50"/>
      <c r="AH518" s="50"/>
      <c r="AI518" s="50"/>
      <c r="AJ518" s="50"/>
      <c r="AK518" s="50"/>
      <c r="AL518" s="50"/>
      <c r="AM518" s="50"/>
      <c r="AN518" s="50"/>
      <c r="AO518" s="50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0"/>
      <c r="BE518" s="50"/>
      <c r="BF518" s="50"/>
      <c r="BG518" s="50"/>
      <c r="BH518" s="50"/>
      <c r="BI518" s="50"/>
      <c r="BJ518" s="50"/>
      <c r="BK518" s="50"/>
      <c r="BL518" s="50"/>
      <c r="BM518" s="50"/>
      <c r="BN518" s="50"/>
    </row>
    <row r="519">
      <c r="A519" s="50"/>
      <c r="B519" s="50"/>
      <c r="C519" s="50"/>
      <c r="D519" s="50"/>
      <c r="E519" s="158"/>
      <c r="F519" s="175"/>
      <c r="G519" s="175"/>
      <c r="H519" s="175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168"/>
      <c r="AF519" s="50"/>
      <c r="AG519" s="50"/>
      <c r="AH519" s="50"/>
      <c r="AI519" s="50"/>
      <c r="AJ519" s="50"/>
      <c r="AK519" s="50"/>
      <c r="AL519" s="50"/>
      <c r="AM519" s="50"/>
      <c r="AN519" s="50"/>
      <c r="AO519" s="50"/>
      <c r="AP519" s="50"/>
      <c r="AQ519" s="50"/>
      <c r="AR519" s="50"/>
      <c r="AS519" s="50"/>
      <c r="AT519" s="50"/>
      <c r="AU519" s="50"/>
      <c r="AV519" s="50"/>
      <c r="AW519" s="50"/>
      <c r="AX519" s="50"/>
      <c r="AY519" s="50"/>
      <c r="AZ519" s="50"/>
      <c r="BA519" s="50"/>
      <c r="BB519" s="50"/>
      <c r="BC519" s="50"/>
      <c r="BD519" s="50"/>
      <c r="BE519" s="50"/>
      <c r="BF519" s="50"/>
      <c r="BG519" s="50"/>
      <c r="BH519" s="50"/>
      <c r="BI519" s="50"/>
      <c r="BJ519" s="50"/>
      <c r="BK519" s="50"/>
      <c r="BL519" s="50"/>
      <c r="BM519" s="50"/>
      <c r="BN519" s="50"/>
    </row>
    <row r="520">
      <c r="A520" s="50"/>
      <c r="B520" s="50"/>
      <c r="C520" s="50"/>
      <c r="D520" s="50"/>
      <c r="E520" s="158"/>
      <c r="F520" s="175"/>
      <c r="G520" s="175"/>
      <c r="H520" s="175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168"/>
      <c r="AF520" s="50"/>
      <c r="AG520" s="50"/>
      <c r="AH520" s="50"/>
      <c r="AI520" s="50"/>
      <c r="AJ520" s="50"/>
      <c r="AK520" s="50"/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  <c r="AV520" s="50"/>
      <c r="AW520" s="50"/>
      <c r="AX520" s="50"/>
      <c r="AY520" s="50"/>
      <c r="AZ520" s="50"/>
      <c r="BA520" s="50"/>
      <c r="BB520" s="50"/>
      <c r="BC520" s="50"/>
      <c r="BD520" s="50"/>
      <c r="BE520" s="50"/>
      <c r="BF520" s="50"/>
      <c r="BG520" s="50"/>
      <c r="BH520" s="50"/>
      <c r="BI520" s="50"/>
      <c r="BJ520" s="50"/>
      <c r="BK520" s="50"/>
      <c r="BL520" s="50"/>
      <c r="BM520" s="50"/>
      <c r="BN520" s="50"/>
    </row>
    <row r="521">
      <c r="A521" s="50"/>
      <c r="B521" s="50"/>
      <c r="C521" s="50"/>
      <c r="D521" s="50"/>
      <c r="E521" s="158"/>
      <c r="F521" s="175"/>
      <c r="G521" s="175"/>
      <c r="H521" s="175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168"/>
      <c r="AF521" s="50"/>
      <c r="AG521" s="50"/>
      <c r="AH521" s="50"/>
      <c r="AI521" s="50"/>
      <c r="AJ521" s="50"/>
      <c r="AK521" s="50"/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  <c r="AV521" s="50"/>
      <c r="AW521" s="50"/>
      <c r="AX521" s="50"/>
      <c r="AY521" s="50"/>
      <c r="AZ521" s="50"/>
      <c r="BA521" s="50"/>
      <c r="BB521" s="50"/>
      <c r="BC521" s="50"/>
      <c r="BD521" s="50"/>
      <c r="BE521" s="50"/>
      <c r="BF521" s="50"/>
      <c r="BG521" s="50"/>
      <c r="BH521" s="50"/>
      <c r="BI521" s="50"/>
      <c r="BJ521" s="50"/>
      <c r="BK521" s="50"/>
      <c r="BL521" s="50"/>
      <c r="BM521" s="50"/>
      <c r="BN521" s="50"/>
    </row>
    <row r="522">
      <c r="A522" s="50"/>
      <c r="B522" s="50"/>
      <c r="C522" s="50"/>
      <c r="D522" s="50"/>
      <c r="E522" s="158"/>
      <c r="F522" s="175"/>
      <c r="G522" s="175"/>
      <c r="H522" s="175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168"/>
      <c r="AF522" s="50"/>
      <c r="AG522" s="50"/>
      <c r="AH522" s="50"/>
      <c r="AI522" s="50"/>
      <c r="AJ522" s="50"/>
      <c r="AK522" s="50"/>
      <c r="AL522" s="50"/>
      <c r="AM522" s="50"/>
      <c r="AN522" s="50"/>
      <c r="AO522" s="50"/>
      <c r="AP522" s="50"/>
      <c r="AQ522" s="50"/>
      <c r="AR522" s="50"/>
      <c r="AS522" s="50"/>
      <c r="AT522" s="50"/>
      <c r="AU522" s="50"/>
      <c r="AV522" s="50"/>
      <c r="AW522" s="50"/>
      <c r="AX522" s="50"/>
      <c r="AY522" s="50"/>
      <c r="AZ522" s="50"/>
      <c r="BA522" s="50"/>
      <c r="BB522" s="50"/>
      <c r="BC522" s="50"/>
      <c r="BD522" s="50"/>
      <c r="BE522" s="50"/>
      <c r="BF522" s="50"/>
      <c r="BG522" s="50"/>
      <c r="BH522" s="50"/>
      <c r="BI522" s="50"/>
      <c r="BJ522" s="50"/>
      <c r="BK522" s="50"/>
      <c r="BL522" s="50"/>
      <c r="BM522" s="50"/>
      <c r="BN522" s="50"/>
    </row>
    <row r="523">
      <c r="A523" s="50"/>
      <c r="B523" s="50"/>
      <c r="C523" s="50"/>
      <c r="D523" s="50"/>
      <c r="E523" s="158"/>
      <c r="F523" s="175"/>
      <c r="G523" s="175"/>
      <c r="H523" s="175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168"/>
      <c r="AF523" s="50"/>
      <c r="AG523" s="50"/>
      <c r="AH523" s="50"/>
      <c r="AI523" s="50"/>
      <c r="AJ523" s="50"/>
      <c r="AK523" s="50"/>
      <c r="AL523" s="50"/>
      <c r="AM523" s="50"/>
      <c r="AN523" s="50"/>
      <c r="AO523" s="50"/>
      <c r="AP523" s="50"/>
      <c r="AQ523" s="50"/>
      <c r="AR523" s="50"/>
      <c r="AS523" s="50"/>
      <c r="AT523" s="50"/>
      <c r="AU523" s="50"/>
      <c r="AV523" s="50"/>
      <c r="AW523" s="50"/>
      <c r="AX523" s="50"/>
      <c r="AY523" s="50"/>
      <c r="AZ523" s="50"/>
      <c r="BA523" s="50"/>
      <c r="BB523" s="50"/>
      <c r="BC523" s="50"/>
      <c r="BD523" s="50"/>
      <c r="BE523" s="50"/>
      <c r="BF523" s="50"/>
      <c r="BG523" s="50"/>
      <c r="BH523" s="50"/>
      <c r="BI523" s="50"/>
      <c r="BJ523" s="50"/>
      <c r="BK523" s="50"/>
      <c r="BL523" s="50"/>
      <c r="BM523" s="50"/>
      <c r="BN523" s="50"/>
    </row>
    <row r="524">
      <c r="A524" s="50"/>
      <c r="B524" s="50"/>
      <c r="C524" s="50"/>
      <c r="D524" s="50"/>
      <c r="E524" s="158"/>
      <c r="F524" s="175"/>
      <c r="G524" s="175"/>
      <c r="H524" s="175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168"/>
      <c r="AF524" s="50"/>
      <c r="AG524" s="50"/>
      <c r="AH524" s="50"/>
      <c r="AI524" s="50"/>
      <c r="AJ524" s="50"/>
      <c r="AK524" s="50"/>
      <c r="AL524" s="50"/>
      <c r="AM524" s="50"/>
      <c r="AN524" s="50"/>
      <c r="AO524" s="50"/>
      <c r="AP524" s="50"/>
      <c r="AQ524" s="50"/>
      <c r="AR524" s="50"/>
      <c r="AS524" s="50"/>
      <c r="AT524" s="50"/>
      <c r="AU524" s="50"/>
      <c r="AV524" s="50"/>
      <c r="AW524" s="50"/>
      <c r="AX524" s="50"/>
      <c r="AY524" s="50"/>
      <c r="AZ524" s="50"/>
      <c r="BA524" s="50"/>
      <c r="BB524" s="50"/>
      <c r="BC524" s="50"/>
      <c r="BD524" s="50"/>
      <c r="BE524" s="50"/>
      <c r="BF524" s="50"/>
      <c r="BG524" s="50"/>
      <c r="BH524" s="50"/>
      <c r="BI524" s="50"/>
      <c r="BJ524" s="50"/>
      <c r="BK524" s="50"/>
      <c r="BL524" s="50"/>
      <c r="BM524" s="50"/>
      <c r="BN524" s="50"/>
    </row>
    <row r="525">
      <c r="A525" s="50"/>
      <c r="B525" s="50"/>
      <c r="C525" s="50"/>
      <c r="D525" s="50"/>
      <c r="E525" s="158"/>
      <c r="F525" s="175"/>
      <c r="G525" s="175"/>
      <c r="H525" s="175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168"/>
      <c r="AF525" s="50"/>
      <c r="AG525" s="50"/>
      <c r="AH525" s="50"/>
      <c r="AI525" s="50"/>
      <c r="AJ525" s="50"/>
      <c r="AK525" s="50"/>
      <c r="AL525" s="50"/>
      <c r="AM525" s="50"/>
      <c r="AN525" s="50"/>
      <c r="AO525" s="50"/>
      <c r="AP525" s="50"/>
      <c r="AQ525" s="50"/>
      <c r="AR525" s="50"/>
      <c r="AS525" s="50"/>
      <c r="AT525" s="50"/>
      <c r="AU525" s="50"/>
      <c r="AV525" s="50"/>
      <c r="AW525" s="50"/>
      <c r="AX525" s="50"/>
      <c r="AY525" s="50"/>
      <c r="AZ525" s="50"/>
      <c r="BA525" s="50"/>
      <c r="BB525" s="50"/>
      <c r="BC525" s="50"/>
      <c r="BD525" s="50"/>
      <c r="BE525" s="50"/>
      <c r="BF525" s="50"/>
      <c r="BG525" s="50"/>
      <c r="BH525" s="50"/>
      <c r="BI525" s="50"/>
      <c r="BJ525" s="50"/>
      <c r="BK525" s="50"/>
      <c r="BL525" s="50"/>
      <c r="BM525" s="50"/>
      <c r="BN525" s="50"/>
    </row>
    <row r="526">
      <c r="A526" s="50"/>
      <c r="B526" s="50"/>
      <c r="C526" s="50"/>
      <c r="D526" s="50"/>
      <c r="E526" s="158"/>
      <c r="F526" s="175"/>
      <c r="G526" s="175"/>
      <c r="H526" s="175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168"/>
      <c r="AF526" s="50"/>
      <c r="AG526" s="50"/>
      <c r="AH526" s="50"/>
      <c r="AI526" s="50"/>
      <c r="AJ526" s="50"/>
      <c r="AK526" s="50"/>
      <c r="AL526" s="50"/>
      <c r="AM526" s="50"/>
      <c r="AN526" s="50"/>
      <c r="AO526" s="50"/>
      <c r="AP526" s="50"/>
      <c r="AQ526" s="50"/>
      <c r="AR526" s="50"/>
      <c r="AS526" s="50"/>
      <c r="AT526" s="50"/>
      <c r="AU526" s="50"/>
      <c r="AV526" s="50"/>
      <c r="AW526" s="50"/>
      <c r="AX526" s="50"/>
      <c r="AY526" s="50"/>
      <c r="AZ526" s="50"/>
      <c r="BA526" s="50"/>
      <c r="BB526" s="50"/>
      <c r="BC526" s="50"/>
      <c r="BD526" s="50"/>
      <c r="BE526" s="50"/>
      <c r="BF526" s="50"/>
      <c r="BG526" s="50"/>
      <c r="BH526" s="50"/>
      <c r="BI526" s="50"/>
      <c r="BJ526" s="50"/>
      <c r="BK526" s="50"/>
      <c r="BL526" s="50"/>
      <c r="BM526" s="50"/>
      <c r="BN526" s="50"/>
    </row>
    <row r="527">
      <c r="A527" s="50"/>
      <c r="B527" s="50"/>
      <c r="C527" s="50"/>
      <c r="D527" s="50"/>
      <c r="E527" s="158"/>
      <c r="F527" s="175"/>
      <c r="G527" s="175"/>
      <c r="H527" s="175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168"/>
      <c r="AF527" s="50"/>
      <c r="AG527" s="50"/>
      <c r="AH527" s="50"/>
      <c r="AI527" s="50"/>
      <c r="AJ527" s="50"/>
      <c r="AK527" s="50"/>
      <c r="AL527" s="50"/>
      <c r="AM527" s="50"/>
      <c r="AN527" s="50"/>
      <c r="AO527" s="50"/>
      <c r="AP527" s="50"/>
      <c r="AQ527" s="50"/>
      <c r="AR527" s="50"/>
      <c r="AS527" s="50"/>
      <c r="AT527" s="50"/>
      <c r="AU527" s="50"/>
      <c r="AV527" s="50"/>
      <c r="AW527" s="50"/>
      <c r="AX527" s="50"/>
      <c r="AY527" s="50"/>
      <c r="AZ527" s="50"/>
      <c r="BA527" s="50"/>
      <c r="BB527" s="50"/>
      <c r="BC527" s="50"/>
      <c r="BD527" s="50"/>
      <c r="BE527" s="50"/>
      <c r="BF527" s="50"/>
      <c r="BG527" s="50"/>
      <c r="BH527" s="50"/>
      <c r="BI527" s="50"/>
      <c r="BJ527" s="50"/>
      <c r="BK527" s="50"/>
      <c r="BL527" s="50"/>
      <c r="BM527" s="50"/>
      <c r="BN527" s="50"/>
    </row>
    <row r="528">
      <c r="A528" s="50"/>
      <c r="B528" s="50"/>
      <c r="C528" s="50"/>
      <c r="D528" s="50"/>
      <c r="E528" s="158"/>
      <c r="F528" s="175"/>
      <c r="G528" s="175"/>
      <c r="H528" s="175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168"/>
      <c r="AF528" s="50"/>
      <c r="AG528" s="50"/>
      <c r="AH528" s="50"/>
      <c r="AI528" s="50"/>
      <c r="AJ528" s="50"/>
      <c r="AK528" s="50"/>
      <c r="AL528" s="50"/>
      <c r="AM528" s="50"/>
      <c r="AN528" s="50"/>
      <c r="AO528" s="50"/>
      <c r="AP528" s="50"/>
      <c r="AQ528" s="50"/>
      <c r="AR528" s="50"/>
      <c r="AS528" s="50"/>
      <c r="AT528" s="50"/>
      <c r="AU528" s="50"/>
      <c r="AV528" s="50"/>
      <c r="AW528" s="50"/>
      <c r="AX528" s="50"/>
      <c r="AY528" s="50"/>
      <c r="AZ528" s="50"/>
      <c r="BA528" s="50"/>
      <c r="BB528" s="50"/>
      <c r="BC528" s="50"/>
      <c r="BD528" s="50"/>
      <c r="BE528" s="50"/>
      <c r="BF528" s="50"/>
      <c r="BG528" s="50"/>
      <c r="BH528" s="50"/>
      <c r="BI528" s="50"/>
      <c r="BJ528" s="50"/>
      <c r="BK528" s="50"/>
      <c r="BL528" s="50"/>
      <c r="BM528" s="50"/>
      <c r="BN528" s="50"/>
    </row>
    <row r="529">
      <c r="A529" s="50"/>
      <c r="B529" s="50"/>
      <c r="C529" s="50"/>
      <c r="D529" s="50"/>
      <c r="E529" s="158"/>
      <c r="F529" s="175"/>
      <c r="G529" s="175"/>
      <c r="H529" s="175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168"/>
      <c r="AF529" s="50"/>
      <c r="AG529" s="50"/>
      <c r="AH529" s="50"/>
      <c r="AI529" s="50"/>
      <c r="AJ529" s="50"/>
      <c r="AK529" s="50"/>
      <c r="AL529" s="50"/>
      <c r="AM529" s="50"/>
      <c r="AN529" s="50"/>
      <c r="AO529" s="50"/>
      <c r="AP529" s="50"/>
      <c r="AQ529" s="50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0"/>
      <c r="BC529" s="50"/>
      <c r="BD529" s="50"/>
      <c r="BE529" s="50"/>
      <c r="BF529" s="50"/>
      <c r="BG529" s="50"/>
      <c r="BH529" s="50"/>
      <c r="BI529" s="50"/>
      <c r="BJ529" s="50"/>
      <c r="BK529" s="50"/>
      <c r="BL529" s="50"/>
      <c r="BM529" s="50"/>
      <c r="BN529" s="50"/>
    </row>
    <row r="530">
      <c r="A530" s="50"/>
      <c r="B530" s="50"/>
      <c r="C530" s="50"/>
      <c r="D530" s="50"/>
      <c r="E530" s="158"/>
      <c r="F530" s="175"/>
      <c r="G530" s="175"/>
      <c r="H530" s="175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168"/>
      <c r="AF530" s="50"/>
      <c r="AG530" s="50"/>
      <c r="AH530" s="50"/>
      <c r="AI530" s="50"/>
      <c r="AJ530" s="50"/>
      <c r="AK530" s="50"/>
      <c r="AL530" s="50"/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50"/>
      <c r="BE530" s="50"/>
      <c r="BF530" s="50"/>
      <c r="BG530" s="50"/>
      <c r="BH530" s="50"/>
      <c r="BI530" s="50"/>
      <c r="BJ530" s="50"/>
      <c r="BK530" s="50"/>
      <c r="BL530" s="50"/>
      <c r="BM530" s="50"/>
      <c r="BN530" s="50"/>
    </row>
    <row r="531">
      <c r="A531" s="50"/>
      <c r="B531" s="50"/>
      <c r="C531" s="50"/>
      <c r="D531" s="50"/>
      <c r="E531" s="158"/>
      <c r="F531" s="175"/>
      <c r="G531" s="175"/>
      <c r="H531" s="175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168"/>
      <c r="AF531" s="50"/>
      <c r="AG531" s="50"/>
      <c r="AH531" s="50"/>
      <c r="AI531" s="50"/>
      <c r="AJ531" s="50"/>
      <c r="AK531" s="50"/>
      <c r="AL531" s="50"/>
      <c r="AM531" s="50"/>
      <c r="AN531" s="50"/>
      <c r="AO531" s="50"/>
      <c r="AP531" s="50"/>
      <c r="AQ531" s="50"/>
      <c r="AR531" s="50"/>
      <c r="AS531" s="50"/>
      <c r="AT531" s="50"/>
      <c r="AU531" s="50"/>
      <c r="AV531" s="50"/>
      <c r="AW531" s="50"/>
      <c r="AX531" s="50"/>
      <c r="AY531" s="50"/>
      <c r="AZ531" s="50"/>
      <c r="BA531" s="50"/>
      <c r="BB531" s="50"/>
      <c r="BC531" s="50"/>
      <c r="BD531" s="50"/>
      <c r="BE531" s="50"/>
      <c r="BF531" s="50"/>
      <c r="BG531" s="50"/>
      <c r="BH531" s="50"/>
      <c r="BI531" s="50"/>
      <c r="BJ531" s="50"/>
      <c r="BK531" s="50"/>
      <c r="BL531" s="50"/>
      <c r="BM531" s="50"/>
      <c r="BN531" s="50"/>
    </row>
    <row r="532">
      <c r="A532" s="50"/>
      <c r="B532" s="50"/>
      <c r="C532" s="50"/>
      <c r="D532" s="50"/>
      <c r="E532" s="158"/>
      <c r="F532" s="175"/>
      <c r="G532" s="175"/>
      <c r="H532" s="175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168"/>
      <c r="AF532" s="50"/>
      <c r="AG532" s="50"/>
      <c r="AH532" s="50"/>
      <c r="AI532" s="50"/>
      <c r="AJ532" s="50"/>
      <c r="AK532" s="50"/>
      <c r="AL532" s="50"/>
      <c r="AM532" s="50"/>
      <c r="AN532" s="50"/>
      <c r="AO532" s="50"/>
      <c r="AP532" s="50"/>
      <c r="AQ532" s="50"/>
      <c r="AR532" s="50"/>
      <c r="AS532" s="50"/>
      <c r="AT532" s="50"/>
      <c r="AU532" s="50"/>
      <c r="AV532" s="50"/>
      <c r="AW532" s="50"/>
      <c r="AX532" s="50"/>
      <c r="AY532" s="50"/>
      <c r="AZ532" s="50"/>
      <c r="BA532" s="50"/>
      <c r="BB532" s="50"/>
      <c r="BC532" s="50"/>
      <c r="BD532" s="50"/>
      <c r="BE532" s="50"/>
      <c r="BF532" s="50"/>
      <c r="BG532" s="50"/>
      <c r="BH532" s="50"/>
      <c r="BI532" s="50"/>
      <c r="BJ532" s="50"/>
      <c r="BK532" s="50"/>
      <c r="BL532" s="50"/>
      <c r="BM532" s="50"/>
      <c r="BN532" s="50"/>
    </row>
    <row r="533">
      <c r="A533" s="50"/>
      <c r="B533" s="50"/>
      <c r="C533" s="50"/>
      <c r="D533" s="50"/>
      <c r="E533" s="158"/>
      <c r="F533" s="175"/>
      <c r="G533" s="175"/>
      <c r="H533" s="175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168"/>
      <c r="AF533" s="50"/>
      <c r="AG533" s="50"/>
      <c r="AH533" s="50"/>
      <c r="AI533" s="50"/>
      <c r="AJ533" s="50"/>
      <c r="AK533" s="50"/>
      <c r="AL533" s="50"/>
      <c r="AM533" s="50"/>
      <c r="AN533" s="50"/>
      <c r="AO533" s="50"/>
      <c r="AP533" s="50"/>
      <c r="AQ533" s="50"/>
      <c r="AR533" s="50"/>
      <c r="AS533" s="50"/>
      <c r="AT533" s="50"/>
      <c r="AU533" s="50"/>
      <c r="AV533" s="50"/>
      <c r="AW533" s="50"/>
      <c r="AX533" s="50"/>
      <c r="AY533" s="50"/>
      <c r="AZ533" s="50"/>
      <c r="BA533" s="50"/>
      <c r="BB533" s="50"/>
      <c r="BC533" s="50"/>
      <c r="BD533" s="50"/>
      <c r="BE533" s="50"/>
      <c r="BF533" s="50"/>
      <c r="BG533" s="50"/>
      <c r="BH533" s="50"/>
      <c r="BI533" s="50"/>
      <c r="BJ533" s="50"/>
      <c r="BK533" s="50"/>
      <c r="BL533" s="50"/>
      <c r="BM533" s="50"/>
      <c r="BN533" s="50"/>
    </row>
    <row r="534">
      <c r="A534" s="50"/>
      <c r="B534" s="50"/>
      <c r="C534" s="50"/>
      <c r="D534" s="50"/>
      <c r="E534" s="158"/>
      <c r="F534" s="175"/>
      <c r="G534" s="175"/>
      <c r="H534" s="175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168"/>
      <c r="AF534" s="50"/>
      <c r="AG534" s="50"/>
      <c r="AH534" s="50"/>
      <c r="AI534" s="50"/>
      <c r="AJ534" s="50"/>
      <c r="AK534" s="50"/>
      <c r="AL534" s="50"/>
      <c r="AM534" s="50"/>
      <c r="AN534" s="50"/>
      <c r="AO534" s="50"/>
      <c r="AP534" s="50"/>
      <c r="AQ534" s="50"/>
      <c r="AR534" s="50"/>
      <c r="AS534" s="50"/>
      <c r="AT534" s="50"/>
      <c r="AU534" s="50"/>
      <c r="AV534" s="50"/>
      <c r="AW534" s="50"/>
      <c r="AX534" s="50"/>
      <c r="AY534" s="50"/>
      <c r="AZ534" s="50"/>
      <c r="BA534" s="50"/>
      <c r="BB534" s="50"/>
      <c r="BC534" s="50"/>
      <c r="BD534" s="50"/>
      <c r="BE534" s="50"/>
      <c r="BF534" s="50"/>
      <c r="BG534" s="50"/>
      <c r="BH534" s="50"/>
      <c r="BI534" s="50"/>
      <c r="BJ534" s="50"/>
      <c r="BK534" s="50"/>
      <c r="BL534" s="50"/>
      <c r="BM534" s="50"/>
      <c r="BN534" s="50"/>
    </row>
    <row r="535">
      <c r="A535" s="50"/>
      <c r="B535" s="50"/>
      <c r="C535" s="50"/>
      <c r="D535" s="50"/>
      <c r="E535" s="158"/>
      <c r="F535" s="175"/>
      <c r="G535" s="175"/>
      <c r="H535" s="175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168"/>
      <c r="AF535" s="50"/>
      <c r="AG535" s="50"/>
      <c r="AH535" s="50"/>
      <c r="AI535" s="50"/>
      <c r="AJ535" s="50"/>
      <c r="AK535" s="50"/>
      <c r="AL535" s="50"/>
      <c r="AM535" s="50"/>
      <c r="AN535" s="50"/>
      <c r="AO535" s="50"/>
      <c r="AP535" s="50"/>
      <c r="AQ535" s="50"/>
      <c r="AR535" s="50"/>
      <c r="AS535" s="50"/>
      <c r="AT535" s="50"/>
      <c r="AU535" s="50"/>
      <c r="AV535" s="50"/>
      <c r="AW535" s="50"/>
      <c r="AX535" s="50"/>
      <c r="AY535" s="50"/>
      <c r="AZ535" s="50"/>
      <c r="BA535" s="50"/>
      <c r="BB535" s="50"/>
      <c r="BC535" s="50"/>
      <c r="BD535" s="50"/>
      <c r="BE535" s="50"/>
      <c r="BF535" s="50"/>
      <c r="BG535" s="50"/>
      <c r="BH535" s="50"/>
      <c r="BI535" s="50"/>
      <c r="BJ535" s="50"/>
      <c r="BK535" s="50"/>
      <c r="BL535" s="50"/>
      <c r="BM535" s="50"/>
      <c r="BN535" s="50"/>
    </row>
    <row r="536">
      <c r="A536" s="50"/>
      <c r="B536" s="50"/>
      <c r="C536" s="50"/>
      <c r="D536" s="50"/>
      <c r="E536" s="158"/>
      <c r="F536" s="175"/>
      <c r="G536" s="175"/>
      <c r="H536" s="175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168"/>
      <c r="AF536" s="50"/>
      <c r="AG536" s="50"/>
      <c r="AH536" s="50"/>
      <c r="AI536" s="50"/>
      <c r="AJ536" s="50"/>
      <c r="AK536" s="50"/>
      <c r="AL536" s="50"/>
      <c r="AM536" s="50"/>
      <c r="AN536" s="50"/>
      <c r="AO536" s="50"/>
      <c r="AP536" s="50"/>
      <c r="AQ536" s="50"/>
      <c r="AR536" s="50"/>
      <c r="AS536" s="50"/>
      <c r="AT536" s="50"/>
      <c r="AU536" s="50"/>
      <c r="AV536" s="50"/>
      <c r="AW536" s="50"/>
      <c r="AX536" s="50"/>
      <c r="AY536" s="50"/>
      <c r="AZ536" s="50"/>
      <c r="BA536" s="50"/>
      <c r="BB536" s="50"/>
      <c r="BC536" s="50"/>
      <c r="BD536" s="50"/>
      <c r="BE536" s="50"/>
      <c r="BF536" s="50"/>
      <c r="BG536" s="50"/>
      <c r="BH536" s="50"/>
      <c r="BI536" s="50"/>
      <c r="BJ536" s="50"/>
      <c r="BK536" s="50"/>
      <c r="BL536" s="50"/>
      <c r="BM536" s="50"/>
      <c r="BN536" s="50"/>
    </row>
    <row r="537">
      <c r="A537" s="50"/>
      <c r="B537" s="50"/>
      <c r="C537" s="50"/>
      <c r="D537" s="50"/>
      <c r="E537" s="158"/>
      <c r="F537" s="175"/>
      <c r="G537" s="175"/>
      <c r="H537" s="175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168"/>
      <c r="AF537" s="50"/>
      <c r="AG537" s="50"/>
      <c r="AH537" s="50"/>
      <c r="AI537" s="50"/>
      <c r="AJ537" s="50"/>
      <c r="AK537" s="50"/>
      <c r="AL537" s="50"/>
      <c r="AM537" s="50"/>
      <c r="AN537" s="50"/>
      <c r="AO537" s="50"/>
      <c r="AP537" s="50"/>
      <c r="AQ537" s="50"/>
      <c r="AR537" s="50"/>
      <c r="AS537" s="50"/>
      <c r="AT537" s="50"/>
      <c r="AU537" s="50"/>
      <c r="AV537" s="50"/>
      <c r="AW537" s="50"/>
      <c r="AX537" s="50"/>
      <c r="AY537" s="50"/>
      <c r="AZ537" s="50"/>
      <c r="BA537" s="50"/>
      <c r="BB537" s="50"/>
      <c r="BC537" s="50"/>
      <c r="BD537" s="50"/>
      <c r="BE537" s="50"/>
      <c r="BF537" s="50"/>
      <c r="BG537" s="50"/>
      <c r="BH537" s="50"/>
      <c r="BI537" s="50"/>
      <c r="BJ537" s="50"/>
      <c r="BK537" s="50"/>
      <c r="BL537" s="50"/>
      <c r="BM537" s="50"/>
      <c r="BN537" s="50"/>
    </row>
    <row r="538">
      <c r="A538" s="50"/>
      <c r="B538" s="50"/>
      <c r="C538" s="50"/>
      <c r="D538" s="50"/>
      <c r="E538" s="158"/>
      <c r="F538" s="175"/>
      <c r="G538" s="175"/>
      <c r="H538" s="175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168"/>
      <c r="AF538" s="50"/>
      <c r="AG538" s="50"/>
      <c r="AH538" s="50"/>
      <c r="AI538" s="50"/>
      <c r="AJ538" s="50"/>
      <c r="AK538" s="50"/>
      <c r="AL538" s="50"/>
      <c r="AM538" s="50"/>
      <c r="AN538" s="50"/>
      <c r="AO538" s="50"/>
      <c r="AP538" s="50"/>
      <c r="AQ538" s="50"/>
      <c r="AR538" s="50"/>
      <c r="AS538" s="50"/>
      <c r="AT538" s="50"/>
      <c r="AU538" s="50"/>
      <c r="AV538" s="50"/>
      <c r="AW538" s="50"/>
      <c r="AX538" s="50"/>
      <c r="AY538" s="50"/>
      <c r="AZ538" s="50"/>
      <c r="BA538" s="50"/>
      <c r="BB538" s="50"/>
      <c r="BC538" s="50"/>
      <c r="BD538" s="50"/>
      <c r="BE538" s="50"/>
      <c r="BF538" s="50"/>
      <c r="BG538" s="50"/>
      <c r="BH538" s="50"/>
      <c r="BI538" s="50"/>
      <c r="BJ538" s="50"/>
      <c r="BK538" s="50"/>
      <c r="BL538" s="50"/>
      <c r="BM538" s="50"/>
      <c r="BN538" s="50"/>
    </row>
    <row r="539">
      <c r="A539" s="50"/>
      <c r="B539" s="50"/>
      <c r="C539" s="50"/>
      <c r="D539" s="50"/>
      <c r="E539" s="158"/>
      <c r="F539" s="175"/>
      <c r="G539" s="175"/>
      <c r="H539" s="175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168"/>
      <c r="AF539" s="50"/>
      <c r="AG539" s="50"/>
      <c r="AH539" s="50"/>
      <c r="AI539" s="50"/>
      <c r="AJ539" s="50"/>
      <c r="AK539" s="50"/>
      <c r="AL539" s="50"/>
      <c r="AM539" s="50"/>
      <c r="AN539" s="50"/>
      <c r="AO539" s="50"/>
      <c r="AP539" s="50"/>
      <c r="AQ539" s="50"/>
      <c r="AR539" s="50"/>
      <c r="AS539" s="50"/>
      <c r="AT539" s="50"/>
      <c r="AU539" s="50"/>
      <c r="AV539" s="50"/>
      <c r="AW539" s="50"/>
      <c r="AX539" s="50"/>
      <c r="AY539" s="50"/>
      <c r="AZ539" s="50"/>
      <c r="BA539" s="50"/>
      <c r="BB539" s="50"/>
      <c r="BC539" s="50"/>
      <c r="BD539" s="50"/>
      <c r="BE539" s="50"/>
      <c r="BF539" s="50"/>
      <c r="BG539" s="50"/>
      <c r="BH539" s="50"/>
      <c r="BI539" s="50"/>
      <c r="BJ539" s="50"/>
      <c r="BK539" s="50"/>
      <c r="BL539" s="50"/>
      <c r="BM539" s="50"/>
      <c r="BN539" s="50"/>
    </row>
    <row r="540">
      <c r="A540" s="50"/>
      <c r="B540" s="50"/>
      <c r="C540" s="50"/>
      <c r="D540" s="50"/>
      <c r="E540" s="158"/>
      <c r="F540" s="175"/>
      <c r="G540" s="175"/>
      <c r="H540" s="175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168"/>
      <c r="AF540" s="50"/>
      <c r="AG540" s="50"/>
      <c r="AH540" s="50"/>
      <c r="AI540" s="50"/>
      <c r="AJ540" s="50"/>
      <c r="AK540" s="50"/>
      <c r="AL540" s="50"/>
      <c r="AM540" s="50"/>
      <c r="AN540" s="50"/>
      <c r="AO540" s="50"/>
      <c r="AP540" s="50"/>
      <c r="AQ540" s="50"/>
      <c r="AR540" s="50"/>
      <c r="AS540" s="50"/>
      <c r="AT540" s="50"/>
      <c r="AU540" s="50"/>
      <c r="AV540" s="50"/>
      <c r="AW540" s="50"/>
      <c r="AX540" s="50"/>
      <c r="AY540" s="50"/>
      <c r="AZ540" s="50"/>
      <c r="BA540" s="50"/>
      <c r="BB540" s="50"/>
      <c r="BC540" s="50"/>
      <c r="BD540" s="50"/>
      <c r="BE540" s="50"/>
      <c r="BF540" s="50"/>
      <c r="BG540" s="50"/>
      <c r="BH540" s="50"/>
      <c r="BI540" s="50"/>
      <c r="BJ540" s="50"/>
      <c r="BK540" s="50"/>
      <c r="BL540" s="50"/>
      <c r="BM540" s="50"/>
      <c r="BN540" s="50"/>
    </row>
    <row r="541">
      <c r="A541" s="50"/>
      <c r="B541" s="50"/>
      <c r="C541" s="50"/>
      <c r="D541" s="50"/>
      <c r="E541" s="158"/>
      <c r="F541" s="175"/>
      <c r="G541" s="175"/>
      <c r="H541" s="175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168"/>
      <c r="AF541" s="50"/>
      <c r="AG541" s="50"/>
      <c r="AH541" s="50"/>
      <c r="AI541" s="50"/>
      <c r="AJ541" s="50"/>
      <c r="AK541" s="50"/>
      <c r="AL541" s="50"/>
      <c r="AM541" s="50"/>
      <c r="AN541" s="50"/>
      <c r="AO541" s="50"/>
      <c r="AP541" s="50"/>
      <c r="AQ541" s="50"/>
      <c r="AR541" s="50"/>
      <c r="AS541" s="50"/>
      <c r="AT541" s="50"/>
      <c r="AU541" s="50"/>
      <c r="AV541" s="50"/>
      <c r="AW541" s="50"/>
      <c r="AX541" s="50"/>
      <c r="AY541" s="50"/>
      <c r="AZ541" s="50"/>
      <c r="BA541" s="50"/>
      <c r="BB541" s="50"/>
      <c r="BC541" s="50"/>
      <c r="BD541" s="50"/>
      <c r="BE541" s="50"/>
      <c r="BF541" s="50"/>
      <c r="BG541" s="50"/>
      <c r="BH541" s="50"/>
      <c r="BI541" s="50"/>
      <c r="BJ541" s="50"/>
      <c r="BK541" s="50"/>
      <c r="BL541" s="50"/>
      <c r="BM541" s="50"/>
      <c r="BN541" s="50"/>
    </row>
    <row r="542">
      <c r="A542" s="50"/>
      <c r="B542" s="50"/>
      <c r="C542" s="50"/>
      <c r="D542" s="50"/>
      <c r="E542" s="158"/>
      <c r="F542" s="175"/>
      <c r="G542" s="175"/>
      <c r="H542" s="175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168"/>
      <c r="AF542" s="50"/>
      <c r="AG542" s="50"/>
      <c r="AH542" s="50"/>
      <c r="AI542" s="50"/>
      <c r="AJ542" s="50"/>
      <c r="AK542" s="50"/>
      <c r="AL542" s="50"/>
      <c r="AM542" s="50"/>
      <c r="AN542" s="50"/>
      <c r="AO542" s="50"/>
      <c r="AP542" s="50"/>
      <c r="AQ542" s="50"/>
      <c r="AR542" s="50"/>
      <c r="AS542" s="50"/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0"/>
      <c r="BE542" s="50"/>
      <c r="BF542" s="50"/>
      <c r="BG542" s="50"/>
      <c r="BH542" s="50"/>
      <c r="BI542" s="50"/>
      <c r="BJ542" s="50"/>
      <c r="BK542" s="50"/>
      <c r="BL542" s="50"/>
      <c r="BM542" s="50"/>
      <c r="BN542" s="50"/>
    </row>
    <row r="543">
      <c r="A543" s="50"/>
      <c r="B543" s="50"/>
      <c r="C543" s="50"/>
      <c r="D543" s="50"/>
      <c r="E543" s="158"/>
      <c r="F543" s="175"/>
      <c r="G543" s="175"/>
      <c r="H543" s="175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168"/>
      <c r="AF543" s="50"/>
      <c r="AG543" s="50"/>
      <c r="AH543" s="50"/>
      <c r="AI543" s="50"/>
      <c r="AJ543" s="50"/>
      <c r="AK543" s="50"/>
      <c r="AL543" s="50"/>
      <c r="AM543" s="50"/>
      <c r="AN543" s="50"/>
      <c r="AO543" s="50"/>
      <c r="AP543" s="50"/>
      <c r="AQ543" s="50"/>
      <c r="AR543" s="50"/>
      <c r="AS543" s="50"/>
      <c r="AT543" s="50"/>
      <c r="AU543" s="50"/>
      <c r="AV543" s="50"/>
      <c r="AW543" s="50"/>
      <c r="AX543" s="50"/>
      <c r="AY543" s="50"/>
      <c r="AZ543" s="50"/>
      <c r="BA543" s="50"/>
      <c r="BB543" s="50"/>
      <c r="BC543" s="50"/>
      <c r="BD543" s="50"/>
      <c r="BE543" s="50"/>
      <c r="BF543" s="50"/>
      <c r="BG543" s="50"/>
      <c r="BH543" s="50"/>
      <c r="BI543" s="50"/>
      <c r="BJ543" s="50"/>
      <c r="BK543" s="50"/>
      <c r="BL543" s="50"/>
      <c r="BM543" s="50"/>
      <c r="BN543" s="50"/>
    </row>
    <row r="544">
      <c r="A544" s="50"/>
      <c r="B544" s="50"/>
      <c r="C544" s="50"/>
      <c r="D544" s="50"/>
      <c r="E544" s="158"/>
      <c r="F544" s="175"/>
      <c r="G544" s="175"/>
      <c r="H544" s="175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168"/>
      <c r="AF544" s="50"/>
      <c r="AG544" s="50"/>
      <c r="AH544" s="50"/>
      <c r="AI544" s="50"/>
      <c r="AJ544" s="50"/>
      <c r="AK544" s="50"/>
      <c r="AL544" s="50"/>
      <c r="AM544" s="50"/>
      <c r="AN544" s="50"/>
      <c r="AO544" s="50"/>
      <c r="AP544" s="50"/>
      <c r="AQ544" s="50"/>
      <c r="AR544" s="50"/>
      <c r="AS544" s="50"/>
      <c r="AT544" s="50"/>
      <c r="AU544" s="50"/>
      <c r="AV544" s="50"/>
      <c r="AW544" s="50"/>
      <c r="AX544" s="50"/>
      <c r="AY544" s="50"/>
      <c r="AZ544" s="50"/>
      <c r="BA544" s="50"/>
      <c r="BB544" s="50"/>
      <c r="BC544" s="50"/>
      <c r="BD544" s="50"/>
      <c r="BE544" s="50"/>
      <c r="BF544" s="50"/>
      <c r="BG544" s="50"/>
      <c r="BH544" s="50"/>
      <c r="BI544" s="50"/>
      <c r="BJ544" s="50"/>
      <c r="BK544" s="50"/>
      <c r="BL544" s="50"/>
      <c r="BM544" s="50"/>
      <c r="BN544" s="50"/>
    </row>
    <row r="545">
      <c r="A545" s="50"/>
      <c r="B545" s="50"/>
      <c r="C545" s="50"/>
      <c r="D545" s="50"/>
      <c r="E545" s="158"/>
      <c r="F545" s="175"/>
      <c r="G545" s="175"/>
      <c r="H545" s="175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168"/>
      <c r="AF545" s="50"/>
      <c r="AG545" s="50"/>
      <c r="AH545" s="50"/>
      <c r="AI545" s="50"/>
      <c r="AJ545" s="50"/>
      <c r="AK545" s="50"/>
      <c r="AL545" s="50"/>
      <c r="AM545" s="50"/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</row>
    <row r="546">
      <c r="A546" s="50"/>
      <c r="B546" s="50"/>
      <c r="C546" s="50"/>
      <c r="D546" s="50"/>
      <c r="E546" s="158"/>
      <c r="F546" s="175"/>
      <c r="G546" s="175"/>
      <c r="H546" s="175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168"/>
      <c r="AF546" s="50"/>
      <c r="AG546" s="50"/>
      <c r="AH546" s="50"/>
      <c r="AI546" s="50"/>
      <c r="AJ546" s="50"/>
      <c r="AK546" s="50"/>
      <c r="AL546" s="50"/>
      <c r="AM546" s="50"/>
      <c r="AN546" s="50"/>
      <c r="AO546" s="50"/>
      <c r="AP546" s="50"/>
      <c r="AQ546" s="50"/>
      <c r="AR546" s="50"/>
      <c r="AS546" s="50"/>
      <c r="AT546" s="50"/>
      <c r="AU546" s="50"/>
      <c r="AV546" s="50"/>
      <c r="AW546" s="50"/>
      <c r="AX546" s="50"/>
      <c r="AY546" s="50"/>
      <c r="AZ546" s="50"/>
      <c r="BA546" s="50"/>
      <c r="BB546" s="50"/>
      <c r="BC546" s="50"/>
      <c r="BD546" s="50"/>
      <c r="BE546" s="50"/>
      <c r="BF546" s="50"/>
      <c r="BG546" s="50"/>
      <c r="BH546" s="50"/>
      <c r="BI546" s="50"/>
      <c r="BJ546" s="50"/>
      <c r="BK546" s="50"/>
      <c r="BL546" s="50"/>
      <c r="BM546" s="50"/>
      <c r="BN546" s="50"/>
    </row>
    <row r="547">
      <c r="A547" s="50"/>
      <c r="B547" s="50"/>
      <c r="C547" s="50"/>
      <c r="D547" s="50"/>
      <c r="E547" s="158"/>
      <c r="F547" s="175"/>
      <c r="G547" s="175"/>
      <c r="H547" s="175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168"/>
      <c r="AF547" s="50"/>
      <c r="AG547" s="50"/>
      <c r="AH547" s="50"/>
      <c r="AI547" s="50"/>
      <c r="AJ547" s="50"/>
      <c r="AK547" s="50"/>
      <c r="AL547" s="50"/>
      <c r="AM547" s="50"/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/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</row>
    <row r="548">
      <c r="A548" s="50"/>
      <c r="B548" s="50"/>
      <c r="C548" s="50"/>
      <c r="D548" s="50"/>
      <c r="E548" s="158"/>
      <c r="F548" s="175"/>
      <c r="G548" s="175"/>
      <c r="H548" s="175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168"/>
      <c r="AF548" s="50"/>
      <c r="AG548" s="50"/>
      <c r="AH548" s="50"/>
      <c r="AI548" s="50"/>
      <c r="AJ548" s="50"/>
      <c r="AK548" s="50"/>
      <c r="AL548" s="50"/>
      <c r="AM548" s="50"/>
      <c r="AN548" s="50"/>
      <c r="AO548" s="50"/>
      <c r="AP548" s="50"/>
      <c r="AQ548" s="50"/>
      <c r="AR548" s="50"/>
      <c r="AS548" s="50"/>
      <c r="AT548" s="50"/>
      <c r="AU548" s="50"/>
      <c r="AV548" s="50"/>
      <c r="AW548" s="50"/>
      <c r="AX548" s="50"/>
      <c r="AY548" s="50"/>
      <c r="AZ548" s="50"/>
      <c r="BA548" s="50"/>
      <c r="BB548" s="50"/>
      <c r="BC548" s="50"/>
      <c r="BD548" s="50"/>
      <c r="BE548" s="50"/>
      <c r="BF548" s="50"/>
      <c r="BG548" s="50"/>
      <c r="BH548" s="50"/>
      <c r="BI548" s="50"/>
      <c r="BJ548" s="50"/>
      <c r="BK548" s="50"/>
      <c r="BL548" s="50"/>
      <c r="BM548" s="50"/>
      <c r="BN548" s="50"/>
    </row>
    <row r="549">
      <c r="A549" s="50"/>
      <c r="B549" s="50"/>
      <c r="C549" s="50"/>
      <c r="D549" s="50"/>
      <c r="E549" s="158"/>
      <c r="F549" s="175"/>
      <c r="G549" s="175"/>
      <c r="H549" s="175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168"/>
      <c r="AF549" s="50"/>
      <c r="AG549" s="50"/>
      <c r="AH549" s="50"/>
      <c r="AI549" s="50"/>
      <c r="AJ549" s="50"/>
      <c r="AK549" s="50"/>
      <c r="AL549" s="50"/>
      <c r="AM549" s="50"/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/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</row>
    <row r="550">
      <c r="A550" s="50"/>
      <c r="B550" s="50"/>
      <c r="C550" s="50"/>
      <c r="D550" s="50"/>
      <c r="E550" s="158"/>
      <c r="F550" s="175"/>
      <c r="G550" s="175"/>
      <c r="H550" s="175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168"/>
      <c r="AF550" s="50"/>
      <c r="AG550" s="50"/>
      <c r="AH550" s="50"/>
      <c r="AI550" s="50"/>
      <c r="AJ550" s="50"/>
      <c r="AK550" s="50"/>
      <c r="AL550" s="50"/>
      <c r="AM550" s="50"/>
      <c r="AN550" s="50"/>
      <c r="AO550" s="50"/>
      <c r="AP550" s="50"/>
      <c r="AQ550" s="50"/>
      <c r="AR550" s="50"/>
      <c r="AS550" s="50"/>
      <c r="AT550" s="50"/>
      <c r="AU550" s="50"/>
      <c r="AV550" s="50"/>
      <c r="AW550" s="50"/>
      <c r="AX550" s="50"/>
      <c r="AY550" s="50"/>
      <c r="AZ550" s="50"/>
      <c r="BA550" s="50"/>
      <c r="BB550" s="50"/>
      <c r="BC550" s="50"/>
      <c r="BD550" s="50"/>
      <c r="BE550" s="50"/>
      <c r="BF550" s="50"/>
      <c r="BG550" s="50"/>
      <c r="BH550" s="50"/>
      <c r="BI550" s="50"/>
      <c r="BJ550" s="50"/>
      <c r="BK550" s="50"/>
      <c r="BL550" s="50"/>
      <c r="BM550" s="50"/>
      <c r="BN550" s="50"/>
    </row>
    <row r="551">
      <c r="A551" s="50"/>
      <c r="B551" s="50"/>
      <c r="C551" s="50"/>
      <c r="D551" s="50"/>
      <c r="E551" s="158"/>
      <c r="F551" s="175"/>
      <c r="G551" s="175"/>
      <c r="H551" s="175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168"/>
      <c r="AF551" s="50"/>
      <c r="AG551" s="50"/>
      <c r="AH551" s="50"/>
      <c r="AI551" s="50"/>
      <c r="AJ551" s="50"/>
      <c r="AK551" s="50"/>
      <c r="AL551" s="50"/>
      <c r="AM551" s="50"/>
      <c r="AN551" s="50"/>
      <c r="AO551" s="50"/>
      <c r="AP551" s="50"/>
      <c r="AQ551" s="50"/>
      <c r="AR551" s="50"/>
      <c r="AS551" s="50"/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50"/>
      <c r="BE551" s="50"/>
      <c r="BF551" s="50"/>
      <c r="BG551" s="50"/>
      <c r="BH551" s="50"/>
      <c r="BI551" s="50"/>
      <c r="BJ551" s="50"/>
      <c r="BK551" s="50"/>
      <c r="BL551" s="50"/>
      <c r="BM551" s="50"/>
      <c r="BN551" s="50"/>
    </row>
    <row r="552">
      <c r="A552" s="50"/>
      <c r="B552" s="50"/>
      <c r="C552" s="50"/>
      <c r="D552" s="50"/>
      <c r="E552" s="158"/>
      <c r="F552" s="175"/>
      <c r="G552" s="175"/>
      <c r="H552" s="175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168"/>
      <c r="AF552" s="50"/>
      <c r="AG552" s="50"/>
      <c r="AH552" s="50"/>
      <c r="AI552" s="50"/>
      <c r="AJ552" s="50"/>
      <c r="AK552" s="50"/>
      <c r="AL552" s="50"/>
      <c r="AM552" s="50"/>
      <c r="AN552" s="50"/>
      <c r="AO552" s="50"/>
      <c r="AP552" s="50"/>
      <c r="AQ552" s="50"/>
      <c r="AR552" s="50"/>
      <c r="AS552" s="50"/>
      <c r="AT552" s="50"/>
      <c r="AU552" s="50"/>
      <c r="AV552" s="50"/>
      <c r="AW552" s="50"/>
      <c r="AX552" s="50"/>
      <c r="AY552" s="50"/>
      <c r="AZ552" s="50"/>
      <c r="BA552" s="50"/>
      <c r="BB552" s="50"/>
      <c r="BC552" s="50"/>
      <c r="BD552" s="50"/>
      <c r="BE552" s="50"/>
      <c r="BF552" s="50"/>
      <c r="BG552" s="50"/>
      <c r="BH552" s="50"/>
      <c r="BI552" s="50"/>
      <c r="BJ552" s="50"/>
      <c r="BK552" s="50"/>
      <c r="BL552" s="50"/>
      <c r="BM552" s="50"/>
      <c r="BN552" s="50"/>
    </row>
    <row r="553">
      <c r="A553" s="50"/>
      <c r="B553" s="50"/>
      <c r="C553" s="50"/>
      <c r="D553" s="50"/>
      <c r="E553" s="158"/>
      <c r="F553" s="175"/>
      <c r="G553" s="175"/>
      <c r="H553" s="175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168"/>
      <c r="AF553" s="50"/>
      <c r="AG553" s="50"/>
      <c r="AH553" s="50"/>
      <c r="AI553" s="50"/>
      <c r="AJ553" s="50"/>
      <c r="AK553" s="50"/>
      <c r="AL553" s="50"/>
      <c r="AM553" s="50"/>
      <c r="AN553" s="50"/>
      <c r="AO553" s="50"/>
      <c r="AP553" s="50"/>
      <c r="AQ553" s="50"/>
      <c r="AR553" s="50"/>
      <c r="AS553" s="50"/>
      <c r="AT553" s="50"/>
      <c r="AU553" s="50"/>
      <c r="AV553" s="50"/>
      <c r="AW553" s="50"/>
      <c r="AX553" s="50"/>
      <c r="AY553" s="50"/>
      <c r="AZ553" s="50"/>
      <c r="BA553" s="50"/>
      <c r="BB553" s="50"/>
      <c r="BC553" s="50"/>
      <c r="BD553" s="50"/>
      <c r="BE553" s="50"/>
      <c r="BF553" s="50"/>
      <c r="BG553" s="50"/>
      <c r="BH553" s="50"/>
      <c r="BI553" s="50"/>
      <c r="BJ553" s="50"/>
      <c r="BK553" s="50"/>
      <c r="BL553" s="50"/>
      <c r="BM553" s="50"/>
      <c r="BN553" s="50"/>
    </row>
    <row r="554">
      <c r="A554" s="50"/>
      <c r="B554" s="50"/>
      <c r="C554" s="50"/>
      <c r="D554" s="50"/>
      <c r="E554" s="158"/>
      <c r="F554" s="175"/>
      <c r="G554" s="175"/>
      <c r="H554" s="175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168"/>
      <c r="AF554" s="50"/>
      <c r="AG554" s="50"/>
      <c r="AH554" s="50"/>
      <c r="AI554" s="50"/>
      <c r="AJ554" s="50"/>
      <c r="AK554" s="50"/>
      <c r="AL554" s="50"/>
      <c r="AM554" s="50"/>
      <c r="AN554" s="50"/>
      <c r="AO554" s="50"/>
      <c r="AP554" s="50"/>
      <c r="AQ554" s="50"/>
      <c r="AR554" s="50"/>
      <c r="AS554" s="50"/>
      <c r="AT554" s="50"/>
      <c r="AU554" s="50"/>
      <c r="AV554" s="50"/>
      <c r="AW554" s="50"/>
      <c r="AX554" s="50"/>
      <c r="AY554" s="50"/>
      <c r="AZ554" s="50"/>
      <c r="BA554" s="50"/>
      <c r="BB554" s="50"/>
      <c r="BC554" s="50"/>
      <c r="BD554" s="50"/>
      <c r="BE554" s="50"/>
      <c r="BF554" s="50"/>
      <c r="BG554" s="50"/>
      <c r="BH554" s="50"/>
      <c r="BI554" s="50"/>
      <c r="BJ554" s="50"/>
      <c r="BK554" s="50"/>
      <c r="BL554" s="50"/>
      <c r="BM554" s="50"/>
      <c r="BN554" s="50"/>
    </row>
    <row r="555">
      <c r="A555" s="50"/>
      <c r="B555" s="50"/>
      <c r="C555" s="50"/>
      <c r="D555" s="50"/>
      <c r="E555" s="158"/>
      <c r="F555" s="175"/>
      <c r="G555" s="175"/>
      <c r="H555" s="175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168"/>
      <c r="AF555" s="50"/>
      <c r="AG555" s="50"/>
      <c r="AH555" s="50"/>
      <c r="AI555" s="50"/>
      <c r="AJ555" s="50"/>
      <c r="AK555" s="50"/>
      <c r="AL555" s="50"/>
      <c r="AM555" s="50"/>
      <c r="AN555" s="50"/>
      <c r="AO555" s="50"/>
      <c r="AP555" s="50"/>
      <c r="AQ555" s="50"/>
      <c r="AR555" s="50"/>
      <c r="AS555" s="50"/>
      <c r="AT555" s="50"/>
      <c r="AU555" s="50"/>
      <c r="AV555" s="50"/>
      <c r="AW555" s="50"/>
      <c r="AX555" s="50"/>
      <c r="AY555" s="50"/>
      <c r="AZ555" s="50"/>
      <c r="BA555" s="50"/>
      <c r="BB555" s="50"/>
      <c r="BC555" s="50"/>
      <c r="BD555" s="50"/>
      <c r="BE555" s="50"/>
      <c r="BF555" s="50"/>
      <c r="BG555" s="50"/>
      <c r="BH555" s="50"/>
      <c r="BI555" s="50"/>
      <c r="BJ555" s="50"/>
      <c r="BK555" s="50"/>
      <c r="BL555" s="50"/>
      <c r="BM555" s="50"/>
      <c r="BN555" s="50"/>
    </row>
    <row r="556">
      <c r="A556" s="50"/>
      <c r="B556" s="50"/>
      <c r="C556" s="50"/>
      <c r="D556" s="50"/>
      <c r="E556" s="158"/>
      <c r="F556" s="175"/>
      <c r="G556" s="175"/>
      <c r="H556" s="175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168"/>
      <c r="AF556" s="50"/>
      <c r="AG556" s="50"/>
      <c r="AH556" s="50"/>
      <c r="AI556" s="50"/>
      <c r="AJ556" s="50"/>
      <c r="AK556" s="50"/>
      <c r="AL556" s="50"/>
      <c r="AM556" s="50"/>
      <c r="AN556" s="50"/>
      <c r="AO556" s="50"/>
      <c r="AP556" s="50"/>
      <c r="AQ556" s="50"/>
      <c r="AR556" s="50"/>
      <c r="AS556" s="50"/>
      <c r="AT556" s="50"/>
      <c r="AU556" s="50"/>
      <c r="AV556" s="50"/>
      <c r="AW556" s="50"/>
      <c r="AX556" s="50"/>
      <c r="AY556" s="50"/>
      <c r="AZ556" s="50"/>
      <c r="BA556" s="50"/>
      <c r="BB556" s="50"/>
      <c r="BC556" s="50"/>
      <c r="BD556" s="50"/>
      <c r="BE556" s="50"/>
      <c r="BF556" s="50"/>
      <c r="BG556" s="50"/>
      <c r="BH556" s="50"/>
      <c r="BI556" s="50"/>
      <c r="BJ556" s="50"/>
      <c r="BK556" s="50"/>
      <c r="BL556" s="50"/>
      <c r="BM556" s="50"/>
      <c r="BN556" s="50"/>
    </row>
    <row r="557">
      <c r="A557" s="50"/>
      <c r="B557" s="50"/>
      <c r="C557" s="50"/>
      <c r="D557" s="50"/>
      <c r="E557" s="158"/>
      <c r="F557" s="175"/>
      <c r="G557" s="175"/>
      <c r="H557" s="175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168"/>
      <c r="AF557" s="50"/>
      <c r="AG557" s="50"/>
      <c r="AH557" s="50"/>
      <c r="AI557" s="50"/>
      <c r="AJ557" s="50"/>
      <c r="AK557" s="50"/>
      <c r="AL557" s="50"/>
      <c r="AM557" s="50"/>
      <c r="AN557" s="50"/>
      <c r="AO557" s="50"/>
      <c r="AP557" s="50"/>
      <c r="AQ557" s="50"/>
      <c r="AR557" s="50"/>
      <c r="AS557" s="50"/>
      <c r="AT557" s="50"/>
      <c r="AU557" s="50"/>
      <c r="AV557" s="50"/>
      <c r="AW557" s="50"/>
      <c r="AX557" s="50"/>
      <c r="AY557" s="50"/>
      <c r="AZ557" s="50"/>
      <c r="BA557" s="50"/>
      <c r="BB557" s="50"/>
      <c r="BC557" s="50"/>
      <c r="BD557" s="50"/>
      <c r="BE557" s="50"/>
      <c r="BF557" s="50"/>
      <c r="BG557" s="50"/>
      <c r="BH557" s="50"/>
      <c r="BI557" s="50"/>
      <c r="BJ557" s="50"/>
      <c r="BK557" s="50"/>
      <c r="BL557" s="50"/>
      <c r="BM557" s="50"/>
      <c r="BN557" s="50"/>
    </row>
    <row r="558">
      <c r="A558" s="50"/>
      <c r="B558" s="50"/>
      <c r="C558" s="50"/>
      <c r="D558" s="50"/>
      <c r="E558" s="158"/>
      <c r="F558" s="175"/>
      <c r="G558" s="175"/>
      <c r="H558" s="175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168"/>
      <c r="AF558" s="50"/>
      <c r="AG558" s="50"/>
      <c r="AH558" s="50"/>
      <c r="AI558" s="50"/>
      <c r="AJ558" s="50"/>
      <c r="AK558" s="50"/>
      <c r="AL558" s="50"/>
      <c r="AM558" s="50"/>
      <c r="AN558" s="50"/>
      <c r="AO558" s="50"/>
      <c r="AP558" s="50"/>
      <c r="AQ558" s="50"/>
      <c r="AR558" s="50"/>
      <c r="AS558" s="50"/>
      <c r="AT558" s="50"/>
      <c r="AU558" s="50"/>
      <c r="AV558" s="50"/>
      <c r="AW558" s="50"/>
      <c r="AX558" s="50"/>
      <c r="AY558" s="50"/>
      <c r="AZ558" s="50"/>
      <c r="BA558" s="50"/>
      <c r="BB558" s="50"/>
      <c r="BC558" s="50"/>
      <c r="BD558" s="50"/>
      <c r="BE558" s="50"/>
      <c r="BF558" s="50"/>
      <c r="BG558" s="50"/>
      <c r="BH558" s="50"/>
      <c r="BI558" s="50"/>
      <c r="BJ558" s="50"/>
      <c r="BK558" s="50"/>
      <c r="BL558" s="50"/>
      <c r="BM558" s="50"/>
      <c r="BN558" s="50"/>
    </row>
    <row r="559">
      <c r="A559" s="50"/>
      <c r="B559" s="50"/>
      <c r="C559" s="50"/>
      <c r="D559" s="50"/>
      <c r="E559" s="158"/>
      <c r="F559" s="175"/>
      <c r="G559" s="175"/>
      <c r="H559" s="175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168"/>
      <c r="AF559" s="50"/>
      <c r="AG559" s="50"/>
      <c r="AH559" s="50"/>
      <c r="AI559" s="50"/>
      <c r="AJ559" s="50"/>
      <c r="AK559" s="50"/>
      <c r="AL559" s="50"/>
      <c r="AM559" s="50"/>
      <c r="AN559" s="50"/>
      <c r="AO559" s="50"/>
      <c r="AP559" s="50"/>
      <c r="AQ559" s="50"/>
      <c r="AR559" s="50"/>
      <c r="AS559" s="50"/>
      <c r="AT559" s="50"/>
      <c r="AU559" s="50"/>
      <c r="AV559" s="50"/>
      <c r="AW559" s="50"/>
      <c r="AX559" s="50"/>
      <c r="AY559" s="50"/>
      <c r="AZ559" s="50"/>
      <c r="BA559" s="50"/>
      <c r="BB559" s="50"/>
      <c r="BC559" s="50"/>
      <c r="BD559" s="50"/>
      <c r="BE559" s="50"/>
      <c r="BF559" s="50"/>
      <c r="BG559" s="50"/>
      <c r="BH559" s="50"/>
      <c r="BI559" s="50"/>
      <c r="BJ559" s="50"/>
      <c r="BK559" s="50"/>
      <c r="BL559" s="50"/>
      <c r="BM559" s="50"/>
      <c r="BN559" s="50"/>
    </row>
    <row r="560">
      <c r="A560" s="50"/>
      <c r="B560" s="50"/>
      <c r="C560" s="50"/>
      <c r="D560" s="50"/>
      <c r="E560" s="158"/>
      <c r="F560" s="175"/>
      <c r="G560" s="175"/>
      <c r="H560" s="175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168"/>
      <c r="AF560" s="50"/>
      <c r="AG560" s="50"/>
      <c r="AH560" s="50"/>
      <c r="AI560" s="50"/>
      <c r="AJ560" s="50"/>
      <c r="AK560" s="50"/>
      <c r="AL560" s="50"/>
      <c r="AM560" s="50"/>
      <c r="AN560" s="50"/>
      <c r="AO560" s="50"/>
      <c r="AP560" s="50"/>
      <c r="AQ560" s="50"/>
      <c r="AR560" s="50"/>
      <c r="AS560" s="50"/>
      <c r="AT560" s="50"/>
      <c r="AU560" s="50"/>
      <c r="AV560" s="50"/>
      <c r="AW560" s="50"/>
      <c r="AX560" s="50"/>
      <c r="AY560" s="50"/>
      <c r="AZ560" s="50"/>
      <c r="BA560" s="50"/>
      <c r="BB560" s="50"/>
      <c r="BC560" s="50"/>
      <c r="BD560" s="50"/>
      <c r="BE560" s="50"/>
      <c r="BF560" s="50"/>
      <c r="BG560" s="50"/>
      <c r="BH560" s="50"/>
      <c r="BI560" s="50"/>
      <c r="BJ560" s="50"/>
      <c r="BK560" s="50"/>
      <c r="BL560" s="50"/>
      <c r="BM560" s="50"/>
      <c r="BN560" s="50"/>
    </row>
    <row r="561">
      <c r="A561" s="50"/>
      <c r="B561" s="50"/>
      <c r="C561" s="50"/>
      <c r="D561" s="50"/>
      <c r="E561" s="158"/>
      <c r="F561" s="175"/>
      <c r="G561" s="175"/>
      <c r="H561" s="175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168"/>
      <c r="AF561" s="50"/>
      <c r="AG561" s="50"/>
      <c r="AH561" s="50"/>
      <c r="AI561" s="50"/>
      <c r="AJ561" s="50"/>
      <c r="AK561" s="50"/>
      <c r="AL561" s="50"/>
      <c r="AM561" s="50"/>
      <c r="AN561" s="50"/>
      <c r="AO561" s="50"/>
      <c r="AP561" s="50"/>
      <c r="AQ561" s="50"/>
      <c r="AR561" s="50"/>
      <c r="AS561" s="50"/>
      <c r="AT561" s="50"/>
      <c r="AU561" s="50"/>
      <c r="AV561" s="50"/>
      <c r="AW561" s="50"/>
      <c r="AX561" s="50"/>
      <c r="AY561" s="50"/>
      <c r="AZ561" s="50"/>
      <c r="BA561" s="50"/>
      <c r="BB561" s="50"/>
      <c r="BC561" s="50"/>
      <c r="BD561" s="50"/>
      <c r="BE561" s="50"/>
      <c r="BF561" s="50"/>
      <c r="BG561" s="50"/>
      <c r="BH561" s="50"/>
      <c r="BI561" s="50"/>
      <c r="BJ561" s="50"/>
      <c r="BK561" s="50"/>
      <c r="BL561" s="50"/>
      <c r="BM561" s="50"/>
      <c r="BN561" s="50"/>
    </row>
    <row r="562">
      <c r="A562" s="50"/>
      <c r="B562" s="50"/>
      <c r="C562" s="50"/>
      <c r="D562" s="50"/>
      <c r="E562" s="158"/>
      <c r="F562" s="175"/>
      <c r="G562" s="175"/>
      <c r="H562" s="175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168"/>
      <c r="AF562" s="50"/>
      <c r="AG562" s="50"/>
      <c r="AH562" s="50"/>
      <c r="AI562" s="50"/>
      <c r="AJ562" s="50"/>
      <c r="AK562" s="50"/>
      <c r="AL562" s="50"/>
      <c r="AM562" s="50"/>
      <c r="AN562" s="50"/>
      <c r="AO562" s="50"/>
      <c r="AP562" s="50"/>
      <c r="AQ562" s="50"/>
      <c r="AR562" s="50"/>
      <c r="AS562" s="50"/>
      <c r="AT562" s="50"/>
      <c r="AU562" s="50"/>
      <c r="AV562" s="50"/>
      <c r="AW562" s="50"/>
      <c r="AX562" s="50"/>
      <c r="AY562" s="50"/>
      <c r="AZ562" s="50"/>
      <c r="BA562" s="50"/>
      <c r="BB562" s="50"/>
      <c r="BC562" s="50"/>
      <c r="BD562" s="50"/>
      <c r="BE562" s="50"/>
      <c r="BF562" s="50"/>
      <c r="BG562" s="50"/>
      <c r="BH562" s="50"/>
      <c r="BI562" s="50"/>
      <c r="BJ562" s="50"/>
      <c r="BK562" s="50"/>
      <c r="BL562" s="50"/>
      <c r="BM562" s="50"/>
      <c r="BN562" s="50"/>
    </row>
    <row r="563">
      <c r="A563" s="50"/>
      <c r="B563" s="50"/>
      <c r="C563" s="50"/>
      <c r="D563" s="50"/>
      <c r="E563" s="158"/>
      <c r="F563" s="175"/>
      <c r="G563" s="175"/>
      <c r="H563" s="175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168"/>
      <c r="AF563" s="50"/>
      <c r="AG563" s="50"/>
      <c r="AH563" s="50"/>
      <c r="AI563" s="50"/>
      <c r="AJ563" s="50"/>
      <c r="AK563" s="50"/>
      <c r="AL563" s="50"/>
      <c r="AM563" s="50"/>
      <c r="AN563" s="50"/>
      <c r="AO563" s="50"/>
      <c r="AP563" s="50"/>
      <c r="AQ563" s="50"/>
      <c r="AR563" s="50"/>
      <c r="AS563" s="50"/>
      <c r="AT563" s="50"/>
      <c r="AU563" s="50"/>
      <c r="AV563" s="50"/>
      <c r="AW563" s="50"/>
      <c r="AX563" s="50"/>
      <c r="AY563" s="50"/>
      <c r="AZ563" s="50"/>
      <c r="BA563" s="50"/>
      <c r="BB563" s="50"/>
      <c r="BC563" s="50"/>
      <c r="BD563" s="50"/>
      <c r="BE563" s="50"/>
      <c r="BF563" s="50"/>
      <c r="BG563" s="50"/>
      <c r="BH563" s="50"/>
      <c r="BI563" s="50"/>
      <c r="BJ563" s="50"/>
      <c r="BK563" s="50"/>
      <c r="BL563" s="50"/>
      <c r="BM563" s="50"/>
      <c r="BN563" s="50"/>
    </row>
    <row r="564">
      <c r="A564" s="50"/>
      <c r="B564" s="50"/>
      <c r="C564" s="50"/>
      <c r="D564" s="50"/>
      <c r="E564" s="158"/>
      <c r="F564" s="175"/>
      <c r="G564" s="175"/>
      <c r="H564" s="175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168"/>
      <c r="AF564" s="50"/>
      <c r="AG564" s="50"/>
      <c r="AH564" s="50"/>
      <c r="AI564" s="50"/>
      <c r="AJ564" s="50"/>
      <c r="AK564" s="50"/>
      <c r="AL564" s="50"/>
      <c r="AM564" s="50"/>
      <c r="AN564" s="50"/>
      <c r="AO564" s="50"/>
      <c r="AP564" s="50"/>
      <c r="AQ564" s="50"/>
      <c r="AR564" s="50"/>
      <c r="AS564" s="50"/>
      <c r="AT564" s="50"/>
      <c r="AU564" s="50"/>
      <c r="AV564" s="50"/>
      <c r="AW564" s="50"/>
      <c r="AX564" s="50"/>
      <c r="AY564" s="50"/>
      <c r="AZ564" s="50"/>
      <c r="BA564" s="50"/>
      <c r="BB564" s="50"/>
      <c r="BC564" s="50"/>
      <c r="BD564" s="50"/>
      <c r="BE564" s="50"/>
      <c r="BF564" s="50"/>
      <c r="BG564" s="50"/>
      <c r="BH564" s="50"/>
      <c r="BI564" s="50"/>
      <c r="BJ564" s="50"/>
      <c r="BK564" s="50"/>
      <c r="BL564" s="50"/>
      <c r="BM564" s="50"/>
      <c r="BN564" s="50"/>
    </row>
    <row r="565">
      <c r="A565" s="50"/>
      <c r="B565" s="50"/>
      <c r="C565" s="50"/>
      <c r="D565" s="50"/>
      <c r="E565" s="158"/>
      <c r="F565" s="175"/>
      <c r="G565" s="175"/>
      <c r="H565" s="175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168"/>
      <c r="AF565" s="50"/>
      <c r="AG565" s="50"/>
      <c r="AH565" s="50"/>
      <c r="AI565" s="50"/>
      <c r="AJ565" s="50"/>
      <c r="AK565" s="50"/>
      <c r="AL565" s="50"/>
      <c r="AM565" s="50"/>
      <c r="AN565" s="50"/>
      <c r="AO565" s="50"/>
      <c r="AP565" s="50"/>
      <c r="AQ565" s="50"/>
      <c r="AR565" s="50"/>
      <c r="AS565" s="50"/>
      <c r="AT565" s="50"/>
      <c r="AU565" s="50"/>
      <c r="AV565" s="50"/>
      <c r="AW565" s="50"/>
      <c r="AX565" s="50"/>
      <c r="AY565" s="50"/>
      <c r="AZ565" s="50"/>
      <c r="BA565" s="50"/>
      <c r="BB565" s="50"/>
      <c r="BC565" s="50"/>
      <c r="BD565" s="50"/>
      <c r="BE565" s="50"/>
      <c r="BF565" s="50"/>
      <c r="BG565" s="50"/>
      <c r="BH565" s="50"/>
      <c r="BI565" s="50"/>
      <c r="BJ565" s="50"/>
      <c r="BK565" s="50"/>
      <c r="BL565" s="50"/>
      <c r="BM565" s="50"/>
      <c r="BN565" s="50"/>
    </row>
    <row r="566">
      <c r="A566" s="50"/>
      <c r="B566" s="50"/>
      <c r="C566" s="50"/>
      <c r="D566" s="50"/>
      <c r="E566" s="158"/>
      <c r="F566" s="175"/>
      <c r="G566" s="175"/>
      <c r="H566" s="175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168"/>
      <c r="AF566" s="50"/>
      <c r="AG566" s="50"/>
      <c r="AH566" s="50"/>
      <c r="AI566" s="50"/>
      <c r="AJ566" s="50"/>
      <c r="AK566" s="50"/>
      <c r="AL566" s="50"/>
      <c r="AM566" s="50"/>
      <c r="AN566" s="50"/>
      <c r="AO566" s="50"/>
      <c r="AP566" s="50"/>
      <c r="AQ566" s="50"/>
      <c r="AR566" s="50"/>
      <c r="AS566" s="50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/>
      <c r="BE566" s="50"/>
      <c r="BF566" s="50"/>
      <c r="BG566" s="50"/>
      <c r="BH566" s="50"/>
      <c r="BI566" s="50"/>
      <c r="BJ566" s="50"/>
      <c r="BK566" s="50"/>
      <c r="BL566" s="50"/>
      <c r="BM566" s="50"/>
      <c r="BN566" s="50"/>
    </row>
    <row r="567">
      <c r="A567" s="50"/>
      <c r="B567" s="50"/>
      <c r="C567" s="50"/>
      <c r="D567" s="50"/>
      <c r="E567" s="158"/>
      <c r="F567" s="175"/>
      <c r="G567" s="175"/>
      <c r="H567" s="175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168"/>
      <c r="AF567" s="50"/>
      <c r="AG567" s="50"/>
      <c r="AH567" s="50"/>
      <c r="AI567" s="50"/>
      <c r="AJ567" s="50"/>
      <c r="AK567" s="50"/>
      <c r="AL567" s="50"/>
      <c r="AM567" s="50"/>
      <c r="AN567" s="50"/>
      <c r="AO567" s="50"/>
      <c r="AP567" s="50"/>
      <c r="AQ567" s="50"/>
      <c r="AR567" s="50"/>
      <c r="AS567" s="50"/>
      <c r="AT567" s="50"/>
      <c r="AU567" s="50"/>
      <c r="AV567" s="50"/>
      <c r="AW567" s="50"/>
      <c r="AX567" s="50"/>
      <c r="AY567" s="50"/>
      <c r="AZ567" s="50"/>
      <c r="BA567" s="50"/>
      <c r="BB567" s="50"/>
      <c r="BC567" s="50"/>
      <c r="BD567" s="50"/>
      <c r="BE567" s="50"/>
      <c r="BF567" s="50"/>
      <c r="BG567" s="50"/>
      <c r="BH567" s="50"/>
      <c r="BI567" s="50"/>
      <c r="BJ567" s="50"/>
      <c r="BK567" s="50"/>
      <c r="BL567" s="50"/>
      <c r="BM567" s="50"/>
      <c r="BN567" s="50"/>
    </row>
    <row r="568">
      <c r="A568" s="50"/>
      <c r="B568" s="50"/>
      <c r="C568" s="50"/>
      <c r="D568" s="50"/>
      <c r="E568" s="158"/>
      <c r="F568" s="175"/>
      <c r="G568" s="175"/>
      <c r="H568" s="175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168"/>
      <c r="AF568" s="50"/>
      <c r="AG568" s="50"/>
      <c r="AH568" s="50"/>
      <c r="AI568" s="50"/>
      <c r="AJ568" s="50"/>
      <c r="AK568" s="50"/>
      <c r="AL568" s="50"/>
      <c r="AM568" s="50"/>
      <c r="AN568" s="50"/>
      <c r="AO568" s="50"/>
      <c r="AP568" s="50"/>
      <c r="AQ568" s="50"/>
      <c r="AR568" s="50"/>
      <c r="AS568" s="50"/>
      <c r="AT568" s="50"/>
      <c r="AU568" s="50"/>
      <c r="AV568" s="50"/>
      <c r="AW568" s="50"/>
      <c r="AX568" s="50"/>
      <c r="AY568" s="50"/>
      <c r="AZ568" s="50"/>
      <c r="BA568" s="50"/>
      <c r="BB568" s="50"/>
      <c r="BC568" s="50"/>
      <c r="BD568" s="50"/>
      <c r="BE568" s="50"/>
      <c r="BF568" s="50"/>
      <c r="BG568" s="50"/>
      <c r="BH568" s="50"/>
      <c r="BI568" s="50"/>
      <c r="BJ568" s="50"/>
      <c r="BK568" s="50"/>
      <c r="BL568" s="50"/>
      <c r="BM568" s="50"/>
      <c r="BN568" s="50"/>
    </row>
    <row r="569">
      <c r="A569" s="50"/>
      <c r="B569" s="50"/>
      <c r="C569" s="50"/>
      <c r="D569" s="50"/>
      <c r="E569" s="158"/>
      <c r="F569" s="175"/>
      <c r="G569" s="175"/>
      <c r="H569" s="175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168"/>
      <c r="AF569" s="50"/>
      <c r="AG569" s="50"/>
      <c r="AH569" s="50"/>
      <c r="AI569" s="50"/>
      <c r="AJ569" s="50"/>
      <c r="AK569" s="50"/>
      <c r="AL569" s="50"/>
      <c r="AM569" s="50"/>
      <c r="AN569" s="50"/>
      <c r="AO569" s="50"/>
      <c r="AP569" s="50"/>
      <c r="AQ569" s="50"/>
      <c r="AR569" s="50"/>
      <c r="AS569" s="50"/>
      <c r="AT569" s="50"/>
      <c r="AU569" s="50"/>
      <c r="AV569" s="50"/>
      <c r="AW569" s="50"/>
      <c r="AX569" s="50"/>
      <c r="AY569" s="50"/>
      <c r="AZ569" s="50"/>
      <c r="BA569" s="50"/>
      <c r="BB569" s="50"/>
      <c r="BC569" s="50"/>
      <c r="BD569" s="50"/>
      <c r="BE569" s="50"/>
      <c r="BF569" s="50"/>
      <c r="BG569" s="50"/>
      <c r="BH569" s="50"/>
      <c r="BI569" s="50"/>
      <c r="BJ569" s="50"/>
      <c r="BK569" s="50"/>
      <c r="BL569" s="50"/>
      <c r="BM569" s="50"/>
      <c r="BN569" s="50"/>
    </row>
    <row r="570">
      <c r="A570" s="50"/>
      <c r="B570" s="50"/>
      <c r="C570" s="50"/>
      <c r="D570" s="50"/>
      <c r="E570" s="158"/>
      <c r="F570" s="175"/>
      <c r="G570" s="175"/>
      <c r="H570" s="175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168"/>
      <c r="AF570" s="50"/>
      <c r="AG570" s="50"/>
      <c r="AH570" s="50"/>
      <c r="AI570" s="50"/>
      <c r="AJ570" s="50"/>
      <c r="AK570" s="50"/>
      <c r="AL570" s="50"/>
      <c r="AM570" s="50"/>
      <c r="AN570" s="50"/>
      <c r="AO570" s="50"/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0"/>
      <c r="BE570" s="50"/>
      <c r="BF570" s="50"/>
      <c r="BG570" s="50"/>
      <c r="BH570" s="50"/>
      <c r="BI570" s="50"/>
      <c r="BJ570" s="50"/>
      <c r="BK570" s="50"/>
      <c r="BL570" s="50"/>
      <c r="BM570" s="50"/>
      <c r="BN570" s="50"/>
    </row>
    <row r="571">
      <c r="A571" s="50"/>
      <c r="B571" s="50"/>
      <c r="C571" s="50"/>
      <c r="D571" s="50"/>
      <c r="E571" s="158"/>
      <c r="F571" s="175"/>
      <c r="G571" s="175"/>
      <c r="H571" s="175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168"/>
      <c r="AF571" s="50"/>
      <c r="AG571" s="50"/>
      <c r="AH571" s="50"/>
      <c r="AI571" s="50"/>
      <c r="AJ571" s="50"/>
      <c r="AK571" s="50"/>
      <c r="AL571" s="50"/>
      <c r="AM571" s="50"/>
      <c r="AN571" s="50"/>
      <c r="AO571" s="50"/>
      <c r="AP571" s="50"/>
      <c r="AQ571" s="50"/>
      <c r="AR571" s="50"/>
      <c r="AS571" s="50"/>
      <c r="AT571" s="50"/>
      <c r="AU571" s="50"/>
      <c r="AV571" s="50"/>
      <c r="AW571" s="50"/>
      <c r="AX571" s="50"/>
      <c r="AY571" s="50"/>
      <c r="AZ571" s="50"/>
      <c r="BA571" s="50"/>
      <c r="BB571" s="50"/>
      <c r="BC571" s="50"/>
      <c r="BD571" s="50"/>
      <c r="BE571" s="50"/>
      <c r="BF571" s="50"/>
      <c r="BG571" s="50"/>
      <c r="BH571" s="50"/>
      <c r="BI571" s="50"/>
      <c r="BJ571" s="50"/>
      <c r="BK571" s="50"/>
      <c r="BL571" s="50"/>
      <c r="BM571" s="50"/>
      <c r="BN571" s="50"/>
    </row>
    <row r="572">
      <c r="A572" s="50"/>
      <c r="B572" s="50"/>
      <c r="C572" s="50"/>
      <c r="D572" s="50"/>
      <c r="E572" s="158"/>
      <c r="F572" s="175"/>
      <c r="G572" s="175"/>
      <c r="H572" s="175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168"/>
      <c r="AF572" s="50"/>
      <c r="AG572" s="50"/>
      <c r="AH572" s="50"/>
      <c r="AI572" s="50"/>
      <c r="AJ572" s="50"/>
      <c r="AK572" s="50"/>
      <c r="AL572" s="50"/>
      <c r="AM572" s="50"/>
      <c r="AN572" s="50"/>
      <c r="AO572" s="50"/>
      <c r="AP572" s="50"/>
      <c r="AQ572" s="50"/>
      <c r="AR572" s="50"/>
      <c r="AS572" s="50"/>
      <c r="AT572" s="50"/>
      <c r="AU572" s="50"/>
      <c r="AV572" s="50"/>
      <c r="AW572" s="50"/>
      <c r="AX572" s="50"/>
      <c r="AY572" s="50"/>
      <c r="AZ572" s="50"/>
      <c r="BA572" s="50"/>
      <c r="BB572" s="50"/>
      <c r="BC572" s="50"/>
      <c r="BD572" s="50"/>
      <c r="BE572" s="50"/>
      <c r="BF572" s="50"/>
      <c r="BG572" s="50"/>
      <c r="BH572" s="50"/>
      <c r="BI572" s="50"/>
      <c r="BJ572" s="50"/>
      <c r="BK572" s="50"/>
      <c r="BL572" s="50"/>
      <c r="BM572" s="50"/>
      <c r="BN572" s="50"/>
    </row>
    <row r="573">
      <c r="A573" s="50"/>
      <c r="B573" s="50"/>
      <c r="C573" s="50"/>
      <c r="D573" s="50"/>
      <c r="E573" s="158"/>
      <c r="F573" s="175"/>
      <c r="G573" s="175"/>
      <c r="H573" s="175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168"/>
      <c r="AF573" s="50"/>
      <c r="AG573" s="50"/>
      <c r="AH573" s="50"/>
      <c r="AI573" s="50"/>
      <c r="AJ573" s="50"/>
      <c r="AK573" s="50"/>
      <c r="AL573" s="50"/>
      <c r="AM573" s="50"/>
      <c r="AN573" s="50"/>
      <c r="AO573" s="50"/>
      <c r="AP573" s="50"/>
      <c r="AQ573" s="50"/>
      <c r="AR573" s="50"/>
      <c r="AS573" s="50"/>
      <c r="AT573" s="50"/>
      <c r="AU573" s="50"/>
      <c r="AV573" s="50"/>
      <c r="AW573" s="50"/>
      <c r="AX573" s="50"/>
      <c r="AY573" s="50"/>
      <c r="AZ573" s="50"/>
      <c r="BA573" s="50"/>
      <c r="BB573" s="50"/>
      <c r="BC573" s="50"/>
      <c r="BD573" s="50"/>
      <c r="BE573" s="50"/>
      <c r="BF573" s="50"/>
      <c r="BG573" s="50"/>
      <c r="BH573" s="50"/>
      <c r="BI573" s="50"/>
      <c r="BJ573" s="50"/>
      <c r="BK573" s="50"/>
      <c r="BL573" s="50"/>
      <c r="BM573" s="50"/>
      <c r="BN573" s="50"/>
    </row>
    <row r="574">
      <c r="A574" s="50"/>
      <c r="B574" s="50"/>
      <c r="C574" s="50"/>
      <c r="D574" s="50"/>
      <c r="E574" s="158"/>
      <c r="F574" s="175"/>
      <c r="G574" s="175"/>
      <c r="H574" s="175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168"/>
      <c r="AF574" s="50"/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  <c r="AQ574" s="50"/>
      <c r="AR574" s="50"/>
      <c r="AS574" s="50"/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0"/>
      <c r="BE574" s="50"/>
      <c r="BF574" s="50"/>
      <c r="BG574" s="50"/>
      <c r="BH574" s="50"/>
      <c r="BI574" s="50"/>
      <c r="BJ574" s="50"/>
      <c r="BK574" s="50"/>
      <c r="BL574" s="50"/>
      <c r="BM574" s="50"/>
      <c r="BN574" s="50"/>
    </row>
    <row r="575">
      <c r="A575" s="50"/>
      <c r="B575" s="50"/>
      <c r="C575" s="50"/>
      <c r="D575" s="50"/>
      <c r="E575" s="158"/>
      <c r="F575" s="175"/>
      <c r="G575" s="175"/>
      <c r="H575" s="175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168"/>
      <c r="AF575" s="50"/>
      <c r="AG575" s="50"/>
      <c r="AH575" s="50"/>
      <c r="AI575" s="50"/>
      <c r="AJ575" s="50"/>
      <c r="AK575" s="50"/>
      <c r="AL575" s="50"/>
      <c r="AM575" s="50"/>
      <c r="AN575" s="50"/>
      <c r="AO575" s="50"/>
      <c r="AP575" s="50"/>
      <c r="AQ575" s="50"/>
      <c r="AR575" s="50"/>
      <c r="AS575" s="50"/>
      <c r="AT575" s="50"/>
      <c r="AU575" s="50"/>
      <c r="AV575" s="50"/>
      <c r="AW575" s="50"/>
      <c r="AX575" s="50"/>
      <c r="AY575" s="50"/>
      <c r="AZ575" s="50"/>
      <c r="BA575" s="50"/>
      <c r="BB575" s="50"/>
      <c r="BC575" s="50"/>
      <c r="BD575" s="50"/>
      <c r="BE575" s="50"/>
      <c r="BF575" s="50"/>
      <c r="BG575" s="50"/>
      <c r="BH575" s="50"/>
      <c r="BI575" s="50"/>
      <c r="BJ575" s="50"/>
      <c r="BK575" s="50"/>
      <c r="BL575" s="50"/>
      <c r="BM575" s="50"/>
      <c r="BN575" s="50"/>
    </row>
    <row r="576">
      <c r="A576" s="50"/>
      <c r="B576" s="50"/>
      <c r="C576" s="50"/>
      <c r="D576" s="50"/>
      <c r="E576" s="158"/>
      <c r="F576" s="175"/>
      <c r="G576" s="175"/>
      <c r="H576" s="175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168"/>
      <c r="AF576" s="50"/>
      <c r="AG576" s="50"/>
      <c r="AH576" s="50"/>
      <c r="AI576" s="50"/>
      <c r="AJ576" s="50"/>
      <c r="AK576" s="50"/>
      <c r="AL576" s="50"/>
      <c r="AM576" s="50"/>
      <c r="AN576" s="50"/>
      <c r="AO576" s="50"/>
      <c r="AP576" s="50"/>
      <c r="AQ576" s="50"/>
      <c r="AR576" s="50"/>
      <c r="AS576" s="50"/>
      <c r="AT576" s="50"/>
      <c r="AU576" s="50"/>
      <c r="AV576" s="50"/>
      <c r="AW576" s="50"/>
      <c r="AX576" s="50"/>
      <c r="AY576" s="50"/>
      <c r="AZ576" s="50"/>
      <c r="BA576" s="50"/>
      <c r="BB576" s="50"/>
      <c r="BC576" s="50"/>
      <c r="BD576" s="50"/>
      <c r="BE576" s="50"/>
      <c r="BF576" s="50"/>
      <c r="BG576" s="50"/>
      <c r="BH576" s="50"/>
      <c r="BI576" s="50"/>
      <c r="BJ576" s="50"/>
      <c r="BK576" s="50"/>
      <c r="BL576" s="50"/>
      <c r="BM576" s="50"/>
      <c r="BN576" s="50"/>
    </row>
    <row r="577">
      <c r="A577" s="50"/>
      <c r="B577" s="50"/>
      <c r="C577" s="50"/>
      <c r="D577" s="50"/>
      <c r="E577" s="158"/>
      <c r="F577" s="175"/>
      <c r="G577" s="175"/>
      <c r="H577" s="175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168"/>
      <c r="AF577" s="50"/>
      <c r="AG577" s="50"/>
      <c r="AH577" s="50"/>
      <c r="AI577" s="50"/>
      <c r="AJ577" s="50"/>
      <c r="AK577" s="50"/>
      <c r="AL577" s="50"/>
      <c r="AM577" s="50"/>
      <c r="AN577" s="50"/>
      <c r="AO577" s="50"/>
      <c r="AP577" s="50"/>
      <c r="AQ577" s="50"/>
      <c r="AR577" s="50"/>
      <c r="AS577" s="50"/>
      <c r="AT577" s="50"/>
      <c r="AU577" s="50"/>
      <c r="AV577" s="50"/>
      <c r="AW577" s="50"/>
      <c r="AX577" s="50"/>
      <c r="AY577" s="50"/>
      <c r="AZ577" s="50"/>
      <c r="BA577" s="50"/>
      <c r="BB577" s="50"/>
      <c r="BC577" s="50"/>
      <c r="BD577" s="50"/>
      <c r="BE577" s="50"/>
      <c r="BF577" s="50"/>
      <c r="BG577" s="50"/>
      <c r="BH577" s="50"/>
      <c r="BI577" s="50"/>
      <c r="BJ577" s="50"/>
      <c r="BK577" s="50"/>
      <c r="BL577" s="50"/>
      <c r="BM577" s="50"/>
      <c r="BN577" s="50"/>
    </row>
    <row r="578">
      <c r="A578" s="50"/>
      <c r="B578" s="50"/>
      <c r="C578" s="50"/>
      <c r="D578" s="50"/>
      <c r="E578" s="158"/>
      <c r="F578" s="175"/>
      <c r="G578" s="175"/>
      <c r="H578" s="175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168"/>
      <c r="AF578" s="50"/>
      <c r="AG578" s="50"/>
      <c r="AH578" s="50"/>
      <c r="AI578" s="50"/>
      <c r="AJ578" s="50"/>
      <c r="AK578" s="50"/>
      <c r="AL578" s="50"/>
      <c r="AM578" s="50"/>
      <c r="AN578" s="50"/>
      <c r="AO578" s="50"/>
      <c r="AP578" s="50"/>
      <c r="AQ578" s="50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/>
      <c r="BE578" s="50"/>
      <c r="BF578" s="50"/>
      <c r="BG578" s="50"/>
      <c r="BH578" s="50"/>
      <c r="BI578" s="50"/>
      <c r="BJ578" s="50"/>
      <c r="BK578" s="50"/>
      <c r="BL578" s="50"/>
      <c r="BM578" s="50"/>
      <c r="BN578" s="50"/>
    </row>
    <row r="579">
      <c r="A579" s="50"/>
      <c r="B579" s="50"/>
      <c r="C579" s="50"/>
      <c r="D579" s="50"/>
      <c r="E579" s="158"/>
      <c r="F579" s="175"/>
      <c r="G579" s="175"/>
      <c r="H579" s="175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168"/>
      <c r="AF579" s="50"/>
      <c r="AG579" s="50"/>
      <c r="AH579" s="50"/>
      <c r="AI579" s="50"/>
      <c r="AJ579" s="50"/>
      <c r="AK579" s="50"/>
      <c r="AL579" s="50"/>
      <c r="AM579" s="50"/>
      <c r="AN579" s="50"/>
      <c r="AO579" s="50"/>
      <c r="AP579" s="50"/>
      <c r="AQ579" s="50"/>
      <c r="AR579" s="50"/>
      <c r="AS579" s="50"/>
      <c r="AT579" s="50"/>
      <c r="AU579" s="50"/>
      <c r="AV579" s="50"/>
      <c r="AW579" s="50"/>
      <c r="AX579" s="50"/>
      <c r="AY579" s="50"/>
      <c r="AZ579" s="50"/>
      <c r="BA579" s="50"/>
      <c r="BB579" s="50"/>
      <c r="BC579" s="50"/>
      <c r="BD579" s="50"/>
      <c r="BE579" s="50"/>
      <c r="BF579" s="50"/>
      <c r="BG579" s="50"/>
      <c r="BH579" s="50"/>
      <c r="BI579" s="50"/>
      <c r="BJ579" s="50"/>
      <c r="BK579" s="50"/>
      <c r="BL579" s="50"/>
      <c r="BM579" s="50"/>
      <c r="BN579" s="50"/>
    </row>
    <row r="580">
      <c r="A580" s="50"/>
      <c r="B580" s="50"/>
      <c r="C580" s="50"/>
      <c r="D580" s="50"/>
      <c r="E580" s="158"/>
      <c r="F580" s="175"/>
      <c r="G580" s="175"/>
      <c r="H580" s="175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168"/>
      <c r="AF580" s="50"/>
      <c r="AG580" s="50"/>
      <c r="AH580" s="50"/>
      <c r="AI580" s="50"/>
      <c r="AJ580" s="50"/>
      <c r="AK580" s="50"/>
      <c r="AL580" s="50"/>
      <c r="AM580" s="50"/>
      <c r="AN580" s="50"/>
      <c r="AO580" s="50"/>
      <c r="AP580" s="50"/>
      <c r="AQ580" s="50"/>
      <c r="AR580" s="50"/>
      <c r="AS580" s="50"/>
      <c r="AT580" s="50"/>
      <c r="AU580" s="50"/>
      <c r="AV580" s="50"/>
      <c r="AW580" s="50"/>
      <c r="AX580" s="50"/>
      <c r="AY580" s="50"/>
      <c r="AZ580" s="50"/>
      <c r="BA580" s="50"/>
      <c r="BB580" s="50"/>
      <c r="BC580" s="50"/>
      <c r="BD580" s="50"/>
      <c r="BE580" s="50"/>
      <c r="BF580" s="50"/>
      <c r="BG580" s="50"/>
      <c r="BH580" s="50"/>
      <c r="BI580" s="50"/>
      <c r="BJ580" s="50"/>
      <c r="BK580" s="50"/>
      <c r="BL580" s="50"/>
      <c r="BM580" s="50"/>
      <c r="BN580" s="50"/>
    </row>
    <row r="581">
      <c r="A581" s="50"/>
      <c r="B581" s="50"/>
      <c r="C581" s="50"/>
      <c r="D581" s="50"/>
      <c r="E581" s="158"/>
      <c r="F581" s="175"/>
      <c r="G581" s="175"/>
      <c r="H581" s="175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168"/>
      <c r="AF581" s="50"/>
      <c r="AG581" s="50"/>
      <c r="AH581" s="50"/>
      <c r="AI581" s="50"/>
      <c r="AJ581" s="50"/>
      <c r="AK581" s="50"/>
      <c r="AL581" s="50"/>
      <c r="AM581" s="50"/>
      <c r="AN581" s="50"/>
      <c r="AO581" s="50"/>
      <c r="AP581" s="50"/>
      <c r="AQ581" s="50"/>
      <c r="AR581" s="50"/>
      <c r="AS581" s="50"/>
      <c r="AT581" s="50"/>
      <c r="AU581" s="50"/>
      <c r="AV581" s="50"/>
      <c r="AW581" s="50"/>
      <c r="AX581" s="50"/>
      <c r="AY581" s="50"/>
      <c r="AZ581" s="50"/>
      <c r="BA581" s="50"/>
      <c r="BB581" s="50"/>
      <c r="BC581" s="50"/>
      <c r="BD581" s="50"/>
      <c r="BE581" s="50"/>
      <c r="BF581" s="50"/>
      <c r="BG581" s="50"/>
      <c r="BH581" s="50"/>
      <c r="BI581" s="50"/>
      <c r="BJ581" s="50"/>
      <c r="BK581" s="50"/>
      <c r="BL581" s="50"/>
      <c r="BM581" s="50"/>
      <c r="BN581" s="50"/>
    </row>
    <row r="582">
      <c r="A582" s="50"/>
      <c r="B582" s="50"/>
      <c r="C582" s="50"/>
      <c r="D582" s="50"/>
      <c r="E582" s="158"/>
      <c r="F582" s="175"/>
      <c r="G582" s="175"/>
      <c r="H582" s="175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168"/>
      <c r="AF582" s="50"/>
      <c r="AG582" s="50"/>
      <c r="AH582" s="50"/>
      <c r="AI582" s="50"/>
      <c r="AJ582" s="50"/>
      <c r="AK582" s="50"/>
      <c r="AL582" s="50"/>
      <c r="AM582" s="50"/>
      <c r="AN582" s="50"/>
      <c r="AO582" s="50"/>
      <c r="AP582" s="50"/>
      <c r="AQ582" s="50"/>
      <c r="AR582" s="50"/>
      <c r="AS582" s="50"/>
      <c r="AT582" s="50"/>
      <c r="AU582" s="50"/>
      <c r="AV582" s="50"/>
      <c r="AW582" s="50"/>
      <c r="AX582" s="50"/>
      <c r="AY582" s="50"/>
      <c r="AZ582" s="50"/>
      <c r="BA582" s="50"/>
      <c r="BB582" s="50"/>
      <c r="BC582" s="50"/>
      <c r="BD582" s="50"/>
      <c r="BE582" s="50"/>
      <c r="BF582" s="50"/>
      <c r="BG582" s="50"/>
      <c r="BH582" s="50"/>
      <c r="BI582" s="50"/>
      <c r="BJ582" s="50"/>
      <c r="BK582" s="50"/>
      <c r="BL582" s="50"/>
      <c r="BM582" s="50"/>
      <c r="BN582" s="50"/>
    </row>
    <row r="583">
      <c r="A583" s="50"/>
      <c r="B583" s="50"/>
      <c r="C583" s="50"/>
      <c r="D583" s="50"/>
      <c r="E583" s="158"/>
      <c r="F583" s="175"/>
      <c r="G583" s="175"/>
      <c r="H583" s="175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168"/>
      <c r="AF583" s="50"/>
      <c r="AG583" s="50"/>
      <c r="AH583" s="50"/>
      <c r="AI583" s="50"/>
      <c r="AJ583" s="50"/>
      <c r="AK583" s="50"/>
      <c r="AL583" s="50"/>
      <c r="AM583" s="50"/>
      <c r="AN583" s="50"/>
      <c r="AO583" s="50"/>
      <c r="AP583" s="50"/>
      <c r="AQ583" s="50"/>
      <c r="AR583" s="50"/>
      <c r="AS583" s="50"/>
      <c r="AT583" s="50"/>
      <c r="AU583" s="50"/>
      <c r="AV583" s="50"/>
      <c r="AW583" s="50"/>
      <c r="AX583" s="50"/>
      <c r="AY583" s="50"/>
      <c r="AZ583" s="50"/>
      <c r="BA583" s="50"/>
      <c r="BB583" s="50"/>
      <c r="BC583" s="50"/>
      <c r="BD583" s="50"/>
      <c r="BE583" s="50"/>
      <c r="BF583" s="50"/>
      <c r="BG583" s="50"/>
      <c r="BH583" s="50"/>
      <c r="BI583" s="50"/>
      <c r="BJ583" s="50"/>
      <c r="BK583" s="50"/>
      <c r="BL583" s="50"/>
      <c r="BM583" s="50"/>
      <c r="BN583" s="50"/>
    </row>
    <row r="584">
      <c r="A584" s="50"/>
      <c r="B584" s="50"/>
      <c r="C584" s="50"/>
      <c r="D584" s="50"/>
      <c r="E584" s="158"/>
      <c r="F584" s="175"/>
      <c r="G584" s="175"/>
      <c r="H584" s="175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168"/>
      <c r="AF584" s="50"/>
      <c r="AG584" s="50"/>
      <c r="AH584" s="50"/>
      <c r="AI584" s="50"/>
      <c r="AJ584" s="50"/>
      <c r="AK584" s="50"/>
      <c r="AL584" s="50"/>
      <c r="AM584" s="50"/>
      <c r="AN584" s="50"/>
      <c r="AO584" s="50"/>
      <c r="AP584" s="50"/>
      <c r="AQ584" s="50"/>
      <c r="AR584" s="50"/>
      <c r="AS584" s="50"/>
      <c r="AT584" s="50"/>
      <c r="AU584" s="50"/>
      <c r="AV584" s="50"/>
      <c r="AW584" s="50"/>
      <c r="AX584" s="50"/>
      <c r="AY584" s="50"/>
      <c r="AZ584" s="50"/>
      <c r="BA584" s="50"/>
      <c r="BB584" s="50"/>
      <c r="BC584" s="50"/>
      <c r="BD584" s="50"/>
      <c r="BE584" s="50"/>
      <c r="BF584" s="50"/>
      <c r="BG584" s="50"/>
      <c r="BH584" s="50"/>
      <c r="BI584" s="50"/>
      <c r="BJ584" s="50"/>
      <c r="BK584" s="50"/>
      <c r="BL584" s="50"/>
      <c r="BM584" s="50"/>
      <c r="BN584" s="50"/>
    </row>
    <row r="585">
      <c r="A585" s="50"/>
      <c r="B585" s="50"/>
      <c r="C585" s="50"/>
      <c r="D585" s="50"/>
      <c r="E585" s="158"/>
      <c r="F585" s="175"/>
      <c r="G585" s="175"/>
      <c r="H585" s="175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168"/>
      <c r="AF585" s="50"/>
      <c r="AG585" s="50"/>
      <c r="AH585" s="50"/>
      <c r="AI585" s="50"/>
      <c r="AJ585" s="50"/>
      <c r="AK585" s="50"/>
      <c r="AL585" s="50"/>
      <c r="AM585" s="50"/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/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</row>
    <row r="586">
      <c r="A586" s="50"/>
      <c r="B586" s="50"/>
      <c r="C586" s="50"/>
      <c r="D586" s="50"/>
      <c r="E586" s="158"/>
      <c r="F586" s="175"/>
      <c r="G586" s="175"/>
      <c r="H586" s="175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168"/>
      <c r="AF586" s="50"/>
      <c r="AG586" s="50"/>
      <c r="AH586" s="50"/>
      <c r="AI586" s="50"/>
      <c r="AJ586" s="50"/>
      <c r="AK586" s="50"/>
      <c r="AL586" s="50"/>
      <c r="AM586" s="50"/>
      <c r="AN586" s="50"/>
      <c r="AO586" s="50"/>
      <c r="AP586" s="50"/>
      <c r="AQ586" s="50"/>
      <c r="AR586" s="50"/>
      <c r="AS586" s="50"/>
      <c r="AT586" s="50"/>
      <c r="AU586" s="50"/>
      <c r="AV586" s="50"/>
      <c r="AW586" s="50"/>
      <c r="AX586" s="50"/>
      <c r="AY586" s="50"/>
      <c r="AZ586" s="50"/>
      <c r="BA586" s="50"/>
      <c r="BB586" s="50"/>
      <c r="BC586" s="50"/>
      <c r="BD586" s="50"/>
      <c r="BE586" s="50"/>
      <c r="BF586" s="50"/>
      <c r="BG586" s="50"/>
      <c r="BH586" s="50"/>
      <c r="BI586" s="50"/>
      <c r="BJ586" s="50"/>
      <c r="BK586" s="50"/>
      <c r="BL586" s="50"/>
      <c r="BM586" s="50"/>
      <c r="BN586" s="50"/>
    </row>
    <row r="587">
      <c r="A587" s="50"/>
      <c r="B587" s="50"/>
      <c r="C587" s="50"/>
      <c r="D587" s="50"/>
      <c r="E587" s="158"/>
      <c r="F587" s="175"/>
      <c r="G587" s="175"/>
      <c r="H587" s="175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168"/>
      <c r="AF587" s="50"/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/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</row>
    <row r="588">
      <c r="A588" s="50"/>
      <c r="B588" s="50"/>
      <c r="C588" s="50"/>
      <c r="D588" s="50"/>
      <c r="E588" s="158"/>
      <c r="F588" s="175"/>
      <c r="G588" s="175"/>
      <c r="H588" s="175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168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50"/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0"/>
      <c r="BE588" s="50"/>
      <c r="BF588" s="50"/>
      <c r="BG588" s="50"/>
      <c r="BH588" s="50"/>
      <c r="BI588" s="50"/>
      <c r="BJ588" s="50"/>
      <c r="BK588" s="50"/>
      <c r="BL588" s="50"/>
      <c r="BM588" s="50"/>
      <c r="BN588" s="50"/>
    </row>
    <row r="589">
      <c r="A589" s="50"/>
      <c r="B589" s="50"/>
      <c r="C589" s="50"/>
      <c r="D589" s="50"/>
      <c r="E589" s="158"/>
      <c r="F589" s="175"/>
      <c r="G589" s="175"/>
      <c r="H589" s="175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168"/>
      <c r="AF589" s="50"/>
      <c r="AG589" s="50"/>
      <c r="AH589" s="50"/>
      <c r="AI589" s="50"/>
      <c r="AJ589" s="50"/>
      <c r="AK589" s="50"/>
      <c r="AL589" s="50"/>
      <c r="AM589" s="50"/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/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</row>
    <row r="590">
      <c r="A590" s="50"/>
      <c r="B590" s="50"/>
      <c r="C590" s="50"/>
      <c r="D590" s="50"/>
      <c r="E590" s="158"/>
      <c r="F590" s="175"/>
      <c r="G590" s="175"/>
      <c r="H590" s="175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168"/>
      <c r="AF590" s="50"/>
      <c r="AG590" s="50"/>
      <c r="AH590" s="50"/>
      <c r="AI590" s="50"/>
      <c r="AJ590" s="50"/>
      <c r="AK590" s="50"/>
      <c r="AL590" s="50"/>
      <c r="AM590" s="50"/>
      <c r="AN590" s="50"/>
      <c r="AO590" s="50"/>
      <c r="AP590" s="50"/>
      <c r="AQ590" s="50"/>
      <c r="AR590" s="50"/>
      <c r="AS590" s="50"/>
      <c r="AT590" s="50"/>
      <c r="AU590" s="50"/>
      <c r="AV590" s="50"/>
      <c r="AW590" s="50"/>
      <c r="AX590" s="50"/>
      <c r="AY590" s="50"/>
      <c r="AZ590" s="50"/>
      <c r="BA590" s="50"/>
      <c r="BB590" s="50"/>
      <c r="BC590" s="50"/>
      <c r="BD590" s="50"/>
      <c r="BE590" s="50"/>
      <c r="BF590" s="50"/>
      <c r="BG590" s="50"/>
      <c r="BH590" s="50"/>
      <c r="BI590" s="50"/>
      <c r="BJ590" s="50"/>
      <c r="BK590" s="50"/>
      <c r="BL590" s="50"/>
      <c r="BM590" s="50"/>
      <c r="BN590" s="50"/>
    </row>
    <row r="591">
      <c r="A591" s="50"/>
      <c r="B591" s="50"/>
      <c r="C591" s="50"/>
      <c r="D591" s="50"/>
      <c r="E591" s="158"/>
      <c r="F591" s="175"/>
      <c r="G591" s="175"/>
      <c r="H591" s="175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168"/>
      <c r="AF591" s="50"/>
      <c r="AG591" s="50"/>
      <c r="AH591" s="50"/>
      <c r="AI591" s="50"/>
      <c r="AJ591" s="50"/>
      <c r="AK591" s="50"/>
      <c r="AL591" s="50"/>
      <c r="AM591" s="50"/>
      <c r="AN591" s="50"/>
      <c r="AO591" s="50"/>
      <c r="AP591" s="50"/>
      <c r="AQ591" s="50"/>
      <c r="AR591" s="50"/>
      <c r="AS591" s="50"/>
      <c r="AT591" s="50"/>
      <c r="AU591" s="50"/>
      <c r="AV591" s="50"/>
      <c r="AW591" s="50"/>
      <c r="AX591" s="50"/>
      <c r="AY591" s="50"/>
      <c r="AZ591" s="50"/>
      <c r="BA591" s="50"/>
      <c r="BB591" s="50"/>
      <c r="BC591" s="50"/>
      <c r="BD591" s="50"/>
      <c r="BE591" s="50"/>
      <c r="BF591" s="50"/>
      <c r="BG591" s="50"/>
      <c r="BH591" s="50"/>
      <c r="BI591" s="50"/>
      <c r="BJ591" s="50"/>
      <c r="BK591" s="50"/>
      <c r="BL591" s="50"/>
      <c r="BM591" s="50"/>
      <c r="BN591" s="50"/>
    </row>
    <row r="592">
      <c r="A592" s="50"/>
      <c r="B592" s="50"/>
      <c r="C592" s="50"/>
      <c r="D592" s="50"/>
      <c r="E592" s="158"/>
      <c r="F592" s="175"/>
      <c r="G592" s="175"/>
      <c r="H592" s="175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168"/>
      <c r="AF592" s="50"/>
      <c r="AG592" s="50"/>
      <c r="AH592" s="50"/>
      <c r="AI592" s="50"/>
      <c r="AJ592" s="50"/>
      <c r="AK592" s="50"/>
      <c r="AL592" s="50"/>
      <c r="AM592" s="50"/>
      <c r="AN592" s="50"/>
      <c r="AO592" s="50"/>
      <c r="AP592" s="50"/>
      <c r="AQ592" s="50"/>
      <c r="AR592" s="50"/>
      <c r="AS592" s="50"/>
      <c r="AT592" s="50"/>
      <c r="AU592" s="50"/>
      <c r="AV592" s="50"/>
      <c r="AW592" s="50"/>
      <c r="AX592" s="50"/>
      <c r="AY592" s="50"/>
      <c r="AZ592" s="50"/>
      <c r="BA592" s="50"/>
      <c r="BB592" s="50"/>
      <c r="BC592" s="50"/>
      <c r="BD592" s="50"/>
      <c r="BE592" s="50"/>
      <c r="BF592" s="50"/>
      <c r="BG592" s="50"/>
      <c r="BH592" s="50"/>
      <c r="BI592" s="50"/>
      <c r="BJ592" s="50"/>
      <c r="BK592" s="50"/>
      <c r="BL592" s="50"/>
      <c r="BM592" s="50"/>
      <c r="BN592" s="50"/>
    </row>
    <row r="593">
      <c r="A593" s="50"/>
      <c r="B593" s="50"/>
      <c r="C593" s="50"/>
      <c r="D593" s="50"/>
      <c r="E593" s="158"/>
      <c r="F593" s="175"/>
      <c r="G593" s="175"/>
      <c r="H593" s="175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168"/>
      <c r="AF593" s="50"/>
      <c r="AG593" s="50"/>
      <c r="AH593" s="50"/>
      <c r="AI593" s="50"/>
      <c r="AJ593" s="50"/>
      <c r="AK593" s="50"/>
      <c r="AL593" s="50"/>
      <c r="AM593" s="50"/>
      <c r="AN593" s="50"/>
      <c r="AO593" s="50"/>
      <c r="AP593" s="50"/>
      <c r="AQ593" s="50"/>
      <c r="AR593" s="50"/>
      <c r="AS593" s="50"/>
      <c r="AT593" s="50"/>
      <c r="AU593" s="50"/>
      <c r="AV593" s="50"/>
      <c r="AW593" s="50"/>
      <c r="AX593" s="50"/>
      <c r="AY593" s="50"/>
      <c r="AZ593" s="50"/>
      <c r="BA593" s="50"/>
      <c r="BB593" s="50"/>
      <c r="BC593" s="50"/>
      <c r="BD593" s="50"/>
      <c r="BE593" s="50"/>
      <c r="BF593" s="50"/>
      <c r="BG593" s="50"/>
      <c r="BH593" s="50"/>
      <c r="BI593" s="50"/>
      <c r="BJ593" s="50"/>
      <c r="BK593" s="50"/>
      <c r="BL593" s="50"/>
      <c r="BM593" s="50"/>
      <c r="BN593" s="50"/>
    </row>
    <row r="594">
      <c r="A594" s="50"/>
      <c r="B594" s="50"/>
      <c r="C594" s="50"/>
      <c r="D594" s="50"/>
      <c r="E594" s="158"/>
      <c r="F594" s="175"/>
      <c r="G594" s="175"/>
      <c r="H594" s="175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168"/>
      <c r="AF594" s="50"/>
      <c r="AG594" s="50"/>
      <c r="AH594" s="50"/>
      <c r="AI594" s="50"/>
      <c r="AJ594" s="50"/>
      <c r="AK594" s="50"/>
      <c r="AL594" s="50"/>
      <c r="AM594" s="50"/>
      <c r="AN594" s="50"/>
      <c r="AO594" s="50"/>
      <c r="AP594" s="50"/>
      <c r="AQ594" s="50"/>
      <c r="AR594" s="50"/>
      <c r="AS594" s="50"/>
      <c r="AT594" s="50"/>
      <c r="AU594" s="50"/>
      <c r="AV594" s="50"/>
      <c r="AW594" s="50"/>
      <c r="AX594" s="50"/>
      <c r="AY594" s="50"/>
      <c r="AZ594" s="50"/>
      <c r="BA594" s="50"/>
      <c r="BB594" s="50"/>
      <c r="BC594" s="50"/>
      <c r="BD594" s="50"/>
      <c r="BE594" s="50"/>
      <c r="BF594" s="50"/>
      <c r="BG594" s="50"/>
      <c r="BH594" s="50"/>
      <c r="BI594" s="50"/>
      <c r="BJ594" s="50"/>
      <c r="BK594" s="50"/>
      <c r="BL594" s="50"/>
      <c r="BM594" s="50"/>
      <c r="BN594" s="50"/>
    </row>
    <row r="595">
      <c r="A595" s="50"/>
      <c r="B595" s="50"/>
      <c r="C595" s="50"/>
      <c r="D595" s="50"/>
      <c r="E595" s="158"/>
      <c r="F595" s="175"/>
      <c r="G595" s="175"/>
      <c r="H595" s="175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168"/>
      <c r="AF595" s="50"/>
      <c r="AG595" s="50"/>
      <c r="AH595" s="50"/>
      <c r="AI595" s="50"/>
      <c r="AJ595" s="50"/>
      <c r="AK595" s="50"/>
      <c r="AL595" s="50"/>
      <c r="AM595" s="50"/>
      <c r="AN595" s="50"/>
      <c r="AO595" s="50"/>
      <c r="AP595" s="50"/>
      <c r="AQ595" s="50"/>
      <c r="AR595" s="50"/>
      <c r="AS595" s="50"/>
      <c r="AT595" s="50"/>
      <c r="AU595" s="50"/>
      <c r="AV595" s="50"/>
      <c r="AW595" s="50"/>
      <c r="AX595" s="50"/>
      <c r="AY595" s="50"/>
      <c r="AZ595" s="50"/>
      <c r="BA595" s="50"/>
      <c r="BB595" s="50"/>
      <c r="BC595" s="50"/>
      <c r="BD595" s="50"/>
      <c r="BE595" s="50"/>
      <c r="BF595" s="50"/>
      <c r="BG595" s="50"/>
      <c r="BH595" s="50"/>
      <c r="BI595" s="50"/>
      <c r="BJ595" s="50"/>
      <c r="BK595" s="50"/>
      <c r="BL595" s="50"/>
      <c r="BM595" s="50"/>
      <c r="BN595" s="50"/>
    </row>
    <row r="596">
      <c r="A596" s="50"/>
      <c r="B596" s="50"/>
      <c r="C596" s="50"/>
      <c r="D596" s="50"/>
      <c r="E596" s="158"/>
      <c r="F596" s="175"/>
      <c r="G596" s="175"/>
      <c r="H596" s="175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168"/>
      <c r="AF596" s="50"/>
      <c r="AG596" s="50"/>
      <c r="AH596" s="50"/>
      <c r="AI596" s="50"/>
      <c r="AJ596" s="50"/>
      <c r="AK596" s="50"/>
      <c r="AL596" s="50"/>
      <c r="AM596" s="50"/>
      <c r="AN596" s="50"/>
      <c r="AO596" s="50"/>
      <c r="AP596" s="50"/>
      <c r="AQ596" s="50"/>
      <c r="AR596" s="50"/>
      <c r="AS596" s="50"/>
      <c r="AT596" s="50"/>
      <c r="AU596" s="50"/>
      <c r="AV596" s="50"/>
      <c r="AW596" s="50"/>
      <c r="AX596" s="50"/>
      <c r="AY596" s="50"/>
      <c r="AZ596" s="50"/>
      <c r="BA596" s="50"/>
      <c r="BB596" s="50"/>
      <c r="BC596" s="50"/>
      <c r="BD596" s="50"/>
      <c r="BE596" s="50"/>
      <c r="BF596" s="50"/>
      <c r="BG596" s="50"/>
      <c r="BH596" s="50"/>
      <c r="BI596" s="50"/>
      <c r="BJ596" s="50"/>
      <c r="BK596" s="50"/>
      <c r="BL596" s="50"/>
      <c r="BM596" s="50"/>
      <c r="BN596" s="50"/>
    </row>
    <row r="597">
      <c r="A597" s="50"/>
      <c r="B597" s="50"/>
      <c r="C597" s="50"/>
      <c r="D597" s="50"/>
      <c r="E597" s="158"/>
      <c r="F597" s="175"/>
      <c r="G597" s="175"/>
      <c r="H597" s="175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168"/>
      <c r="AF597" s="50"/>
      <c r="AG597" s="50"/>
      <c r="AH597" s="50"/>
      <c r="AI597" s="50"/>
      <c r="AJ597" s="50"/>
      <c r="AK597" s="50"/>
      <c r="AL597" s="50"/>
      <c r="AM597" s="50"/>
      <c r="AN597" s="50"/>
      <c r="AO597" s="50"/>
      <c r="AP597" s="50"/>
      <c r="AQ597" s="50"/>
      <c r="AR597" s="50"/>
      <c r="AS597" s="50"/>
      <c r="AT597" s="50"/>
      <c r="AU597" s="50"/>
      <c r="AV597" s="50"/>
      <c r="AW597" s="50"/>
      <c r="AX597" s="50"/>
      <c r="AY597" s="50"/>
      <c r="AZ597" s="50"/>
      <c r="BA597" s="50"/>
      <c r="BB597" s="50"/>
      <c r="BC597" s="50"/>
      <c r="BD597" s="50"/>
      <c r="BE597" s="50"/>
      <c r="BF597" s="50"/>
      <c r="BG597" s="50"/>
      <c r="BH597" s="50"/>
      <c r="BI597" s="50"/>
      <c r="BJ597" s="50"/>
      <c r="BK597" s="50"/>
      <c r="BL597" s="50"/>
      <c r="BM597" s="50"/>
      <c r="BN597" s="50"/>
    </row>
    <row r="598">
      <c r="A598" s="50"/>
      <c r="B598" s="50"/>
      <c r="C598" s="50"/>
      <c r="D598" s="50"/>
      <c r="E598" s="158"/>
      <c r="F598" s="175"/>
      <c r="G598" s="175"/>
      <c r="H598" s="175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168"/>
      <c r="AF598" s="50"/>
      <c r="AG598" s="50"/>
      <c r="AH598" s="50"/>
      <c r="AI598" s="50"/>
      <c r="AJ598" s="50"/>
      <c r="AK598" s="50"/>
      <c r="AL598" s="50"/>
      <c r="AM598" s="50"/>
      <c r="AN598" s="50"/>
      <c r="AO598" s="50"/>
      <c r="AP598" s="50"/>
      <c r="AQ598" s="50"/>
      <c r="AR598" s="50"/>
      <c r="AS598" s="50"/>
      <c r="AT598" s="50"/>
      <c r="AU598" s="50"/>
      <c r="AV598" s="50"/>
      <c r="AW598" s="50"/>
      <c r="AX598" s="50"/>
      <c r="AY598" s="50"/>
      <c r="AZ598" s="50"/>
      <c r="BA598" s="50"/>
      <c r="BB598" s="50"/>
      <c r="BC598" s="50"/>
      <c r="BD598" s="50"/>
      <c r="BE598" s="50"/>
      <c r="BF598" s="50"/>
      <c r="BG598" s="50"/>
      <c r="BH598" s="50"/>
      <c r="BI598" s="50"/>
      <c r="BJ598" s="50"/>
      <c r="BK598" s="50"/>
      <c r="BL598" s="50"/>
      <c r="BM598" s="50"/>
      <c r="BN598" s="50"/>
    </row>
    <row r="599">
      <c r="A599" s="50"/>
      <c r="B599" s="50"/>
      <c r="C599" s="50"/>
      <c r="D599" s="50"/>
      <c r="E599" s="158"/>
      <c r="F599" s="175"/>
      <c r="G599" s="175"/>
      <c r="H599" s="175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168"/>
      <c r="AF599" s="50"/>
      <c r="AG599" s="50"/>
      <c r="AH599" s="50"/>
      <c r="AI599" s="50"/>
      <c r="AJ599" s="50"/>
      <c r="AK599" s="50"/>
      <c r="AL599" s="50"/>
      <c r="AM599" s="50"/>
      <c r="AN599" s="50"/>
      <c r="AO599" s="50"/>
      <c r="AP599" s="50"/>
      <c r="AQ599" s="50"/>
      <c r="AR599" s="50"/>
      <c r="AS599" s="50"/>
      <c r="AT599" s="50"/>
      <c r="AU599" s="50"/>
      <c r="AV599" s="50"/>
      <c r="AW599" s="50"/>
      <c r="AX599" s="50"/>
      <c r="AY599" s="50"/>
      <c r="AZ599" s="50"/>
      <c r="BA599" s="50"/>
      <c r="BB599" s="50"/>
      <c r="BC599" s="50"/>
      <c r="BD599" s="50"/>
      <c r="BE599" s="50"/>
      <c r="BF599" s="50"/>
      <c r="BG599" s="50"/>
      <c r="BH599" s="50"/>
      <c r="BI599" s="50"/>
      <c r="BJ599" s="50"/>
      <c r="BK599" s="50"/>
      <c r="BL599" s="50"/>
      <c r="BM599" s="50"/>
      <c r="BN599" s="50"/>
    </row>
    <row r="600">
      <c r="A600" s="50"/>
      <c r="B600" s="50"/>
      <c r="C600" s="50"/>
      <c r="D600" s="50"/>
      <c r="E600" s="158"/>
      <c r="F600" s="175"/>
      <c r="G600" s="175"/>
      <c r="H600" s="175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168"/>
      <c r="AF600" s="50"/>
      <c r="AG600" s="50"/>
      <c r="AH600" s="50"/>
      <c r="AI600" s="50"/>
      <c r="AJ600" s="50"/>
      <c r="AK600" s="50"/>
      <c r="AL600" s="50"/>
      <c r="AM600" s="50"/>
      <c r="AN600" s="50"/>
      <c r="AO600" s="50"/>
      <c r="AP600" s="50"/>
      <c r="AQ600" s="50"/>
      <c r="AR600" s="50"/>
      <c r="AS600" s="50"/>
      <c r="AT600" s="50"/>
      <c r="AU600" s="50"/>
      <c r="AV600" s="50"/>
      <c r="AW600" s="50"/>
      <c r="AX600" s="50"/>
      <c r="AY600" s="50"/>
      <c r="AZ600" s="50"/>
      <c r="BA600" s="50"/>
      <c r="BB600" s="50"/>
      <c r="BC600" s="50"/>
      <c r="BD600" s="50"/>
      <c r="BE600" s="50"/>
      <c r="BF600" s="50"/>
      <c r="BG600" s="50"/>
      <c r="BH600" s="50"/>
      <c r="BI600" s="50"/>
      <c r="BJ600" s="50"/>
      <c r="BK600" s="50"/>
      <c r="BL600" s="50"/>
      <c r="BM600" s="50"/>
      <c r="BN600" s="50"/>
    </row>
    <row r="601">
      <c r="A601" s="50"/>
      <c r="B601" s="50"/>
      <c r="C601" s="50"/>
      <c r="D601" s="50"/>
      <c r="E601" s="158"/>
      <c r="F601" s="175"/>
      <c r="G601" s="175"/>
      <c r="H601" s="175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168"/>
      <c r="AF601" s="50"/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/>
      <c r="AR601" s="50"/>
      <c r="AS601" s="50"/>
      <c r="AT601" s="50"/>
      <c r="AU601" s="50"/>
      <c r="AV601" s="50"/>
      <c r="AW601" s="50"/>
      <c r="AX601" s="50"/>
      <c r="AY601" s="50"/>
      <c r="AZ601" s="50"/>
      <c r="BA601" s="50"/>
      <c r="BB601" s="50"/>
      <c r="BC601" s="50"/>
      <c r="BD601" s="50"/>
      <c r="BE601" s="50"/>
      <c r="BF601" s="50"/>
      <c r="BG601" s="50"/>
      <c r="BH601" s="50"/>
      <c r="BI601" s="50"/>
      <c r="BJ601" s="50"/>
      <c r="BK601" s="50"/>
      <c r="BL601" s="50"/>
      <c r="BM601" s="50"/>
      <c r="BN601" s="50"/>
    </row>
    <row r="602">
      <c r="A602" s="50"/>
      <c r="B602" s="50"/>
      <c r="C602" s="50"/>
      <c r="D602" s="50"/>
      <c r="E602" s="158"/>
      <c r="F602" s="175"/>
      <c r="G602" s="175"/>
      <c r="H602" s="175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168"/>
      <c r="AF602" s="50"/>
      <c r="AG602" s="50"/>
      <c r="AH602" s="50"/>
      <c r="AI602" s="50"/>
      <c r="AJ602" s="50"/>
      <c r="AK602" s="50"/>
      <c r="AL602" s="50"/>
      <c r="AM602" s="50"/>
      <c r="AN602" s="50"/>
      <c r="AO602" s="50"/>
      <c r="AP602" s="50"/>
      <c r="AQ602" s="50"/>
      <c r="AR602" s="50"/>
      <c r="AS602" s="50"/>
      <c r="AT602" s="50"/>
      <c r="AU602" s="50"/>
      <c r="AV602" s="50"/>
      <c r="AW602" s="50"/>
      <c r="AX602" s="50"/>
      <c r="AY602" s="50"/>
      <c r="AZ602" s="50"/>
      <c r="BA602" s="50"/>
      <c r="BB602" s="50"/>
      <c r="BC602" s="50"/>
      <c r="BD602" s="50"/>
      <c r="BE602" s="50"/>
      <c r="BF602" s="50"/>
      <c r="BG602" s="50"/>
      <c r="BH602" s="50"/>
      <c r="BI602" s="50"/>
      <c r="BJ602" s="50"/>
      <c r="BK602" s="50"/>
      <c r="BL602" s="50"/>
      <c r="BM602" s="50"/>
      <c r="BN602" s="50"/>
    </row>
    <row r="603">
      <c r="A603" s="50"/>
      <c r="B603" s="50"/>
      <c r="C603" s="50"/>
      <c r="D603" s="50"/>
      <c r="E603" s="158"/>
      <c r="F603" s="175"/>
      <c r="G603" s="175"/>
      <c r="H603" s="175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168"/>
      <c r="AF603" s="50"/>
      <c r="AG603" s="50"/>
      <c r="AH603" s="50"/>
      <c r="AI603" s="50"/>
      <c r="AJ603" s="50"/>
      <c r="AK603" s="50"/>
      <c r="AL603" s="50"/>
      <c r="AM603" s="50"/>
      <c r="AN603" s="50"/>
      <c r="AO603" s="50"/>
      <c r="AP603" s="50"/>
      <c r="AQ603" s="50"/>
      <c r="AR603" s="50"/>
      <c r="AS603" s="50"/>
      <c r="AT603" s="50"/>
      <c r="AU603" s="50"/>
      <c r="AV603" s="50"/>
      <c r="AW603" s="50"/>
      <c r="AX603" s="50"/>
      <c r="AY603" s="50"/>
      <c r="AZ603" s="50"/>
      <c r="BA603" s="50"/>
      <c r="BB603" s="50"/>
      <c r="BC603" s="50"/>
      <c r="BD603" s="50"/>
      <c r="BE603" s="50"/>
      <c r="BF603" s="50"/>
      <c r="BG603" s="50"/>
      <c r="BH603" s="50"/>
      <c r="BI603" s="50"/>
      <c r="BJ603" s="50"/>
      <c r="BK603" s="50"/>
      <c r="BL603" s="50"/>
      <c r="BM603" s="50"/>
      <c r="BN603" s="50"/>
    </row>
    <row r="604">
      <c r="A604" s="50"/>
      <c r="B604" s="50"/>
      <c r="C604" s="50"/>
      <c r="D604" s="50"/>
      <c r="E604" s="158"/>
      <c r="F604" s="175"/>
      <c r="G604" s="175"/>
      <c r="H604" s="175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168"/>
      <c r="AF604" s="50"/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  <c r="AQ604" s="50"/>
      <c r="AR604" s="50"/>
      <c r="AS604" s="50"/>
      <c r="AT604" s="50"/>
      <c r="AU604" s="50"/>
      <c r="AV604" s="50"/>
      <c r="AW604" s="50"/>
      <c r="AX604" s="50"/>
      <c r="AY604" s="50"/>
      <c r="AZ604" s="50"/>
      <c r="BA604" s="50"/>
      <c r="BB604" s="50"/>
      <c r="BC604" s="50"/>
      <c r="BD604" s="50"/>
      <c r="BE604" s="50"/>
      <c r="BF604" s="50"/>
      <c r="BG604" s="50"/>
      <c r="BH604" s="50"/>
      <c r="BI604" s="50"/>
      <c r="BJ604" s="50"/>
      <c r="BK604" s="50"/>
      <c r="BL604" s="50"/>
      <c r="BM604" s="50"/>
      <c r="BN604" s="50"/>
    </row>
    <row r="605">
      <c r="A605" s="50"/>
      <c r="B605" s="50"/>
      <c r="C605" s="50"/>
      <c r="D605" s="50"/>
      <c r="E605" s="158"/>
      <c r="F605" s="175"/>
      <c r="G605" s="175"/>
      <c r="H605" s="175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168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50"/>
      <c r="AR605" s="50"/>
      <c r="AS605" s="50"/>
      <c r="AT605" s="50"/>
      <c r="AU605" s="50"/>
      <c r="AV605" s="50"/>
      <c r="AW605" s="50"/>
      <c r="AX605" s="50"/>
      <c r="AY605" s="50"/>
      <c r="AZ605" s="50"/>
      <c r="BA605" s="50"/>
      <c r="BB605" s="50"/>
      <c r="BC605" s="50"/>
      <c r="BD605" s="50"/>
      <c r="BE605" s="50"/>
      <c r="BF605" s="50"/>
      <c r="BG605" s="50"/>
      <c r="BH605" s="50"/>
      <c r="BI605" s="50"/>
      <c r="BJ605" s="50"/>
      <c r="BK605" s="50"/>
      <c r="BL605" s="50"/>
      <c r="BM605" s="50"/>
      <c r="BN605" s="50"/>
    </row>
    <row r="606">
      <c r="A606" s="50"/>
      <c r="B606" s="50"/>
      <c r="C606" s="50"/>
      <c r="D606" s="50"/>
      <c r="E606" s="158"/>
      <c r="F606" s="175"/>
      <c r="G606" s="175"/>
      <c r="H606" s="175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168"/>
      <c r="AF606" s="50"/>
      <c r="AG606" s="50"/>
      <c r="AH606" s="50"/>
      <c r="AI606" s="50"/>
      <c r="AJ606" s="50"/>
      <c r="AK606" s="50"/>
      <c r="AL606" s="50"/>
      <c r="AM606" s="50"/>
      <c r="AN606" s="50"/>
      <c r="AO606" s="50"/>
      <c r="AP606" s="50"/>
      <c r="AQ606" s="50"/>
      <c r="AR606" s="50"/>
      <c r="AS606" s="50"/>
      <c r="AT606" s="50"/>
      <c r="AU606" s="50"/>
      <c r="AV606" s="50"/>
      <c r="AW606" s="50"/>
      <c r="AX606" s="50"/>
      <c r="AY606" s="50"/>
      <c r="AZ606" s="50"/>
      <c r="BA606" s="50"/>
      <c r="BB606" s="50"/>
      <c r="BC606" s="50"/>
      <c r="BD606" s="50"/>
      <c r="BE606" s="50"/>
      <c r="BF606" s="50"/>
      <c r="BG606" s="50"/>
      <c r="BH606" s="50"/>
      <c r="BI606" s="50"/>
      <c r="BJ606" s="50"/>
      <c r="BK606" s="50"/>
      <c r="BL606" s="50"/>
      <c r="BM606" s="50"/>
      <c r="BN606" s="50"/>
    </row>
    <row r="607">
      <c r="A607" s="50"/>
      <c r="B607" s="50"/>
      <c r="C607" s="50"/>
      <c r="D607" s="50"/>
      <c r="E607" s="158"/>
      <c r="F607" s="175"/>
      <c r="G607" s="175"/>
      <c r="H607" s="175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168"/>
      <c r="AF607" s="50"/>
      <c r="AG607" s="50"/>
      <c r="AH607" s="50"/>
      <c r="AI607" s="50"/>
      <c r="AJ607" s="50"/>
      <c r="AK607" s="50"/>
      <c r="AL607" s="50"/>
      <c r="AM607" s="50"/>
      <c r="AN607" s="50"/>
      <c r="AO607" s="50"/>
      <c r="AP607" s="50"/>
      <c r="AQ607" s="50"/>
      <c r="AR607" s="50"/>
      <c r="AS607" s="50"/>
      <c r="AT607" s="50"/>
      <c r="AU607" s="50"/>
      <c r="AV607" s="50"/>
      <c r="AW607" s="50"/>
      <c r="AX607" s="50"/>
      <c r="AY607" s="50"/>
      <c r="AZ607" s="50"/>
      <c r="BA607" s="50"/>
      <c r="BB607" s="50"/>
      <c r="BC607" s="50"/>
      <c r="BD607" s="50"/>
      <c r="BE607" s="50"/>
      <c r="BF607" s="50"/>
      <c r="BG607" s="50"/>
      <c r="BH607" s="50"/>
      <c r="BI607" s="50"/>
      <c r="BJ607" s="50"/>
      <c r="BK607" s="50"/>
      <c r="BL607" s="50"/>
      <c r="BM607" s="50"/>
      <c r="BN607" s="50"/>
    </row>
    <row r="608">
      <c r="A608" s="50"/>
      <c r="B608" s="50"/>
      <c r="C608" s="50"/>
      <c r="D608" s="50"/>
      <c r="E608" s="158"/>
      <c r="F608" s="175"/>
      <c r="G608" s="175"/>
      <c r="H608" s="175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168"/>
      <c r="AF608" s="50"/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  <c r="AQ608" s="50"/>
      <c r="AR608" s="50"/>
      <c r="AS608" s="50"/>
      <c r="AT608" s="50"/>
      <c r="AU608" s="50"/>
      <c r="AV608" s="50"/>
      <c r="AW608" s="50"/>
      <c r="AX608" s="50"/>
      <c r="AY608" s="50"/>
      <c r="AZ608" s="50"/>
      <c r="BA608" s="50"/>
      <c r="BB608" s="50"/>
      <c r="BC608" s="50"/>
      <c r="BD608" s="50"/>
      <c r="BE608" s="50"/>
      <c r="BF608" s="50"/>
      <c r="BG608" s="50"/>
      <c r="BH608" s="50"/>
      <c r="BI608" s="50"/>
      <c r="BJ608" s="50"/>
      <c r="BK608" s="50"/>
      <c r="BL608" s="50"/>
      <c r="BM608" s="50"/>
      <c r="BN608" s="50"/>
    </row>
    <row r="609">
      <c r="A609" s="50"/>
      <c r="B609" s="50"/>
      <c r="C609" s="50"/>
      <c r="D609" s="50"/>
      <c r="E609" s="158"/>
      <c r="F609" s="175"/>
      <c r="G609" s="175"/>
      <c r="H609" s="175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168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50"/>
      <c r="AU609" s="50"/>
      <c r="AV609" s="50"/>
      <c r="AW609" s="50"/>
      <c r="AX609" s="50"/>
      <c r="AY609" s="50"/>
      <c r="AZ609" s="50"/>
      <c r="BA609" s="50"/>
      <c r="BB609" s="50"/>
      <c r="BC609" s="50"/>
      <c r="BD609" s="50"/>
      <c r="BE609" s="50"/>
      <c r="BF609" s="50"/>
      <c r="BG609" s="50"/>
      <c r="BH609" s="50"/>
      <c r="BI609" s="50"/>
      <c r="BJ609" s="50"/>
      <c r="BK609" s="50"/>
      <c r="BL609" s="50"/>
      <c r="BM609" s="50"/>
      <c r="BN609" s="50"/>
    </row>
    <row r="610">
      <c r="A610" s="50"/>
      <c r="B610" s="50"/>
      <c r="C610" s="50"/>
      <c r="D610" s="50"/>
      <c r="E610" s="158"/>
      <c r="F610" s="175"/>
      <c r="G610" s="175"/>
      <c r="H610" s="175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168"/>
      <c r="AF610" s="50"/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  <c r="AQ610" s="50"/>
      <c r="AR610" s="50"/>
      <c r="AS610" s="50"/>
      <c r="AT610" s="50"/>
      <c r="AU610" s="50"/>
      <c r="AV610" s="50"/>
      <c r="AW610" s="50"/>
      <c r="AX610" s="50"/>
      <c r="AY610" s="50"/>
      <c r="AZ610" s="50"/>
      <c r="BA610" s="50"/>
      <c r="BB610" s="50"/>
      <c r="BC610" s="50"/>
      <c r="BD610" s="50"/>
      <c r="BE610" s="50"/>
      <c r="BF610" s="50"/>
      <c r="BG610" s="50"/>
      <c r="BH610" s="50"/>
      <c r="BI610" s="50"/>
      <c r="BJ610" s="50"/>
      <c r="BK610" s="50"/>
      <c r="BL610" s="50"/>
      <c r="BM610" s="50"/>
      <c r="BN610" s="50"/>
    </row>
    <row r="611">
      <c r="A611" s="50"/>
      <c r="B611" s="50"/>
      <c r="C611" s="50"/>
      <c r="D611" s="50"/>
      <c r="E611" s="158"/>
      <c r="F611" s="175"/>
      <c r="G611" s="175"/>
      <c r="H611" s="175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168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50"/>
      <c r="AU611" s="50"/>
      <c r="AV611" s="50"/>
      <c r="AW611" s="50"/>
      <c r="AX611" s="50"/>
      <c r="AY611" s="50"/>
      <c r="AZ611" s="50"/>
      <c r="BA611" s="50"/>
      <c r="BB611" s="50"/>
      <c r="BC611" s="50"/>
      <c r="BD611" s="50"/>
      <c r="BE611" s="50"/>
      <c r="BF611" s="50"/>
      <c r="BG611" s="50"/>
      <c r="BH611" s="50"/>
      <c r="BI611" s="50"/>
      <c r="BJ611" s="50"/>
      <c r="BK611" s="50"/>
      <c r="BL611" s="50"/>
      <c r="BM611" s="50"/>
      <c r="BN611" s="50"/>
    </row>
    <row r="612">
      <c r="A612" s="50"/>
      <c r="B612" s="50"/>
      <c r="C612" s="50"/>
      <c r="D612" s="50"/>
      <c r="E612" s="158"/>
      <c r="F612" s="175"/>
      <c r="G612" s="175"/>
      <c r="H612" s="175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168"/>
      <c r="AF612" s="50"/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50"/>
      <c r="AR612" s="50"/>
      <c r="AS612" s="50"/>
      <c r="AT612" s="50"/>
      <c r="AU612" s="50"/>
      <c r="AV612" s="50"/>
      <c r="AW612" s="50"/>
      <c r="AX612" s="50"/>
      <c r="AY612" s="50"/>
      <c r="AZ612" s="50"/>
      <c r="BA612" s="50"/>
      <c r="BB612" s="50"/>
      <c r="BC612" s="50"/>
      <c r="BD612" s="50"/>
      <c r="BE612" s="50"/>
      <c r="BF612" s="50"/>
      <c r="BG612" s="50"/>
      <c r="BH612" s="50"/>
      <c r="BI612" s="50"/>
      <c r="BJ612" s="50"/>
      <c r="BK612" s="50"/>
      <c r="BL612" s="50"/>
      <c r="BM612" s="50"/>
      <c r="BN612" s="50"/>
    </row>
    <row r="613">
      <c r="A613" s="50"/>
      <c r="B613" s="50"/>
      <c r="C613" s="50"/>
      <c r="D613" s="50"/>
      <c r="E613" s="158"/>
      <c r="F613" s="175"/>
      <c r="G613" s="175"/>
      <c r="H613" s="175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168"/>
      <c r="AF613" s="50"/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  <c r="AQ613" s="50"/>
      <c r="AR613" s="50"/>
      <c r="AS613" s="50"/>
      <c r="AT613" s="50"/>
      <c r="AU613" s="50"/>
      <c r="AV613" s="50"/>
      <c r="AW613" s="50"/>
      <c r="AX613" s="50"/>
      <c r="AY613" s="50"/>
      <c r="AZ613" s="50"/>
      <c r="BA613" s="50"/>
      <c r="BB613" s="50"/>
      <c r="BC613" s="50"/>
      <c r="BD613" s="50"/>
      <c r="BE613" s="50"/>
      <c r="BF613" s="50"/>
      <c r="BG613" s="50"/>
      <c r="BH613" s="50"/>
      <c r="BI613" s="50"/>
      <c r="BJ613" s="50"/>
      <c r="BK613" s="50"/>
      <c r="BL613" s="50"/>
      <c r="BM613" s="50"/>
      <c r="BN613" s="50"/>
    </row>
    <row r="614">
      <c r="A614" s="50"/>
      <c r="B614" s="50"/>
      <c r="C614" s="50"/>
      <c r="D614" s="50"/>
      <c r="E614" s="158"/>
      <c r="F614" s="175"/>
      <c r="G614" s="175"/>
      <c r="H614" s="175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168"/>
      <c r="AF614" s="50"/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  <c r="AQ614" s="50"/>
      <c r="AR614" s="50"/>
      <c r="AS614" s="50"/>
      <c r="AT614" s="50"/>
      <c r="AU614" s="50"/>
      <c r="AV614" s="50"/>
      <c r="AW614" s="50"/>
      <c r="AX614" s="50"/>
      <c r="AY614" s="50"/>
      <c r="AZ614" s="50"/>
      <c r="BA614" s="50"/>
      <c r="BB614" s="50"/>
      <c r="BC614" s="50"/>
      <c r="BD614" s="50"/>
      <c r="BE614" s="50"/>
      <c r="BF614" s="50"/>
      <c r="BG614" s="50"/>
      <c r="BH614" s="50"/>
      <c r="BI614" s="50"/>
      <c r="BJ614" s="50"/>
      <c r="BK614" s="50"/>
      <c r="BL614" s="50"/>
      <c r="BM614" s="50"/>
      <c r="BN614" s="50"/>
    </row>
    <row r="615">
      <c r="A615" s="50"/>
      <c r="B615" s="50"/>
      <c r="C615" s="50"/>
      <c r="D615" s="50"/>
      <c r="E615" s="158"/>
      <c r="F615" s="175"/>
      <c r="G615" s="175"/>
      <c r="H615" s="175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168"/>
      <c r="AF615" s="50"/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  <c r="AQ615" s="50"/>
      <c r="AR615" s="50"/>
      <c r="AS615" s="50"/>
      <c r="AT615" s="50"/>
      <c r="AU615" s="50"/>
      <c r="AV615" s="50"/>
      <c r="AW615" s="50"/>
      <c r="AX615" s="50"/>
      <c r="AY615" s="50"/>
      <c r="AZ615" s="50"/>
      <c r="BA615" s="50"/>
      <c r="BB615" s="50"/>
      <c r="BC615" s="50"/>
      <c r="BD615" s="50"/>
      <c r="BE615" s="50"/>
      <c r="BF615" s="50"/>
      <c r="BG615" s="50"/>
      <c r="BH615" s="50"/>
      <c r="BI615" s="50"/>
      <c r="BJ615" s="50"/>
      <c r="BK615" s="50"/>
      <c r="BL615" s="50"/>
      <c r="BM615" s="50"/>
      <c r="BN615" s="50"/>
    </row>
    <row r="616">
      <c r="A616" s="50"/>
      <c r="B616" s="50"/>
      <c r="C616" s="50"/>
      <c r="D616" s="50"/>
      <c r="E616" s="158"/>
      <c r="F616" s="175"/>
      <c r="G616" s="175"/>
      <c r="H616" s="175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168"/>
      <c r="AF616" s="50"/>
      <c r="AG616" s="50"/>
      <c r="AH616" s="50"/>
      <c r="AI616" s="50"/>
      <c r="AJ616" s="50"/>
      <c r="AK616" s="50"/>
      <c r="AL616" s="50"/>
      <c r="AM616" s="50"/>
      <c r="AN616" s="50"/>
      <c r="AO616" s="50"/>
      <c r="AP616" s="50"/>
      <c r="AQ616" s="50"/>
      <c r="AR616" s="50"/>
      <c r="AS616" s="50"/>
      <c r="AT616" s="50"/>
      <c r="AU616" s="50"/>
      <c r="AV616" s="50"/>
      <c r="AW616" s="50"/>
      <c r="AX616" s="50"/>
      <c r="AY616" s="50"/>
      <c r="AZ616" s="50"/>
      <c r="BA616" s="50"/>
      <c r="BB616" s="50"/>
      <c r="BC616" s="50"/>
      <c r="BD616" s="50"/>
      <c r="BE616" s="50"/>
      <c r="BF616" s="50"/>
      <c r="BG616" s="50"/>
      <c r="BH616" s="50"/>
      <c r="BI616" s="50"/>
      <c r="BJ616" s="50"/>
      <c r="BK616" s="50"/>
      <c r="BL616" s="50"/>
      <c r="BM616" s="50"/>
      <c r="BN616" s="50"/>
    </row>
    <row r="617">
      <c r="A617" s="50"/>
      <c r="B617" s="50"/>
      <c r="C617" s="50"/>
      <c r="D617" s="50"/>
      <c r="E617" s="158"/>
      <c r="F617" s="175"/>
      <c r="G617" s="175"/>
      <c r="H617" s="175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168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/>
      <c r="AV617" s="50"/>
      <c r="AW617" s="50"/>
      <c r="AX617" s="50"/>
      <c r="AY617" s="50"/>
      <c r="AZ617" s="50"/>
      <c r="BA617" s="50"/>
      <c r="BB617" s="50"/>
      <c r="BC617" s="50"/>
      <c r="BD617" s="50"/>
      <c r="BE617" s="50"/>
      <c r="BF617" s="50"/>
      <c r="BG617" s="50"/>
      <c r="BH617" s="50"/>
      <c r="BI617" s="50"/>
      <c r="BJ617" s="50"/>
      <c r="BK617" s="50"/>
      <c r="BL617" s="50"/>
      <c r="BM617" s="50"/>
      <c r="BN617" s="50"/>
    </row>
    <row r="618">
      <c r="A618" s="50"/>
      <c r="B618" s="50"/>
      <c r="C618" s="50"/>
      <c r="D618" s="50"/>
      <c r="E618" s="158"/>
      <c r="F618" s="175"/>
      <c r="G618" s="175"/>
      <c r="H618" s="175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168"/>
      <c r="AF618" s="50"/>
      <c r="AG618" s="50"/>
      <c r="AH618" s="50"/>
      <c r="AI618" s="50"/>
      <c r="AJ618" s="50"/>
      <c r="AK618" s="50"/>
      <c r="AL618" s="50"/>
      <c r="AM618" s="50"/>
      <c r="AN618" s="50"/>
      <c r="AO618" s="50"/>
      <c r="AP618" s="50"/>
      <c r="AQ618" s="50"/>
      <c r="AR618" s="50"/>
      <c r="AS618" s="50"/>
      <c r="AT618" s="50"/>
      <c r="AU618" s="50"/>
      <c r="AV618" s="50"/>
      <c r="AW618" s="50"/>
      <c r="AX618" s="50"/>
      <c r="AY618" s="50"/>
      <c r="AZ618" s="50"/>
      <c r="BA618" s="50"/>
      <c r="BB618" s="50"/>
      <c r="BC618" s="50"/>
      <c r="BD618" s="50"/>
      <c r="BE618" s="50"/>
      <c r="BF618" s="50"/>
      <c r="BG618" s="50"/>
      <c r="BH618" s="50"/>
      <c r="BI618" s="50"/>
      <c r="BJ618" s="50"/>
      <c r="BK618" s="50"/>
      <c r="BL618" s="50"/>
      <c r="BM618" s="50"/>
      <c r="BN618" s="50"/>
    </row>
    <row r="619">
      <c r="A619" s="50"/>
      <c r="B619" s="50"/>
      <c r="C619" s="50"/>
      <c r="D619" s="50"/>
      <c r="E619" s="158"/>
      <c r="F619" s="175"/>
      <c r="G619" s="175"/>
      <c r="H619" s="175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168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50"/>
      <c r="AU619" s="50"/>
      <c r="AV619" s="50"/>
      <c r="AW619" s="50"/>
      <c r="AX619" s="50"/>
      <c r="AY619" s="50"/>
      <c r="AZ619" s="50"/>
      <c r="BA619" s="50"/>
      <c r="BB619" s="50"/>
      <c r="BC619" s="50"/>
      <c r="BD619" s="50"/>
      <c r="BE619" s="50"/>
      <c r="BF619" s="50"/>
      <c r="BG619" s="50"/>
      <c r="BH619" s="50"/>
      <c r="BI619" s="50"/>
      <c r="BJ619" s="50"/>
      <c r="BK619" s="50"/>
      <c r="BL619" s="50"/>
      <c r="BM619" s="50"/>
      <c r="BN619" s="50"/>
    </row>
    <row r="620">
      <c r="A620" s="50"/>
      <c r="B620" s="50"/>
      <c r="C620" s="50"/>
      <c r="D620" s="50"/>
      <c r="E620" s="158"/>
      <c r="F620" s="175"/>
      <c r="G620" s="175"/>
      <c r="H620" s="175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168"/>
      <c r="AF620" s="50"/>
      <c r="AG620" s="50"/>
      <c r="AH620" s="50"/>
      <c r="AI620" s="50"/>
      <c r="AJ620" s="50"/>
      <c r="AK620" s="50"/>
      <c r="AL620" s="50"/>
      <c r="AM620" s="50"/>
      <c r="AN620" s="50"/>
      <c r="AO620" s="50"/>
      <c r="AP620" s="50"/>
      <c r="AQ620" s="50"/>
      <c r="AR620" s="50"/>
      <c r="AS620" s="50"/>
      <c r="AT620" s="50"/>
      <c r="AU620" s="50"/>
      <c r="AV620" s="50"/>
      <c r="AW620" s="50"/>
      <c r="AX620" s="50"/>
      <c r="AY620" s="50"/>
      <c r="AZ620" s="50"/>
      <c r="BA620" s="50"/>
      <c r="BB620" s="50"/>
      <c r="BC620" s="50"/>
      <c r="BD620" s="50"/>
      <c r="BE620" s="50"/>
      <c r="BF620" s="50"/>
      <c r="BG620" s="50"/>
      <c r="BH620" s="50"/>
      <c r="BI620" s="50"/>
      <c r="BJ620" s="50"/>
      <c r="BK620" s="50"/>
      <c r="BL620" s="50"/>
      <c r="BM620" s="50"/>
      <c r="BN620" s="50"/>
    </row>
    <row r="621">
      <c r="A621" s="50"/>
      <c r="B621" s="50"/>
      <c r="C621" s="50"/>
      <c r="D621" s="50"/>
      <c r="E621" s="158"/>
      <c r="F621" s="175"/>
      <c r="G621" s="175"/>
      <c r="H621" s="175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168"/>
      <c r="AF621" s="50"/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  <c r="AQ621" s="50"/>
      <c r="AR621" s="50"/>
      <c r="AS621" s="50"/>
      <c r="AT621" s="50"/>
      <c r="AU621" s="50"/>
      <c r="AV621" s="50"/>
      <c r="AW621" s="50"/>
      <c r="AX621" s="50"/>
      <c r="AY621" s="50"/>
      <c r="AZ621" s="50"/>
      <c r="BA621" s="50"/>
      <c r="BB621" s="50"/>
      <c r="BC621" s="50"/>
      <c r="BD621" s="50"/>
      <c r="BE621" s="50"/>
      <c r="BF621" s="50"/>
      <c r="BG621" s="50"/>
      <c r="BH621" s="50"/>
      <c r="BI621" s="50"/>
      <c r="BJ621" s="50"/>
      <c r="BK621" s="50"/>
      <c r="BL621" s="50"/>
      <c r="BM621" s="50"/>
      <c r="BN621" s="50"/>
    </row>
    <row r="622">
      <c r="A622" s="50"/>
      <c r="B622" s="50"/>
      <c r="C622" s="50"/>
      <c r="D622" s="50"/>
      <c r="E622" s="158"/>
      <c r="F622" s="175"/>
      <c r="G622" s="175"/>
      <c r="H622" s="175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168"/>
      <c r="AF622" s="50"/>
      <c r="AG622" s="50"/>
      <c r="AH622" s="50"/>
      <c r="AI622" s="50"/>
      <c r="AJ622" s="50"/>
      <c r="AK622" s="50"/>
      <c r="AL622" s="50"/>
      <c r="AM622" s="50"/>
      <c r="AN622" s="50"/>
      <c r="AO622" s="50"/>
      <c r="AP622" s="50"/>
      <c r="AQ622" s="50"/>
      <c r="AR622" s="50"/>
      <c r="AS622" s="50"/>
      <c r="AT622" s="50"/>
      <c r="AU622" s="50"/>
      <c r="AV622" s="50"/>
      <c r="AW622" s="50"/>
      <c r="AX622" s="50"/>
      <c r="AY622" s="50"/>
      <c r="AZ622" s="50"/>
      <c r="BA622" s="50"/>
      <c r="BB622" s="50"/>
      <c r="BC622" s="50"/>
      <c r="BD622" s="50"/>
      <c r="BE622" s="50"/>
      <c r="BF622" s="50"/>
      <c r="BG622" s="50"/>
      <c r="BH622" s="50"/>
      <c r="BI622" s="50"/>
      <c r="BJ622" s="50"/>
      <c r="BK622" s="50"/>
      <c r="BL622" s="50"/>
      <c r="BM622" s="50"/>
      <c r="BN622" s="50"/>
    </row>
    <row r="623">
      <c r="A623" s="50"/>
      <c r="B623" s="50"/>
      <c r="C623" s="50"/>
      <c r="D623" s="50"/>
      <c r="E623" s="158"/>
      <c r="F623" s="175"/>
      <c r="G623" s="175"/>
      <c r="H623" s="175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168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  <c r="AV623" s="50"/>
      <c r="AW623" s="50"/>
      <c r="AX623" s="50"/>
      <c r="AY623" s="50"/>
      <c r="AZ623" s="50"/>
      <c r="BA623" s="50"/>
      <c r="BB623" s="50"/>
      <c r="BC623" s="50"/>
      <c r="BD623" s="50"/>
      <c r="BE623" s="50"/>
      <c r="BF623" s="50"/>
      <c r="BG623" s="50"/>
      <c r="BH623" s="50"/>
      <c r="BI623" s="50"/>
      <c r="BJ623" s="50"/>
      <c r="BK623" s="50"/>
      <c r="BL623" s="50"/>
      <c r="BM623" s="50"/>
      <c r="BN623" s="50"/>
    </row>
    <row r="624">
      <c r="A624" s="50"/>
      <c r="B624" s="50"/>
      <c r="C624" s="50"/>
      <c r="D624" s="50"/>
      <c r="E624" s="158"/>
      <c r="F624" s="175"/>
      <c r="G624" s="175"/>
      <c r="H624" s="175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168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/>
      <c r="AW624" s="50"/>
      <c r="AX624" s="50"/>
      <c r="AY624" s="50"/>
      <c r="AZ624" s="50"/>
      <c r="BA624" s="50"/>
      <c r="BB624" s="50"/>
      <c r="BC624" s="50"/>
      <c r="BD624" s="50"/>
      <c r="BE624" s="50"/>
      <c r="BF624" s="50"/>
      <c r="BG624" s="50"/>
      <c r="BH624" s="50"/>
      <c r="BI624" s="50"/>
      <c r="BJ624" s="50"/>
      <c r="BK624" s="50"/>
      <c r="BL624" s="50"/>
      <c r="BM624" s="50"/>
      <c r="BN624" s="50"/>
    </row>
    <row r="625">
      <c r="A625" s="50"/>
      <c r="B625" s="50"/>
      <c r="C625" s="50"/>
      <c r="D625" s="50"/>
      <c r="E625" s="158"/>
      <c r="F625" s="175"/>
      <c r="G625" s="175"/>
      <c r="H625" s="175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168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/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</row>
    <row r="626">
      <c r="A626" s="50"/>
      <c r="B626" s="50"/>
      <c r="C626" s="50"/>
      <c r="D626" s="50"/>
      <c r="E626" s="158"/>
      <c r="F626" s="175"/>
      <c r="G626" s="175"/>
      <c r="H626" s="175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168"/>
      <c r="AF626" s="50"/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  <c r="AV626" s="50"/>
      <c r="AW626" s="50"/>
      <c r="AX626" s="50"/>
      <c r="AY626" s="50"/>
      <c r="AZ626" s="50"/>
      <c r="BA626" s="50"/>
      <c r="BB626" s="50"/>
      <c r="BC626" s="50"/>
      <c r="BD626" s="50"/>
      <c r="BE626" s="50"/>
      <c r="BF626" s="50"/>
      <c r="BG626" s="50"/>
      <c r="BH626" s="50"/>
      <c r="BI626" s="50"/>
      <c r="BJ626" s="50"/>
      <c r="BK626" s="50"/>
      <c r="BL626" s="50"/>
      <c r="BM626" s="50"/>
      <c r="BN626" s="50"/>
    </row>
    <row r="627">
      <c r="A627" s="50"/>
      <c r="B627" s="50"/>
      <c r="C627" s="50"/>
      <c r="D627" s="50"/>
      <c r="E627" s="158"/>
      <c r="F627" s="175"/>
      <c r="G627" s="175"/>
      <c r="H627" s="175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168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/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</row>
    <row r="628">
      <c r="A628" s="50"/>
      <c r="B628" s="50"/>
      <c r="C628" s="50"/>
      <c r="D628" s="50"/>
      <c r="E628" s="158"/>
      <c r="F628" s="175"/>
      <c r="G628" s="175"/>
      <c r="H628" s="175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168"/>
      <c r="AF628" s="50"/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50"/>
      <c r="AR628" s="50"/>
      <c r="AS628" s="50"/>
      <c r="AT628" s="50"/>
      <c r="AU628" s="50"/>
      <c r="AV628" s="50"/>
      <c r="AW628" s="50"/>
      <c r="AX628" s="50"/>
      <c r="AY628" s="50"/>
      <c r="AZ628" s="50"/>
      <c r="BA628" s="50"/>
      <c r="BB628" s="50"/>
      <c r="BC628" s="50"/>
      <c r="BD628" s="50"/>
      <c r="BE628" s="50"/>
      <c r="BF628" s="50"/>
      <c r="BG628" s="50"/>
      <c r="BH628" s="50"/>
      <c r="BI628" s="50"/>
      <c r="BJ628" s="50"/>
      <c r="BK628" s="50"/>
      <c r="BL628" s="50"/>
      <c r="BM628" s="50"/>
      <c r="BN628" s="50"/>
    </row>
    <row r="629">
      <c r="A629" s="50"/>
      <c r="B629" s="50"/>
      <c r="C629" s="50"/>
      <c r="D629" s="50"/>
      <c r="E629" s="158"/>
      <c r="F629" s="175"/>
      <c r="G629" s="175"/>
      <c r="H629" s="175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168"/>
      <c r="AF629" s="50"/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/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</row>
    <row r="630">
      <c r="A630" s="50"/>
      <c r="B630" s="50"/>
      <c r="C630" s="50"/>
      <c r="D630" s="50"/>
      <c r="E630" s="158"/>
      <c r="F630" s="175"/>
      <c r="G630" s="175"/>
      <c r="H630" s="175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168"/>
      <c r="AF630" s="50"/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  <c r="AV630" s="50"/>
      <c r="AW630" s="50"/>
      <c r="AX630" s="50"/>
      <c r="AY630" s="50"/>
      <c r="AZ630" s="50"/>
      <c r="BA630" s="50"/>
      <c r="BB630" s="50"/>
      <c r="BC630" s="50"/>
      <c r="BD630" s="50"/>
      <c r="BE630" s="50"/>
      <c r="BF630" s="50"/>
      <c r="BG630" s="50"/>
      <c r="BH630" s="50"/>
      <c r="BI630" s="50"/>
      <c r="BJ630" s="50"/>
      <c r="BK630" s="50"/>
      <c r="BL630" s="50"/>
      <c r="BM630" s="50"/>
      <c r="BN630" s="50"/>
    </row>
    <row r="631">
      <c r="A631" s="50"/>
      <c r="B631" s="50"/>
      <c r="C631" s="50"/>
      <c r="D631" s="50"/>
      <c r="E631" s="158"/>
      <c r="F631" s="175"/>
      <c r="G631" s="175"/>
      <c r="H631" s="175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168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50"/>
      <c r="AU631" s="50"/>
      <c r="AV631" s="50"/>
      <c r="AW631" s="50"/>
      <c r="AX631" s="50"/>
      <c r="AY631" s="50"/>
      <c r="AZ631" s="50"/>
      <c r="BA631" s="50"/>
      <c r="BB631" s="50"/>
      <c r="BC631" s="50"/>
      <c r="BD631" s="50"/>
      <c r="BE631" s="50"/>
      <c r="BF631" s="50"/>
      <c r="BG631" s="50"/>
      <c r="BH631" s="50"/>
      <c r="BI631" s="50"/>
      <c r="BJ631" s="50"/>
      <c r="BK631" s="50"/>
      <c r="BL631" s="50"/>
      <c r="BM631" s="50"/>
      <c r="BN631" s="50"/>
    </row>
    <row r="632">
      <c r="A632" s="50"/>
      <c r="B632" s="50"/>
      <c r="C632" s="50"/>
      <c r="D632" s="50"/>
      <c r="E632" s="158"/>
      <c r="F632" s="175"/>
      <c r="G632" s="175"/>
      <c r="H632" s="175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168"/>
      <c r="AF632" s="50"/>
      <c r="AG632" s="50"/>
      <c r="AH632" s="50"/>
      <c r="AI632" s="50"/>
      <c r="AJ632" s="50"/>
      <c r="AK632" s="50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  <c r="AV632" s="50"/>
      <c r="AW632" s="50"/>
      <c r="AX632" s="50"/>
      <c r="AY632" s="50"/>
      <c r="AZ632" s="50"/>
      <c r="BA632" s="50"/>
      <c r="BB632" s="50"/>
      <c r="BC632" s="50"/>
      <c r="BD632" s="50"/>
      <c r="BE632" s="50"/>
      <c r="BF632" s="50"/>
      <c r="BG632" s="50"/>
      <c r="BH632" s="50"/>
      <c r="BI632" s="50"/>
      <c r="BJ632" s="50"/>
      <c r="BK632" s="50"/>
      <c r="BL632" s="50"/>
      <c r="BM632" s="50"/>
      <c r="BN632" s="50"/>
    </row>
    <row r="633">
      <c r="A633" s="50"/>
      <c r="B633" s="50"/>
      <c r="C633" s="50"/>
      <c r="D633" s="50"/>
      <c r="E633" s="158"/>
      <c r="F633" s="175"/>
      <c r="G633" s="175"/>
      <c r="H633" s="175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168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50"/>
      <c r="AU633" s="50"/>
      <c r="AV633" s="50"/>
      <c r="AW633" s="50"/>
      <c r="AX633" s="50"/>
      <c r="AY633" s="50"/>
      <c r="AZ633" s="50"/>
      <c r="BA633" s="50"/>
      <c r="BB633" s="50"/>
      <c r="BC633" s="50"/>
      <c r="BD633" s="50"/>
      <c r="BE633" s="50"/>
      <c r="BF633" s="50"/>
      <c r="BG633" s="50"/>
      <c r="BH633" s="50"/>
      <c r="BI633" s="50"/>
      <c r="BJ633" s="50"/>
      <c r="BK633" s="50"/>
      <c r="BL633" s="50"/>
      <c r="BM633" s="50"/>
      <c r="BN633" s="50"/>
    </row>
    <row r="634">
      <c r="A634" s="50"/>
      <c r="B634" s="50"/>
      <c r="C634" s="50"/>
      <c r="D634" s="50"/>
      <c r="E634" s="158"/>
      <c r="F634" s="175"/>
      <c r="G634" s="175"/>
      <c r="H634" s="175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168"/>
      <c r="AF634" s="50"/>
      <c r="AG634" s="50"/>
      <c r="AH634" s="50"/>
      <c r="AI634" s="50"/>
      <c r="AJ634" s="50"/>
      <c r="AK634" s="50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  <c r="AV634" s="50"/>
      <c r="AW634" s="50"/>
      <c r="AX634" s="50"/>
      <c r="AY634" s="50"/>
      <c r="AZ634" s="50"/>
      <c r="BA634" s="50"/>
      <c r="BB634" s="50"/>
      <c r="BC634" s="50"/>
      <c r="BD634" s="50"/>
      <c r="BE634" s="50"/>
      <c r="BF634" s="50"/>
      <c r="BG634" s="50"/>
      <c r="BH634" s="50"/>
      <c r="BI634" s="50"/>
      <c r="BJ634" s="50"/>
      <c r="BK634" s="50"/>
      <c r="BL634" s="50"/>
      <c r="BM634" s="50"/>
      <c r="BN634" s="50"/>
    </row>
    <row r="635">
      <c r="A635" s="50"/>
      <c r="B635" s="50"/>
      <c r="C635" s="50"/>
      <c r="D635" s="50"/>
      <c r="E635" s="158"/>
      <c r="F635" s="175"/>
      <c r="G635" s="175"/>
      <c r="H635" s="175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168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/>
      <c r="AW635" s="50"/>
      <c r="AX635" s="50"/>
      <c r="AY635" s="50"/>
      <c r="AZ635" s="50"/>
      <c r="BA635" s="50"/>
      <c r="BB635" s="50"/>
      <c r="BC635" s="50"/>
      <c r="BD635" s="50"/>
      <c r="BE635" s="50"/>
      <c r="BF635" s="50"/>
      <c r="BG635" s="50"/>
      <c r="BH635" s="50"/>
      <c r="BI635" s="50"/>
      <c r="BJ635" s="50"/>
      <c r="BK635" s="50"/>
      <c r="BL635" s="50"/>
      <c r="BM635" s="50"/>
      <c r="BN635" s="50"/>
    </row>
    <row r="636">
      <c r="A636" s="50"/>
      <c r="B636" s="50"/>
      <c r="C636" s="50"/>
      <c r="D636" s="50"/>
      <c r="E636" s="158"/>
      <c r="F636" s="175"/>
      <c r="G636" s="175"/>
      <c r="H636" s="175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168"/>
      <c r="AF636" s="50"/>
      <c r="AG636" s="50"/>
      <c r="AH636" s="50"/>
      <c r="AI636" s="50"/>
      <c r="AJ636" s="50"/>
      <c r="AK636" s="50"/>
      <c r="AL636" s="50"/>
      <c r="AM636" s="50"/>
      <c r="AN636" s="50"/>
      <c r="AO636" s="50"/>
      <c r="AP636" s="50"/>
      <c r="AQ636" s="50"/>
      <c r="AR636" s="50"/>
      <c r="AS636" s="50"/>
      <c r="AT636" s="50"/>
      <c r="AU636" s="50"/>
      <c r="AV636" s="50"/>
      <c r="AW636" s="50"/>
      <c r="AX636" s="50"/>
      <c r="AY636" s="50"/>
      <c r="AZ636" s="50"/>
      <c r="BA636" s="50"/>
      <c r="BB636" s="50"/>
      <c r="BC636" s="50"/>
      <c r="BD636" s="50"/>
      <c r="BE636" s="50"/>
      <c r="BF636" s="50"/>
      <c r="BG636" s="50"/>
      <c r="BH636" s="50"/>
      <c r="BI636" s="50"/>
      <c r="BJ636" s="50"/>
      <c r="BK636" s="50"/>
      <c r="BL636" s="50"/>
      <c r="BM636" s="50"/>
      <c r="BN636" s="50"/>
    </row>
    <row r="637">
      <c r="A637" s="50"/>
      <c r="B637" s="50"/>
      <c r="C637" s="50"/>
      <c r="D637" s="50"/>
      <c r="E637" s="158"/>
      <c r="F637" s="175"/>
      <c r="G637" s="175"/>
      <c r="H637" s="175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168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/>
      <c r="AR637" s="50"/>
      <c r="AS637" s="50"/>
      <c r="AT637" s="50"/>
      <c r="AU637" s="50"/>
      <c r="AV637" s="50"/>
      <c r="AW637" s="50"/>
      <c r="AX637" s="50"/>
      <c r="AY637" s="50"/>
      <c r="AZ637" s="50"/>
      <c r="BA637" s="50"/>
      <c r="BB637" s="50"/>
      <c r="BC637" s="50"/>
      <c r="BD637" s="50"/>
      <c r="BE637" s="50"/>
      <c r="BF637" s="50"/>
      <c r="BG637" s="50"/>
      <c r="BH637" s="50"/>
      <c r="BI637" s="50"/>
      <c r="BJ637" s="50"/>
      <c r="BK637" s="50"/>
      <c r="BL637" s="50"/>
      <c r="BM637" s="50"/>
      <c r="BN637" s="50"/>
    </row>
    <row r="638">
      <c r="A638" s="50"/>
      <c r="B638" s="50"/>
      <c r="C638" s="50"/>
      <c r="D638" s="50"/>
      <c r="E638" s="158"/>
      <c r="F638" s="175"/>
      <c r="G638" s="175"/>
      <c r="H638" s="175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168"/>
      <c r="AF638" s="50"/>
      <c r="AG638" s="50"/>
      <c r="AH638" s="50"/>
      <c r="AI638" s="50"/>
      <c r="AJ638" s="50"/>
      <c r="AK638" s="50"/>
      <c r="AL638" s="50"/>
      <c r="AM638" s="50"/>
      <c r="AN638" s="50"/>
      <c r="AO638" s="50"/>
      <c r="AP638" s="50"/>
      <c r="AQ638" s="50"/>
      <c r="AR638" s="50"/>
      <c r="AS638" s="50"/>
      <c r="AT638" s="50"/>
      <c r="AU638" s="50"/>
      <c r="AV638" s="50"/>
      <c r="AW638" s="50"/>
      <c r="AX638" s="50"/>
      <c r="AY638" s="50"/>
      <c r="AZ638" s="50"/>
      <c r="BA638" s="50"/>
      <c r="BB638" s="50"/>
      <c r="BC638" s="50"/>
      <c r="BD638" s="50"/>
      <c r="BE638" s="50"/>
      <c r="BF638" s="50"/>
      <c r="BG638" s="50"/>
      <c r="BH638" s="50"/>
      <c r="BI638" s="50"/>
      <c r="BJ638" s="50"/>
      <c r="BK638" s="50"/>
      <c r="BL638" s="50"/>
      <c r="BM638" s="50"/>
      <c r="BN638" s="50"/>
    </row>
    <row r="639">
      <c r="A639" s="50"/>
      <c r="B639" s="50"/>
      <c r="C639" s="50"/>
      <c r="D639" s="50"/>
      <c r="E639" s="158"/>
      <c r="F639" s="175"/>
      <c r="G639" s="175"/>
      <c r="H639" s="175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168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50"/>
      <c r="AU639" s="50"/>
      <c r="AV639" s="50"/>
      <c r="AW639" s="50"/>
      <c r="AX639" s="50"/>
      <c r="AY639" s="50"/>
      <c r="AZ639" s="50"/>
      <c r="BA639" s="50"/>
      <c r="BB639" s="50"/>
      <c r="BC639" s="50"/>
      <c r="BD639" s="50"/>
      <c r="BE639" s="50"/>
      <c r="BF639" s="50"/>
      <c r="BG639" s="50"/>
      <c r="BH639" s="50"/>
      <c r="BI639" s="50"/>
      <c r="BJ639" s="50"/>
      <c r="BK639" s="50"/>
      <c r="BL639" s="50"/>
      <c r="BM639" s="50"/>
      <c r="BN639" s="50"/>
    </row>
    <row r="640">
      <c r="A640" s="50"/>
      <c r="B640" s="50"/>
      <c r="C640" s="50"/>
      <c r="D640" s="50"/>
      <c r="E640" s="158"/>
      <c r="F640" s="175"/>
      <c r="G640" s="175"/>
      <c r="H640" s="175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168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  <c r="AR640" s="50"/>
      <c r="AS640" s="50"/>
      <c r="AT640" s="50"/>
      <c r="AU640" s="50"/>
      <c r="AV640" s="50"/>
      <c r="AW640" s="50"/>
      <c r="AX640" s="50"/>
      <c r="AY640" s="50"/>
      <c r="AZ640" s="50"/>
      <c r="BA640" s="50"/>
      <c r="BB640" s="50"/>
      <c r="BC640" s="50"/>
      <c r="BD640" s="50"/>
      <c r="BE640" s="50"/>
      <c r="BF640" s="50"/>
      <c r="BG640" s="50"/>
      <c r="BH640" s="50"/>
      <c r="BI640" s="50"/>
      <c r="BJ640" s="50"/>
      <c r="BK640" s="50"/>
      <c r="BL640" s="50"/>
      <c r="BM640" s="50"/>
      <c r="BN640" s="50"/>
    </row>
    <row r="641">
      <c r="A641" s="50"/>
      <c r="B641" s="50"/>
      <c r="C641" s="50"/>
      <c r="D641" s="50"/>
      <c r="E641" s="158"/>
      <c r="F641" s="175"/>
      <c r="G641" s="175"/>
      <c r="H641" s="175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168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  <c r="AV641" s="50"/>
      <c r="AW641" s="50"/>
      <c r="AX641" s="50"/>
      <c r="AY641" s="50"/>
      <c r="AZ641" s="50"/>
      <c r="BA641" s="50"/>
      <c r="BB641" s="50"/>
      <c r="BC641" s="50"/>
      <c r="BD641" s="50"/>
      <c r="BE641" s="50"/>
      <c r="BF641" s="50"/>
      <c r="BG641" s="50"/>
      <c r="BH641" s="50"/>
      <c r="BI641" s="50"/>
      <c r="BJ641" s="50"/>
      <c r="BK641" s="50"/>
      <c r="BL641" s="50"/>
      <c r="BM641" s="50"/>
      <c r="BN641" s="50"/>
    </row>
    <row r="642">
      <c r="A642" s="50"/>
      <c r="B642" s="50"/>
      <c r="C642" s="50"/>
      <c r="D642" s="50"/>
      <c r="E642" s="158"/>
      <c r="F642" s="175"/>
      <c r="G642" s="175"/>
      <c r="H642" s="175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168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  <c r="AR642" s="50"/>
      <c r="AS642" s="50"/>
      <c r="AT642" s="50"/>
      <c r="AU642" s="50"/>
      <c r="AV642" s="50"/>
      <c r="AW642" s="50"/>
      <c r="AX642" s="50"/>
      <c r="AY642" s="50"/>
      <c r="AZ642" s="50"/>
      <c r="BA642" s="50"/>
      <c r="BB642" s="50"/>
      <c r="BC642" s="50"/>
      <c r="BD642" s="50"/>
      <c r="BE642" s="50"/>
      <c r="BF642" s="50"/>
      <c r="BG642" s="50"/>
      <c r="BH642" s="50"/>
      <c r="BI642" s="50"/>
      <c r="BJ642" s="50"/>
      <c r="BK642" s="50"/>
      <c r="BL642" s="50"/>
      <c r="BM642" s="50"/>
      <c r="BN642" s="50"/>
    </row>
    <row r="643">
      <c r="A643" s="50"/>
      <c r="B643" s="50"/>
      <c r="C643" s="50"/>
      <c r="D643" s="50"/>
      <c r="E643" s="158"/>
      <c r="F643" s="175"/>
      <c r="G643" s="175"/>
      <c r="H643" s="175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168"/>
      <c r="AF643" s="50"/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50"/>
      <c r="AR643" s="50"/>
      <c r="AS643" s="50"/>
      <c r="AT643" s="50"/>
      <c r="AU643" s="50"/>
      <c r="AV643" s="50"/>
      <c r="AW643" s="50"/>
      <c r="AX643" s="50"/>
      <c r="AY643" s="50"/>
      <c r="AZ643" s="50"/>
      <c r="BA643" s="50"/>
      <c r="BB643" s="50"/>
      <c r="BC643" s="50"/>
      <c r="BD643" s="50"/>
      <c r="BE643" s="50"/>
      <c r="BF643" s="50"/>
      <c r="BG643" s="50"/>
      <c r="BH643" s="50"/>
      <c r="BI643" s="50"/>
      <c r="BJ643" s="50"/>
      <c r="BK643" s="50"/>
      <c r="BL643" s="50"/>
      <c r="BM643" s="50"/>
      <c r="BN643" s="50"/>
    </row>
    <row r="644">
      <c r="A644" s="50"/>
      <c r="B644" s="50"/>
      <c r="C644" s="50"/>
      <c r="D644" s="50"/>
      <c r="E644" s="158"/>
      <c r="F644" s="175"/>
      <c r="G644" s="175"/>
      <c r="H644" s="175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168"/>
      <c r="AF644" s="50"/>
      <c r="AG644" s="50"/>
      <c r="AH644" s="50"/>
      <c r="AI644" s="50"/>
      <c r="AJ644" s="50"/>
      <c r="AK644" s="50"/>
      <c r="AL644" s="50"/>
      <c r="AM644" s="50"/>
      <c r="AN644" s="50"/>
      <c r="AO644" s="50"/>
      <c r="AP644" s="50"/>
      <c r="AQ644" s="50"/>
      <c r="AR644" s="50"/>
      <c r="AS644" s="50"/>
      <c r="AT644" s="50"/>
      <c r="AU644" s="50"/>
      <c r="AV644" s="50"/>
      <c r="AW644" s="50"/>
      <c r="AX644" s="50"/>
      <c r="AY644" s="50"/>
      <c r="AZ644" s="50"/>
      <c r="BA644" s="50"/>
      <c r="BB644" s="50"/>
      <c r="BC644" s="50"/>
      <c r="BD644" s="50"/>
      <c r="BE644" s="50"/>
      <c r="BF644" s="50"/>
      <c r="BG644" s="50"/>
      <c r="BH644" s="50"/>
      <c r="BI644" s="50"/>
      <c r="BJ644" s="50"/>
      <c r="BK644" s="50"/>
      <c r="BL644" s="50"/>
      <c r="BM644" s="50"/>
      <c r="BN644" s="50"/>
    </row>
    <row r="645">
      <c r="A645" s="50"/>
      <c r="B645" s="50"/>
      <c r="C645" s="50"/>
      <c r="D645" s="50"/>
      <c r="E645" s="158"/>
      <c r="F645" s="175"/>
      <c r="G645" s="175"/>
      <c r="H645" s="175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168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50"/>
      <c r="AR645" s="50"/>
      <c r="AS645" s="50"/>
      <c r="AT645" s="50"/>
      <c r="AU645" s="50"/>
      <c r="AV645" s="50"/>
      <c r="AW645" s="50"/>
      <c r="AX645" s="50"/>
      <c r="AY645" s="50"/>
      <c r="AZ645" s="50"/>
      <c r="BA645" s="50"/>
      <c r="BB645" s="50"/>
      <c r="BC645" s="50"/>
      <c r="BD645" s="50"/>
      <c r="BE645" s="50"/>
      <c r="BF645" s="50"/>
      <c r="BG645" s="50"/>
      <c r="BH645" s="50"/>
      <c r="BI645" s="50"/>
      <c r="BJ645" s="50"/>
      <c r="BK645" s="50"/>
      <c r="BL645" s="50"/>
      <c r="BM645" s="50"/>
      <c r="BN645" s="50"/>
    </row>
    <row r="646">
      <c r="A646" s="50"/>
      <c r="B646" s="50"/>
      <c r="C646" s="50"/>
      <c r="D646" s="50"/>
      <c r="E646" s="158"/>
      <c r="F646" s="175"/>
      <c r="G646" s="175"/>
      <c r="H646" s="175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168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50"/>
      <c r="AR646" s="50"/>
      <c r="AS646" s="50"/>
      <c r="AT646" s="50"/>
      <c r="AU646" s="50"/>
      <c r="AV646" s="50"/>
      <c r="AW646" s="50"/>
      <c r="AX646" s="50"/>
      <c r="AY646" s="50"/>
      <c r="AZ646" s="50"/>
      <c r="BA646" s="50"/>
      <c r="BB646" s="50"/>
      <c r="BC646" s="50"/>
      <c r="BD646" s="50"/>
      <c r="BE646" s="50"/>
      <c r="BF646" s="50"/>
      <c r="BG646" s="50"/>
      <c r="BH646" s="50"/>
      <c r="BI646" s="50"/>
      <c r="BJ646" s="50"/>
      <c r="BK646" s="50"/>
      <c r="BL646" s="50"/>
      <c r="BM646" s="50"/>
      <c r="BN646" s="50"/>
    </row>
    <row r="647">
      <c r="A647" s="50"/>
      <c r="B647" s="50"/>
      <c r="C647" s="50"/>
      <c r="D647" s="50"/>
      <c r="E647" s="158"/>
      <c r="F647" s="175"/>
      <c r="G647" s="175"/>
      <c r="H647" s="175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168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  <c r="AV647" s="50"/>
      <c r="AW647" s="50"/>
      <c r="AX647" s="50"/>
      <c r="AY647" s="50"/>
      <c r="AZ647" s="50"/>
      <c r="BA647" s="50"/>
      <c r="BB647" s="50"/>
      <c r="BC647" s="50"/>
      <c r="BD647" s="50"/>
      <c r="BE647" s="50"/>
      <c r="BF647" s="50"/>
      <c r="BG647" s="50"/>
      <c r="BH647" s="50"/>
      <c r="BI647" s="50"/>
      <c r="BJ647" s="50"/>
      <c r="BK647" s="50"/>
      <c r="BL647" s="50"/>
      <c r="BM647" s="50"/>
      <c r="BN647" s="50"/>
    </row>
    <row r="648">
      <c r="A648" s="50"/>
      <c r="B648" s="50"/>
      <c r="C648" s="50"/>
      <c r="D648" s="50"/>
      <c r="E648" s="158"/>
      <c r="F648" s="175"/>
      <c r="G648" s="175"/>
      <c r="H648" s="175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168"/>
      <c r="AF648" s="50"/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  <c r="AV648" s="50"/>
      <c r="AW648" s="50"/>
      <c r="AX648" s="50"/>
      <c r="AY648" s="50"/>
      <c r="AZ648" s="50"/>
      <c r="BA648" s="50"/>
      <c r="BB648" s="50"/>
      <c r="BC648" s="50"/>
      <c r="BD648" s="50"/>
      <c r="BE648" s="50"/>
      <c r="BF648" s="50"/>
      <c r="BG648" s="50"/>
      <c r="BH648" s="50"/>
      <c r="BI648" s="50"/>
      <c r="BJ648" s="50"/>
      <c r="BK648" s="50"/>
      <c r="BL648" s="50"/>
      <c r="BM648" s="50"/>
      <c r="BN648" s="50"/>
    </row>
    <row r="649">
      <c r="A649" s="50"/>
      <c r="B649" s="50"/>
      <c r="C649" s="50"/>
      <c r="D649" s="50"/>
      <c r="E649" s="158"/>
      <c r="F649" s="175"/>
      <c r="G649" s="175"/>
      <c r="H649" s="175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168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  <c r="AV649" s="50"/>
      <c r="AW649" s="50"/>
      <c r="AX649" s="50"/>
      <c r="AY649" s="50"/>
      <c r="AZ649" s="50"/>
      <c r="BA649" s="50"/>
      <c r="BB649" s="50"/>
      <c r="BC649" s="50"/>
      <c r="BD649" s="50"/>
      <c r="BE649" s="50"/>
      <c r="BF649" s="50"/>
      <c r="BG649" s="50"/>
      <c r="BH649" s="50"/>
      <c r="BI649" s="50"/>
      <c r="BJ649" s="50"/>
      <c r="BK649" s="50"/>
      <c r="BL649" s="50"/>
      <c r="BM649" s="50"/>
      <c r="BN649" s="50"/>
    </row>
    <row r="650">
      <c r="A650" s="50"/>
      <c r="B650" s="50"/>
      <c r="C650" s="50"/>
      <c r="D650" s="50"/>
      <c r="E650" s="158"/>
      <c r="F650" s="175"/>
      <c r="G650" s="175"/>
      <c r="H650" s="175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168"/>
      <c r="AF650" s="50"/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  <c r="AV650" s="50"/>
      <c r="AW650" s="50"/>
      <c r="AX650" s="50"/>
      <c r="AY650" s="50"/>
      <c r="AZ650" s="50"/>
      <c r="BA650" s="50"/>
      <c r="BB650" s="50"/>
      <c r="BC650" s="50"/>
      <c r="BD650" s="50"/>
      <c r="BE650" s="50"/>
      <c r="BF650" s="50"/>
      <c r="BG650" s="50"/>
      <c r="BH650" s="50"/>
      <c r="BI650" s="50"/>
      <c r="BJ650" s="50"/>
      <c r="BK650" s="50"/>
      <c r="BL650" s="50"/>
      <c r="BM650" s="50"/>
      <c r="BN650" s="50"/>
    </row>
    <row r="651">
      <c r="A651" s="50"/>
      <c r="B651" s="50"/>
      <c r="C651" s="50"/>
      <c r="D651" s="50"/>
      <c r="E651" s="158"/>
      <c r="F651" s="175"/>
      <c r="G651" s="175"/>
      <c r="H651" s="175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168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50"/>
      <c r="AU651" s="50"/>
      <c r="AV651" s="50"/>
      <c r="AW651" s="50"/>
      <c r="AX651" s="50"/>
      <c r="AY651" s="50"/>
      <c r="AZ651" s="50"/>
      <c r="BA651" s="50"/>
      <c r="BB651" s="50"/>
      <c r="BC651" s="50"/>
      <c r="BD651" s="50"/>
      <c r="BE651" s="50"/>
      <c r="BF651" s="50"/>
      <c r="BG651" s="50"/>
      <c r="BH651" s="50"/>
      <c r="BI651" s="50"/>
      <c r="BJ651" s="50"/>
      <c r="BK651" s="50"/>
      <c r="BL651" s="50"/>
      <c r="BM651" s="50"/>
      <c r="BN651" s="50"/>
    </row>
    <row r="652">
      <c r="A652" s="50"/>
      <c r="B652" s="50"/>
      <c r="C652" s="50"/>
      <c r="D652" s="50"/>
      <c r="E652" s="158"/>
      <c r="F652" s="175"/>
      <c r="G652" s="175"/>
      <c r="H652" s="175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168"/>
      <c r="AF652" s="50"/>
      <c r="AG652" s="50"/>
      <c r="AH652" s="50"/>
      <c r="AI652" s="50"/>
      <c r="AJ652" s="50"/>
      <c r="AK652" s="50"/>
      <c r="AL652" s="50"/>
      <c r="AM652" s="50"/>
      <c r="AN652" s="50"/>
      <c r="AO652" s="50"/>
      <c r="AP652" s="50"/>
      <c r="AQ652" s="50"/>
      <c r="AR652" s="50"/>
      <c r="AS652" s="50"/>
      <c r="AT652" s="50"/>
      <c r="AU652" s="50"/>
      <c r="AV652" s="50"/>
      <c r="AW652" s="50"/>
      <c r="AX652" s="50"/>
      <c r="AY652" s="50"/>
      <c r="AZ652" s="50"/>
      <c r="BA652" s="50"/>
      <c r="BB652" s="50"/>
      <c r="BC652" s="50"/>
      <c r="BD652" s="50"/>
      <c r="BE652" s="50"/>
      <c r="BF652" s="50"/>
      <c r="BG652" s="50"/>
      <c r="BH652" s="50"/>
      <c r="BI652" s="50"/>
      <c r="BJ652" s="50"/>
      <c r="BK652" s="50"/>
      <c r="BL652" s="50"/>
      <c r="BM652" s="50"/>
      <c r="BN652" s="50"/>
    </row>
    <row r="653">
      <c r="A653" s="50"/>
      <c r="B653" s="50"/>
      <c r="C653" s="50"/>
      <c r="D653" s="50"/>
      <c r="E653" s="158"/>
      <c r="F653" s="175"/>
      <c r="G653" s="175"/>
      <c r="H653" s="175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168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/>
      <c r="AR653" s="50"/>
      <c r="AS653" s="50"/>
      <c r="AT653" s="50"/>
      <c r="AU653" s="50"/>
      <c r="AV653" s="50"/>
      <c r="AW653" s="50"/>
      <c r="AX653" s="50"/>
      <c r="AY653" s="50"/>
      <c r="AZ653" s="50"/>
      <c r="BA653" s="50"/>
      <c r="BB653" s="50"/>
      <c r="BC653" s="50"/>
      <c r="BD653" s="50"/>
      <c r="BE653" s="50"/>
      <c r="BF653" s="50"/>
      <c r="BG653" s="50"/>
      <c r="BH653" s="50"/>
      <c r="BI653" s="50"/>
      <c r="BJ653" s="50"/>
      <c r="BK653" s="50"/>
      <c r="BL653" s="50"/>
      <c r="BM653" s="50"/>
      <c r="BN653" s="50"/>
    </row>
    <row r="654">
      <c r="A654" s="50"/>
      <c r="B654" s="50"/>
      <c r="C654" s="50"/>
      <c r="D654" s="50"/>
      <c r="E654" s="158"/>
      <c r="F654" s="175"/>
      <c r="G654" s="175"/>
      <c r="H654" s="175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168"/>
      <c r="AF654" s="50"/>
      <c r="AG654" s="50"/>
      <c r="AH654" s="50"/>
      <c r="AI654" s="50"/>
      <c r="AJ654" s="50"/>
      <c r="AK654" s="50"/>
      <c r="AL654" s="50"/>
      <c r="AM654" s="50"/>
      <c r="AN654" s="50"/>
      <c r="AO654" s="50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/>
      <c r="AZ654" s="50"/>
      <c r="BA654" s="50"/>
      <c r="BB654" s="50"/>
      <c r="BC654" s="50"/>
      <c r="BD654" s="50"/>
      <c r="BE654" s="50"/>
      <c r="BF654" s="50"/>
      <c r="BG654" s="50"/>
      <c r="BH654" s="50"/>
      <c r="BI654" s="50"/>
      <c r="BJ654" s="50"/>
      <c r="BK654" s="50"/>
      <c r="BL654" s="50"/>
      <c r="BM654" s="50"/>
      <c r="BN654" s="50"/>
    </row>
    <row r="655">
      <c r="A655" s="50"/>
      <c r="B655" s="50"/>
      <c r="C655" s="50"/>
      <c r="D655" s="50"/>
      <c r="E655" s="158"/>
      <c r="F655" s="175"/>
      <c r="G655" s="175"/>
      <c r="H655" s="175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168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/>
      <c r="AR655" s="50"/>
      <c r="AS655" s="50"/>
      <c r="AT655" s="50"/>
      <c r="AU655" s="50"/>
      <c r="AV655" s="50"/>
      <c r="AW655" s="50"/>
      <c r="AX655" s="50"/>
      <c r="AY655" s="50"/>
      <c r="AZ655" s="50"/>
      <c r="BA655" s="50"/>
      <c r="BB655" s="50"/>
      <c r="BC655" s="50"/>
      <c r="BD655" s="50"/>
      <c r="BE655" s="50"/>
      <c r="BF655" s="50"/>
      <c r="BG655" s="50"/>
      <c r="BH655" s="50"/>
      <c r="BI655" s="50"/>
      <c r="BJ655" s="50"/>
      <c r="BK655" s="50"/>
      <c r="BL655" s="50"/>
      <c r="BM655" s="50"/>
      <c r="BN655" s="50"/>
    </row>
    <row r="656">
      <c r="A656" s="50"/>
      <c r="B656" s="50"/>
      <c r="C656" s="50"/>
      <c r="D656" s="50"/>
      <c r="E656" s="158"/>
      <c r="F656" s="175"/>
      <c r="G656" s="175"/>
      <c r="H656" s="175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168"/>
      <c r="AF656" s="50"/>
      <c r="AG656" s="50"/>
      <c r="AH656" s="50"/>
      <c r="AI656" s="50"/>
      <c r="AJ656" s="50"/>
      <c r="AK656" s="50"/>
      <c r="AL656" s="50"/>
      <c r="AM656" s="50"/>
      <c r="AN656" s="50"/>
      <c r="AO656" s="50"/>
      <c r="AP656" s="50"/>
      <c r="AQ656" s="50"/>
      <c r="AR656" s="50"/>
      <c r="AS656" s="50"/>
      <c r="AT656" s="50"/>
      <c r="AU656" s="50"/>
      <c r="AV656" s="50"/>
      <c r="AW656" s="50"/>
      <c r="AX656" s="50"/>
      <c r="AY656" s="50"/>
      <c r="AZ656" s="50"/>
      <c r="BA656" s="50"/>
      <c r="BB656" s="50"/>
      <c r="BC656" s="50"/>
      <c r="BD656" s="50"/>
      <c r="BE656" s="50"/>
      <c r="BF656" s="50"/>
      <c r="BG656" s="50"/>
      <c r="BH656" s="50"/>
      <c r="BI656" s="50"/>
      <c r="BJ656" s="50"/>
      <c r="BK656" s="50"/>
      <c r="BL656" s="50"/>
      <c r="BM656" s="50"/>
      <c r="BN656" s="50"/>
    </row>
    <row r="657">
      <c r="A657" s="50"/>
      <c r="B657" s="50"/>
      <c r="C657" s="50"/>
      <c r="D657" s="50"/>
      <c r="E657" s="158"/>
      <c r="F657" s="175"/>
      <c r="G657" s="175"/>
      <c r="H657" s="175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168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/>
      <c r="AR657" s="50"/>
      <c r="AS657" s="50"/>
      <c r="AT657" s="50"/>
      <c r="AU657" s="50"/>
      <c r="AV657" s="50"/>
      <c r="AW657" s="50"/>
      <c r="AX657" s="50"/>
      <c r="AY657" s="50"/>
      <c r="AZ657" s="50"/>
      <c r="BA657" s="50"/>
      <c r="BB657" s="50"/>
      <c r="BC657" s="50"/>
      <c r="BD657" s="50"/>
      <c r="BE657" s="50"/>
      <c r="BF657" s="50"/>
      <c r="BG657" s="50"/>
      <c r="BH657" s="50"/>
      <c r="BI657" s="50"/>
      <c r="BJ657" s="50"/>
      <c r="BK657" s="50"/>
      <c r="BL657" s="50"/>
      <c r="BM657" s="50"/>
      <c r="BN657" s="50"/>
    </row>
    <row r="658">
      <c r="A658" s="50"/>
      <c r="B658" s="50"/>
      <c r="C658" s="50"/>
      <c r="D658" s="50"/>
      <c r="E658" s="158"/>
      <c r="F658" s="175"/>
      <c r="G658" s="175"/>
      <c r="H658" s="175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168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/>
      <c r="AR658" s="50"/>
      <c r="AS658" s="50"/>
      <c r="AT658" s="50"/>
      <c r="AU658" s="50"/>
      <c r="AV658" s="50"/>
      <c r="AW658" s="50"/>
      <c r="AX658" s="50"/>
      <c r="AY658" s="50"/>
      <c r="AZ658" s="50"/>
      <c r="BA658" s="50"/>
      <c r="BB658" s="50"/>
      <c r="BC658" s="50"/>
      <c r="BD658" s="50"/>
      <c r="BE658" s="50"/>
      <c r="BF658" s="50"/>
      <c r="BG658" s="50"/>
      <c r="BH658" s="50"/>
      <c r="BI658" s="50"/>
      <c r="BJ658" s="50"/>
      <c r="BK658" s="50"/>
      <c r="BL658" s="50"/>
      <c r="BM658" s="50"/>
      <c r="BN658" s="50"/>
    </row>
    <row r="659">
      <c r="A659" s="50"/>
      <c r="B659" s="50"/>
      <c r="C659" s="50"/>
      <c r="D659" s="50"/>
      <c r="E659" s="158"/>
      <c r="F659" s="175"/>
      <c r="G659" s="175"/>
      <c r="H659" s="175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168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50"/>
      <c r="AU659" s="50"/>
      <c r="AV659" s="50"/>
      <c r="AW659" s="50"/>
      <c r="AX659" s="50"/>
      <c r="AY659" s="50"/>
      <c r="AZ659" s="50"/>
      <c r="BA659" s="50"/>
      <c r="BB659" s="50"/>
      <c r="BC659" s="50"/>
      <c r="BD659" s="50"/>
      <c r="BE659" s="50"/>
      <c r="BF659" s="50"/>
      <c r="BG659" s="50"/>
      <c r="BH659" s="50"/>
      <c r="BI659" s="50"/>
      <c r="BJ659" s="50"/>
      <c r="BK659" s="50"/>
      <c r="BL659" s="50"/>
      <c r="BM659" s="50"/>
      <c r="BN659" s="50"/>
    </row>
    <row r="660">
      <c r="A660" s="50"/>
      <c r="B660" s="50"/>
      <c r="C660" s="50"/>
      <c r="D660" s="50"/>
      <c r="E660" s="158"/>
      <c r="F660" s="175"/>
      <c r="G660" s="175"/>
      <c r="H660" s="175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168"/>
      <c r="AF660" s="50"/>
      <c r="AG660" s="50"/>
      <c r="AH660" s="50"/>
      <c r="AI660" s="50"/>
      <c r="AJ660" s="50"/>
      <c r="AK660" s="50"/>
      <c r="AL660" s="50"/>
      <c r="AM660" s="50"/>
      <c r="AN660" s="50"/>
      <c r="AO660" s="50"/>
      <c r="AP660" s="50"/>
      <c r="AQ660" s="50"/>
      <c r="AR660" s="50"/>
      <c r="AS660" s="50"/>
      <c r="AT660" s="50"/>
      <c r="AU660" s="50"/>
      <c r="AV660" s="50"/>
      <c r="AW660" s="50"/>
      <c r="AX660" s="50"/>
      <c r="AY660" s="50"/>
      <c r="AZ660" s="50"/>
      <c r="BA660" s="50"/>
      <c r="BB660" s="50"/>
      <c r="BC660" s="50"/>
      <c r="BD660" s="50"/>
      <c r="BE660" s="50"/>
      <c r="BF660" s="50"/>
      <c r="BG660" s="50"/>
      <c r="BH660" s="50"/>
      <c r="BI660" s="50"/>
      <c r="BJ660" s="50"/>
      <c r="BK660" s="50"/>
      <c r="BL660" s="50"/>
      <c r="BM660" s="50"/>
      <c r="BN660" s="50"/>
    </row>
    <row r="661">
      <c r="A661" s="50"/>
      <c r="B661" s="50"/>
      <c r="C661" s="50"/>
      <c r="D661" s="50"/>
      <c r="E661" s="158"/>
      <c r="F661" s="175"/>
      <c r="G661" s="175"/>
      <c r="H661" s="175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168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50"/>
      <c r="AU661" s="50"/>
      <c r="AV661" s="50"/>
      <c r="AW661" s="50"/>
      <c r="AX661" s="50"/>
      <c r="AY661" s="50"/>
      <c r="AZ661" s="50"/>
      <c r="BA661" s="50"/>
      <c r="BB661" s="50"/>
      <c r="BC661" s="50"/>
      <c r="BD661" s="50"/>
      <c r="BE661" s="50"/>
      <c r="BF661" s="50"/>
      <c r="BG661" s="50"/>
      <c r="BH661" s="50"/>
      <c r="BI661" s="50"/>
      <c r="BJ661" s="50"/>
      <c r="BK661" s="50"/>
      <c r="BL661" s="50"/>
      <c r="BM661" s="50"/>
      <c r="BN661" s="50"/>
    </row>
    <row r="662">
      <c r="A662" s="50"/>
      <c r="B662" s="50"/>
      <c r="C662" s="50"/>
      <c r="D662" s="50"/>
      <c r="E662" s="158"/>
      <c r="F662" s="175"/>
      <c r="G662" s="175"/>
      <c r="H662" s="175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168"/>
      <c r="AF662" s="50"/>
      <c r="AG662" s="50"/>
      <c r="AH662" s="50"/>
      <c r="AI662" s="50"/>
      <c r="AJ662" s="50"/>
      <c r="AK662" s="50"/>
      <c r="AL662" s="50"/>
      <c r="AM662" s="50"/>
      <c r="AN662" s="50"/>
      <c r="AO662" s="50"/>
      <c r="AP662" s="50"/>
      <c r="AQ662" s="50"/>
      <c r="AR662" s="50"/>
      <c r="AS662" s="50"/>
      <c r="AT662" s="50"/>
      <c r="AU662" s="50"/>
      <c r="AV662" s="50"/>
      <c r="AW662" s="50"/>
      <c r="AX662" s="50"/>
      <c r="AY662" s="50"/>
      <c r="AZ662" s="50"/>
      <c r="BA662" s="50"/>
      <c r="BB662" s="50"/>
      <c r="BC662" s="50"/>
      <c r="BD662" s="50"/>
      <c r="BE662" s="50"/>
      <c r="BF662" s="50"/>
      <c r="BG662" s="50"/>
      <c r="BH662" s="50"/>
      <c r="BI662" s="50"/>
      <c r="BJ662" s="50"/>
      <c r="BK662" s="50"/>
      <c r="BL662" s="50"/>
      <c r="BM662" s="50"/>
      <c r="BN662" s="50"/>
    </row>
    <row r="663">
      <c r="A663" s="50"/>
      <c r="B663" s="50"/>
      <c r="C663" s="50"/>
      <c r="D663" s="50"/>
      <c r="E663" s="158"/>
      <c r="F663" s="175"/>
      <c r="G663" s="175"/>
      <c r="H663" s="175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168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50"/>
      <c r="AU663" s="50"/>
      <c r="AV663" s="50"/>
      <c r="AW663" s="50"/>
      <c r="AX663" s="50"/>
      <c r="AY663" s="50"/>
      <c r="AZ663" s="50"/>
      <c r="BA663" s="50"/>
      <c r="BB663" s="50"/>
      <c r="BC663" s="50"/>
      <c r="BD663" s="50"/>
      <c r="BE663" s="50"/>
      <c r="BF663" s="50"/>
      <c r="BG663" s="50"/>
      <c r="BH663" s="50"/>
      <c r="BI663" s="50"/>
      <c r="BJ663" s="50"/>
      <c r="BK663" s="50"/>
      <c r="BL663" s="50"/>
      <c r="BM663" s="50"/>
      <c r="BN663" s="50"/>
    </row>
    <row r="664">
      <c r="A664" s="50"/>
      <c r="B664" s="50"/>
      <c r="C664" s="50"/>
      <c r="D664" s="50"/>
      <c r="E664" s="158"/>
      <c r="F664" s="175"/>
      <c r="G664" s="175"/>
      <c r="H664" s="175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168"/>
      <c r="AF664" s="50"/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50"/>
      <c r="AR664" s="50"/>
      <c r="AS664" s="50"/>
      <c r="AT664" s="50"/>
      <c r="AU664" s="50"/>
      <c r="AV664" s="50"/>
      <c r="AW664" s="50"/>
      <c r="AX664" s="50"/>
      <c r="AY664" s="50"/>
      <c r="AZ664" s="50"/>
      <c r="BA664" s="50"/>
      <c r="BB664" s="50"/>
      <c r="BC664" s="50"/>
      <c r="BD664" s="50"/>
      <c r="BE664" s="50"/>
      <c r="BF664" s="50"/>
      <c r="BG664" s="50"/>
      <c r="BH664" s="50"/>
      <c r="BI664" s="50"/>
      <c r="BJ664" s="50"/>
      <c r="BK664" s="50"/>
      <c r="BL664" s="50"/>
      <c r="BM664" s="50"/>
      <c r="BN664" s="50"/>
    </row>
    <row r="665">
      <c r="A665" s="50"/>
      <c r="B665" s="50"/>
      <c r="C665" s="50"/>
      <c r="D665" s="50"/>
      <c r="E665" s="158"/>
      <c r="F665" s="175"/>
      <c r="G665" s="175"/>
      <c r="H665" s="175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168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/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</row>
    <row r="666">
      <c r="A666" s="50"/>
      <c r="B666" s="50"/>
      <c r="C666" s="50"/>
      <c r="D666" s="50"/>
      <c r="E666" s="158"/>
      <c r="F666" s="175"/>
      <c r="G666" s="175"/>
      <c r="H666" s="175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168"/>
      <c r="AF666" s="50"/>
      <c r="AG666" s="50"/>
      <c r="AH666" s="50"/>
      <c r="AI666" s="50"/>
      <c r="AJ666" s="50"/>
      <c r="AK666" s="50"/>
      <c r="AL666" s="50"/>
      <c r="AM666" s="50"/>
      <c r="AN666" s="50"/>
      <c r="AO666" s="50"/>
      <c r="AP666" s="50"/>
      <c r="AQ666" s="50"/>
      <c r="AR666" s="50"/>
      <c r="AS666" s="50"/>
      <c r="AT666" s="50"/>
      <c r="AU666" s="50"/>
      <c r="AV666" s="50"/>
      <c r="AW666" s="50"/>
      <c r="AX666" s="50"/>
      <c r="AY666" s="50"/>
      <c r="AZ666" s="50"/>
      <c r="BA666" s="50"/>
      <c r="BB666" s="50"/>
      <c r="BC666" s="50"/>
      <c r="BD666" s="50"/>
      <c r="BE666" s="50"/>
      <c r="BF666" s="50"/>
      <c r="BG666" s="50"/>
      <c r="BH666" s="50"/>
      <c r="BI666" s="50"/>
      <c r="BJ666" s="50"/>
      <c r="BK666" s="50"/>
      <c r="BL666" s="50"/>
      <c r="BM666" s="50"/>
      <c r="BN666" s="50"/>
    </row>
    <row r="667">
      <c r="A667" s="50"/>
      <c r="B667" s="50"/>
      <c r="C667" s="50"/>
      <c r="D667" s="50"/>
      <c r="E667" s="158"/>
      <c r="F667" s="175"/>
      <c r="G667" s="175"/>
      <c r="H667" s="175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168"/>
      <c r="AF667" s="50"/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/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</row>
    <row r="668">
      <c r="A668" s="50"/>
      <c r="B668" s="50"/>
      <c r="C668" s="50"/>
      <c r="D668" s="50"/>
      <c r="E668" s="158"/>
      <c r="F668" s="175"/>
      <c r="G668" s="175"/>
      <c r="H668" s="175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168"/>
      <c r="AF668" s="50"/>
      <c r="AG668" s="50"/>
      <c r="AH668" s="50"/>
      <c r="AI668" s="50"/>
      <c r="AJ668" s="50"/>
      <c r="AK668" s="50"/>
      <c r="AL668" s="50"/>
      <c r="AM668" s="50"/>
      <c r="AN668" s="50"/>
      <c r="AO668" s="50"/>
      <c r="AP668" s="50"/>
      <c r="AQ668" s="50"/>
      <c r="AR668" s="50"/>
      <c r="AS668" s="50"/>
      <c r="AT668" s="50"/>
      <c r="AU668" s="50"/>
      <c r="AV668" s="50"/>
      <c r="AW668" s="50"/>
      <c r="AX668" s="50"/>
      <c r="AY668" s="50"/>
      <c r="AZ668" s="50"/>
      <c r="BA668" s="50"/>
      <c r="BB668" s="50"/>
      <c r="BC668" s="50"/>
      <c r="BD668" s="50"/>
      <c r="BE668" s="50"/>
      <c r="BF668" s="50"/>
      <c r="BG668" s="50"/>
      <c r="BH668" s="50"/>
      <c r="BI668" s="50"/>
      <c r="BJ668" s="50"/>
      <c r="BK668" s="50"/>
      <c r="BL668" s="50"/>
      <c r="BM668" s="50"/>
      <c r="BN668" s="50"/>
    </row>
    <row r="669">
      <c r="A669" s="50"/>
      <c r="B669" s="50"/>
      <c r="C669" s="50"/>
      <c r="D669" s="50"/>
      <c r="E669" s="158"/>
      <c r="F669" s="175"/>
      <c r="G669" s="175"/>
      <c r="H669" s="175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168"/>
      <c r="AF669" s="50"/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/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</row>
    <row r="670">
      <c r="A670" s="50"/>
      <c r="B670" s="50"/>
      <c r="C670" s="50"/>
      <c r="D670" s="50"/>
      <c r="E670" s="158"/>
      <c r="F670" s="175"/>
      <c r="G670" s="175"/>
      <c r="H670" s="175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168"/>
      <c r="AF670" s="50"/>
      <c r="AG670" s="50"/>
      <c r="AH670" s="50"/>
      <c r="AI670" s="50"/>
      <c r="AJ670" s="50"/>
      <c r="AK670" s="50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0"/>
      <c r="BC670" s="50"/>
      <c r="BD670" s="50"/>
      <c r="BE670" s="50"/>
      <c r="BF670" s="50"/>
      <c r="BG670" s="50"/>
      <c r="BH670" s="50"/>
      <c r="BI670" s="50"/>
      <c r="BJ670" s="50"/>
      <c r="BK670" s="50"/>
      <c r="BL670" s="50"/>
      <c r="BM670" s="50"/>
      <c r="BN670" s="50"/>
    </row>
    <row r="671">
      <c r="A671" s="50"/>
      <c r="B671" s="50"/>
      <c r="C671" s="50"/>
      <c r="D671" s="50"/>
      <c r="E671" s="158"/>
      <c r="F671" s="175"/>
      <c r="G671" s="175"/>
      <c r="H671" s="175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168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50"/>
      <c r="AU671" s="50"/>
      <c r="AV671" s="50"/>
      <c r="AW671" s="50"/>
      <c r="AX671" s="50"/>
      <c r="AY671" s="50"/>
      <c r="AZ671" s="50"/>
      <c r="BA671" s="50"/>
      <c r="BB671" s="50"/>
      <c r="BC671" s="50"/>
      <c r="BD671" s="50"/>
      <c r="BE671" s="50"/>
      <c r="BF671" s="50"/>
      <c r="BG671" s="50"/>
      <c r="BH671" s="50"/>
      <c r="BI671" s="50"/>
      <c r="BJ671" s="50"/>
      <c r="BK671" s="50"/>
      <c r="BL671" s="50"/>
      <c r="BM671" s="50"/>
      <c r="BN671" s="50"/>
    </row>
    <row r="672">
      <c r="A672" s="50"/>
      <c r="B672" s="50"/>
      <c r="C672" s="50"/>
      <c r="D672" s="50"/>
      <c r="E672" s="158"/>
      <c r="F672" s="175"/>
      <c r="G672" s="175"/>
      <c r="H672" s="175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168"/>
      <c r="AF672" s="50"/>
      <c r="AG672" s="50"/>
      <c r="AH672" s="50"/>
      <c r="AI672" s="50"/>
      <c r="AJ672" s="50"/>
      <c r="AK672" s="50"/>
      <c r="AL672" s="50"/>
      <c r="AM672" s="50"/>
      <c r="AN672" s="50"/>
      <c r="AO672" s="50"/>
      <c r="AP672" s="50"/>
      <c r="AQ672" s="50"/>
      <c r="AR672" s="50"/>
      <c r="AS672" s="50"/>
      <c r="AT672" s="50"/>
      <c r="AU672" s="50"/>
      <c r="AV672" s="50"/>
      <c r="AW672" s="50"/>
      <c r="AX672" s="50"/>
      <c r="AY672" s="50"/>
      <c r="AZ672" s="50"/>
      <c r="BA672" s="50"/>
      <c r="BB672" s="50"/>
      <c r="BC672" s="50"/>
      <c r="BD672" s="50"/>
      <c r="BE672" s="50"/>
      <c r="BF672" s="50"/>
      <c r="BG672" s="50"/>
      <c r="BH672" s="50"/>
      <c r="BI672" s="50"/>
      <c r="BJ672" s="50"/>
      <c r="BK672" s="50"/>
      <c r="BL672" s="50"/>
      <c r="BM672" s="50"/>
      <c r="BN672" s="50"/>
    </row>
    <row r="673">
      <c r="A673" s="50"/>
      <c r="B673" s="50"/>
      <c r="C673" s="50"/>
      <c r="D673" s="50"/>
      <c r="E673" s="158"/>
      <c r="F673" s="175"/>
      <c r="G673" s="175"/>
      <c r="H673" s="175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168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  <c r="AV673" s="50"/>
      <c r="AW673" s="50"/>
      <c r="AX673" s="50"/>
      <c r="AY673" s="50"/>
      <c r="AZ673" s="50"/>
      <c r="BA673" s="50"/>
      <c r="BB673" s="50"/>
      <c r="BC673" s="50"/>
      <c r="BD673" s="50"/>
      <c r="BE673" s="50"/>
      <c r="BF673" s="50"/>
      <c r="BG673" s="50"/>
      <c r="BH673" s="50"/>
      <c r="BI673" s="50"/>
      <c r="BJ673" s="50"/>
      <c r="BK673" s="50"/>
      <c r="BL673" s="50"/>
      <c r="BM673" s="50"/>
      <c r="BN673" s="50"/>
    </row>
    <row r="674">
      <c r="A674" s="50"/>
      <c r="B674" s="50"/>
      <c r="C674" s="50"/>
      <c r="D674" s="50"/>
      <c r="E674" s="158"/>
      <c r="F674" s="175"/>
      <c r="G674" s="175"/>
      <c r="H674" s="175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168"/>
      <c r="AF674" s="50"/>
      <c r="AG674" s="50"/>
      <c r="AH674" s="50"/>
      <c r="AI674" s="50"/>
      <c r="AJ674" s="50"/>
      <c r="AK674" s="50"/>
      <c r="AL674" s="50"/>
      <c r="AM674" s="50"/>
      <c r="AN674" s="50"/>
      <c r="AO674" s="50"/>
      <c r="AP674" s="50"/>
      <c r="AQ674" s="50"/>
      <c r="AR674" s="50"/>
      <c r="AS674" s="50"/>
      <c r="AT674" s="50"/>
      <c r="AU674" s="50"/>
      <c r="AV674" s="50"/>
      <c r="AW674" s="50"/>
      <c r="AX674" s="50"/>
      <c r="AY674" s="50"/>
      <c r="AZ674" s="50"/>
      <c r="BA674" s="50"/>
      <c r="BB674" s="50"/>
      <c r="BC674" s="50"/>
      <c r="BD674" s="50"/>
      <c r="BE674" s="50"/>
      <c r="BF674" s="50"/>
      <c r="BG674" s="50"/>
      <c r="BH674" s="50"/>
      <c r="BI674" s="50"/>
      <c r="BJ674" s="50"/>
      <c r="BK674" s="50"/>
      <c r="BL674" s="50"/>
      <c r="BM674" s="50"/>
      <c r="BN674" s="50"/>
    </row>
    <row r="675">
      <c r="A675" s="50"/>
      <c r="B675" s="50"/>
      <c r="C675" s="50"/>
      <c r="D675" s="50"/>
      <c r="E675" s="158"/>
      <c r="F675" s="175"/>
      <c r="G675" s="175"/>
      <c r="H675" s="175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168"/>
      <c r="AF675" s="50"/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50"/>
      <c r="AU675" s="50"/>
      <c r="AV675" s="50"/>
      <c r="AW675" s="50"/>
      <c r="AX675" s="50"/>
      <c r="AY675" s="50"/>
      <c r="AZ675" s="50"/>
      <c r="BA675" s="50"/>
      <c r="BB675" s="50"/>
      <c r="BC675" s="50"/>
      <c r="BD675" s="50"/>
      <c r="BE675" s="50"/>
      <c r="BF675" s="50"/>
      <c r="BG675" s="50"/>
      <c r="BH675" s="50"/>
      <c r="BI675" s="50"/>
      <c r="BJ675" s="50"/>
      <c r="BK675" s="50"/>
      <c r="BL675" s="50"/>
      <c r="BM675" s="50"/>
      <c r="BN675" s="50"/>
    </row>
    <row r="676">
      <c r="A676" s="50"/>
      <c r="B676" s="50"/>
      <c r="C676" s="50"/>
      <c r="D676" s="50"/>
      <c r="E676" s="158"/>
      <c r="F676" s="175"/>
      <c r="G676" s="175"/>
      <c r="H676" s="175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168"/>
      <c r="AF676" s="50"/>
      <c r="AG676" s="50"/>
      <c r="AH676" s="50"/>
      <c r="AI676" s="50"/>
      <c r="AJ676" s="50"/>
      <c r="AK676" s="50"/>
      <c r="AL676" s="50"/>
      <c r="AM676" s="50"/>
      <c r="AN676" s="50"/>
      <c r="AO676" s="50"/>
      <c r="AP676" s="50"/>
      <c r="AQ676" s="50"/>
      <c r="AR676" s="50"/>
      <c r="AS676" s="50"/>
      <c r="AT676" s="50"/>
      <c r="AU676" s="50"/>
      <c r="AV676" s="50"/>
      <c r="AW676" s="50"/>
      <c r="AX676" s="50"/>
      <c r="AY676" s="50"/>
      <c r="AZ676" s="50"/>
      <c r="BA676" s="50"/>
      <c r="BB676" s="50"/>
      <c r="BC676" s="50"/>
      <c r="BD676" s="50"/>
      <c r="BE676" s="50"/>
      <c r="BF676" s="50"/>
      <c r="BG676" s="50"/>
      <c r="BH676" s="50"/>
      <c r="BI676" s="50"/>
      <c r="BJ676" s="50"/>
      <c r="BK676" s="50"/>
      <c r="BL676" s="50"/>
      <c r="BM676" s="50"/>
      <c r="BN676" s="50"/>
    </row>
    <row r="677">
      <c r="A677" s="50"/>
      <c r="B677" s="50"/>
      <c r="C677" s="50"/>
      <c r="D677" s="50"/>
      <c r="E677" s="158"/>
      <c r="F677" s="175"/>
      <c r="G677" s="175"/>
      <c r="H677" s="175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168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/>
      <c r="BD677" s="50"/>
      <c r="BE677" s="50"/>
      <c r="BF677" s="50"/>
      <c r="BG677" s="50"/>
      <c r="BH677" s="50"/>
      <c r="BI677" s="50"/>
      <c r="BJ677" s="50"/>
      <c r="BK677" s="50"/>
      <c r="BL677" s="50"/>
      <c r="BM677" s="50"/>
      <c r="BN677" s="50"/>
    </row>
    <row r="678">
      <c r="A678" s="50"/>
      <c r="B678" s="50"/>
      <c r="C678" s="50"/>
      <c r="D678" s="50"/>
      <c r="E678" s="158"/>
      <c r="F678" s="175"/>
      <c r="G678" s="175"/>
      <c r="H678" s="175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168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/>
      <c r="AR678" s="50"/>
      <c r="AS678" s="50"/>
      <c r="AT678" s="50"/>
      <c r="AU678" s="50"/>
      <c r="AV678" s="50"/>
      <c r="AW678" s="50"/>
      <c r="AX678" s="50"/>
      <c r="AY678" s="50"/>
      <c r="AZ678" s="50"/>
      <c r="BA678" s="50"/>
      <c r="BB678" s="50"/>
      <c r="BC678" s="50"/>
      <c r="BD678" s="50"/>
      <c r="BE678" s="50"/>
      <c r="BF678" s="50"/>
      <c r="BG678" s="50"/>
      <c r="BH678" s="50"/>
      <c r="BI678" s="50"/>
      <c r="BJ678" s="50"/>
      <c r="BK678" s="50"/>
      <c r="BL678" s="50"/>
      <c r="BM678" s="50"/>
      <c r="BN678" s="50"/>
    </row>
    <row r="679">
      <c r="A679" s="50"/>
      <c r="B679" s="50"/>
      <c r="C679" s="50"/>
      <c r="D679" s="50"/>
      <c r="E679" s="158"/>
      <c r="F679" s="175"/>
      <c r="G679" s="175"/>
      <c r="H679" s="175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168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0"/>
      <c r="BC679" s="50"/>
      <c r="BD679" s="50"/>
      <c r="BE679" s="50"/>
      <c r="BF679" s="50"/>
      <c r="BG679" s="50"/>
      <c r="BH679" s="50"/>
      <c r="BI679" s="50"/>
      <c r="BJ679" s="50"/>
      <c r="BK679" s="50"/>
      <c r="BL679" s="50"/>
      <c r="BM679" s="50"/>
      <c r="BN679" s="50"/>
    </row>
    <row r="680">
      <c r="A680" s="50"/>
      <c r="B680" s="50"/>
      <c r="C680" s="50"/>
      <c r="D680" s="50"/>
      <c r="E680" s="158"/>
      <c r="F680" s="175"/>
      <c r="G680" s="175"/>
      <c r="H680" s="175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168"/>
      <c r="AF680" s="50"/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/>
      <c r="AW680" s="50"/>
      <c r="AX680" s="50"/>
      <c r="AY680" s="50"/>
      <c r="AZ680" s="50"/>
      <c r="BA680" s="50"/>
      <c r="BB680" s="50"/>
      <c r="BC680" s="50"/>
      <c r="BD680" s="50"/>
      <c r="BE680" s="50"/>
      <c r="BF680" s="50"/>
      <c r="BG680" s="50"/>
      <c r="BH680" s="50"/>
      <c r="BI680" s="50"/>
      <c r="BJ680" s="50"/>
      <c r="BK680" s="50"/>
      <c r="BL680" s="50"/>
      <c r="BM680" s="50"/>
      <c r="BN680" s="50"/>
    </row>
    <row r="681">
      <c r="A681" s="50"/>
      <c r="B681" s="50"/>
      <c r="C681" s="50"/>
      <c r="D681" s="50"/>
      <c r="E681" s="158"/>
      <c r="F681" s="175"/>
      <c r="G681" s="175"/>
      <c r="H681" s="175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168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  <c r="AV681" s="50"/>
      <c r="AW681" s="50"/>
      <c r="AX681" s="50"/>
      <c r="AY681" s="50"/>
      <c r="AZ681" s="50"/>
      <c r="BA681" s="50"/>
      <c r="BB681" s="50"/>
      <c r="BC681" s="50"/>
      <c r="BD681" s="50"/>
      <c r="BE681" s="50"/>
      <c r="BF681" s="50"/>
      <c r="BG681" s="50"/>
      <c r="BH681" s="50"/>
      <c r="BI681" s="50"/>
      <c r="BJ681" s="50"/>
      <c r="BK681" s="50"/>
      <c r="BL681" s="50"/>
      <c r="BM681" s="50"/>
      <c r="BN681" s="50"/>
    </row>
    <row r="682">
      <c r="A682" s="50"/>
      <c r="B682" s="50"/>
      <c r="C682" s="50"/>
      <c r="D682" s="50"/>
      <c r="E682" s="158"/>
      <c r="F682" s="175"/>
      <c r="G682" s="175"/>
      <c r="H682" s="175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168"/>
      <c r="AF682" s="50"/>
      <c r="AG682" s="50"/>
      <c r="AH682" s="50"/>
      <c r="AI682" s="50"/>
      <c r="AJ682" s="50"/>
      <c r="AK682" s="50"/>
      <c r="AL682" s="50"/>
      <c r="AM682" s="50"/>
      <c r="AN682" s="50"/>
      <c r="AO682" s="50"/>
      <c r="AP682" s="50"/>
      <c r="AQ682" s="50"/>
      <c r="AR682" s="50"/>
      <c r="AS682" s="50"/>
      <c r="AT682" s="50"/>
      <c r="AU682" s="50"/>
      <c r="AV682" s="50"/>
      <c r="AW682" s="50"/>
      <c r="AX682" s="50"/>
      <c r="AY682" s="50"/>
      <c r="AZ682" s="50"/>
      <c r="BA682" s="50"/>
      <c r="BB682" s="50"/>
      <c r="BC682" s="50"/>
      <c r="BD682" s="50"/>
      <c r="BE682" s="50"/>
      <c r="BF682" s="50"/>
      <c r="BG682" s="50"/>
      <c r="BH682" s="50"/>
      <c r="BI682" s="50"/>
      <c r="BJ682" s="50"/>
      <c r="BK682" s="50"/>
      <c r="BL682" s="50"/>
      <c r="BM682" s="50"/>
      <c r="BN682" s="50"/>
    </row>
    <row r="683">
      <c r="A683" s="50"/>
      <c r="B683" s="50"/>
      <c r="C683" s="50"/>
      <c r="D683" s="50"/>
      <c r="E683" s="158"/>
      <c r="F683" s="175"/>
      <c r="G683" s="175"/>
      <c r="H683" s="175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168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50"/>
      <c r="AU683" s="50"/>
      <c r="AV683" s="50"/>
      <c r="AW683" s="50"/>
      <c r="AX683" s="50"/>
      <c r="AY683" s="50"/>
      <c r="AZ683" s="50"/>
      <c r="BA683" s="50"/>
      <c r="BB683" s="50"/>
      <c r="BC683" s="50"/>
      <c r="BD683" s="50"/>
      <c r="BE683" s="50"/>
      <c r="BF683" s="50"/>
      <c r="BG683" s="50"/>
      <c r="BH683" s="50"/>
      <c r="BI683" s="50"/>
      <c r="BJ683" s="50"/>
      <c r="BK683" s="50"/>
      <c r="BL683" s="50"/>
      <c r="BM683" s="50"/>
      <c r="BN683" s="50"/>
    </row>
    <row r="684">
      <c r="A684" s="50"/>
      <c r="B684" s="50"/>
      <c r="C684" s="50"/>
      <c r="D684" s="50"/>
      <c r="E684" s="158"/>
      <c r="F684" s="175"/>
      <c r="G684" s="175"/>
      <c r="H684" s="175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168"/>
      <c r="AF684" s="50"/>
      <c r="AG684" s="50"/>
      <c r="AH684" s="50"/>
      <c r="AI684" s="50"/>
      <c r="AJ684" s="50"/>
      <c r="AK684" s="50"/>
      <c r="AL684" s="50"/>
      <c r="AM684" s="50"/>
      <c r="AN684" s="50"/>
      <c r="AO684" s="50"/>
      <c r="AP684" s="50"/>
      <c r="AQ684" s="50"/>
      <c r="AR684" s="50"/>
      <c r="AS684" s="50"/>
      <c r="AT684" s="50"/>
      <c r="AU684" s="50"/>
      <c r="AV684" s="50"/>
      <c r="AW684" s="50"/>
      <c r="AX684" s="50"/>
      <c r="AY684" s="50"/>
      <c r="AZ684" s="50"/>
      <c r="BA684" s="50"/>
      <c r="BB684" s="50"/>
      <c r="BC684" s="50"/>
      <c r="BD684" s="50"/>
      <c r="BE684" s="50"/>
      <c r="BF684" s="50"/>
      <c r="BG684" s="50"/>
      <c r="BH684" s="50"/>
      <c r="BI684" s="50"/>
      <c r="BJ684" s="50"/>
      <c r="BK684" s="50"/>
      <c r="BL684" s="50"/>
      <c r="BM684" s="50"/>
      <c r="BN684" s="50"/>
    </row>
    <row r="685">
      <c r="A685" s="50"/>
      <c r="B685" s="50"/>
      <c r="C685" s="50"/>
      <c r="D685" s="50"/>
      <c r="E685" s="158"/>
      <c r="F685" s="175"/>
      <c r="G685" s="175"/>
      <c r="H685" s="175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168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  <c r="AV685" s="50"/>
      <c r="AW685" s="50"/>
      <c r="AX685" s="50"/>
      <c r="AY685" s="50"/>
      <c r="AZ685" s="50"/>
      <c r="BA685" s="50"/>
      <c r="BB685" s="50"/>
      <c r="BC685" s="50"/>
      <c r="BD685" s="50"/>
      <c r="BE685" s="50"/>
      <c r="BF685" s="50"/>
      <c r="BG685" s="50"/>
      <c r="BH685" s="50"/>
      <c r="BI685" s="50"/>
      <c r="BJ685" s="50"/>
      <c r="BK685" s="50"/>
      <c r="BL685" s="50"/>
      <c r="BM685" s="50"/>
      <c r="BN685" s="50"/>
    </row>
    <row r="686">
      <c r="A686" s="50"/>
      <c r="B686" s="50"/>
      <c r="C686" s="50"/>
      <c r="D686" s="50"/>
      <c r="E686" s="158"/>
      <c r="F686" s="175"/>
      <c r="G686" s="175"/>
      <c r="H686" s="175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168"/>
      <c r="AF686" s="50"/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0"/>
      <c r="BE686" s="50"/>
      <c r="BF686" s="50"/>
      <c r="BG686" s="50"/>
      <c r="BH686" s="50"/>
      <c r="BI686" s="50"/>
      <c r="BJ686" s="50"/>
      <c r="BK686" s="50"/>
      <c r="BL686" s="50"/>
      <c r="BM686" s="50"/>
      <c r="BN686" s="50"/>
    </row>
    <row r="687">
      <c r="A687" s="50"/>
      <c r="B687" s="50"/>
      <c r="C687" s="50"/>
      <c r="D687" s="50"/>
      <c r="E687" s="158"/>
      <c r="F687" s="175"/>
      <c r="G687" s="175"/>
      <c r="H687" s="175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168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50"/>
      <c r="AU687" s="50"/>
      <c r="AV687" s="50"/>
      <c r="AW687" s="50"/>
      <c r="AX687" s="50"/>
      <c r="AY687" s="50"/>
      <c r="AZ687" s="50"/>
      <c r="BA687" s="50"/>
      <c r="BB687" s="50"/>
      <c r="BC687" s="50"/>
      <c r="BD687" s="50"/>
      <c r="BE687" s="50"/>
      <c r="BF687" s="50"/>
      <c r="BG687" s="50"/>
      <c r="BH687" s="50"/>
      <c r="BI687" s="50"/>
      <c r="BJ687" s="50"/>
      <c r="BK687" s="50"/>
      <c r="BL687" s="50"/>
      <c r="BM687" s="50"/>
      <c r="BN687" s="50"/>
    </row>
    <row r="688">
      <c r="A688" s="50"/>
      <c r="B688" s="50"/>
      <c r="C688" s="50"/>
      <c r="D688" s="50"/>
      <c r="E688" s="158"/>
      <c r="F688" s="175"/>
      <c r="G688" s="175"/>
      <c r="H688" s="175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168"/>
      <c r="AF688" s="50"/>
      <c r="AG688" s="50"/>
      <c r="AH688" s="50"/>
      <c r="AI688" s="50"/>
      <c r="AJ688" s="50"/>
      <c r="AK688" s="50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  <c r="AV688" s="50"/>
      <c r="AW688" s="50"/>
      <c r="AX688" s="50"/>
      <c r="AY688" s="50"/>
      <c r="AZ688" s="50"/>
      <c r="BA688" s="50"/>
      <c r="BB688" s="50"/>
      <c r="BC688" s="50"/>
      <c r="BD688" s="50"/>
      <c r="BE688" s="50"/>
      <c r="BF688" s="50"/>
      <c r="BG688" s="50"/>
      <c r="BH688" s="50"/>
      <c r="BI688" s="50"/>
      <c r="BJ688" s="50"/>
      <c r="BK688" s="50"/>
      <c r="BL688" s="50"/>
      <c r="BM688" s="50"/>
      <c r="BN688" s="50"/>
    </row>
    <row r="689">
      <c r="A689" s="50"/>
      <c r="B689" s="50"/>
      <c r="C689" s="50"/>
      <c r="D689" s="50"/>
      <c r="E689" s="158"/>
      <c r="F689" s="175"/>
      <c r="G689" s="175"/>
      <c r="H689" s="175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168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/>
      <c r="BE689" s="50"/>
      <c r="BF689" s="50"/>
      <c r="BG689" s="50"/>
      <c r="BH689" s="50"/>
      <c r="BI689" s="50"/>
      <c r="BJ689" s="50"/>
      <c r="BK689" s="50"/>
      <c r="BL689" s="50"/>
      <c r="BM689" s="50"/>
      <c r="BN689" s="50"/>
    </row>
    <row r="690">
      <c r="A690" s="50"/>
      <c r="B690" s="50"/>
      <c r="C690" s="50"/>
      <c r="D690" s="50"/>
      <c r="E690" s="158"/>
      <c r="F690" s="175"/>
      <c r="G690" s="175"/>
      <c r="H690" s="175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168"/>
      <c r="AF690" s="50"/>
      <c r="AG690" s="50"/>
      <c r="AH690" s="50"/>
      <c r="AI690" s="50"/>
      <c r="AJ690" s="50"/>
      <c r="AK690" s="50"/>
      <c r="AL690" s="50"/>
      <c r="AM690" s="50"/>
      <c r="AN690" s="50"/>
      <c r="AO690" s="50"/>
      <c r="AP690" s="50"/>
      <c r="AQ690" s="50"/>
      <c r="AR690" s="50"/>
      <c r="AS690" s="50"/>
      <c r="AT690" s="50"/>
      <c r="AU690" s="50"/>
      <c r="AV690" s="50"/>
      <c r="AW690" s="50"/>
      <c r="AX690" s="50"/>
      <c r="AY690" s="50"/>
      <c r="AZ690" s="50"/>
      <c r="BA690" s="50"/>
      <c r="BB690" s="50"/>
      <c r="BC690" s="50"/>
      <c r="BD690" s="50"/>
      <c r="BE690" s="50"/>
      <c r="BF690" s="50"/>
      <c r="BG690" s="50"/>
      <c r="BH690" s="50"/>
      <c r="BI690" s="50"/>
      <c r="BJ690" s="50"/>
      <c r="BK690" s="50"/>
      <c r="BL690" s="50"/>
      <c r="BM690" s="50"/>
      <c r="BN690" s="50"/>
    </row>
    <row r="691">
      <c r="A691" s="50"/>
      <c r="B691" s="50"/>
      <c r="C691" s="50"/>
      <c r="D691" s="50"/>
      <c r="E691" s="158"/>
      <c r="F691" s="175"/>
      <c r="G691" s="175"/>
      <c r="H691" s="175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168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50"/>
      <c r="AU691" s="50"/>
      <c r="AV691" s="50"/>
      <c r="AW691" s="50"/>
      <c r="AX691" s="50"/>
      <c r="AY691" s="50"/>
      <c r="AZ691" s="50"/>
      <c r="BA691" s="50"/>
      <c r="BB691" s="50"/>
      <c r="BC691" s="50"/>
      <c r="BD691" s="50"/>
      <c r="BE691" s="50"/>
      <c r="BF691" s="50"/>
      <c r="BG691" s="50"/>
      <c r="BH691" s="50"/>
      <c r="BI691" s="50"/>
      <c r="BJ691" s="50"/>
      <c r="BK691" s="50"/>
      <c r="BL691" s="50"/>
      <c r="BM691" s="50"/>
      <c r="BN691" s="50"/>
    </row>
    <row r="692">
      <c r="A692" s="50"/>
      <c r="B692" s="50"/>
      <c r="C692" s="50"/>
      <c r="D692" s="50"/>
      <c r="E692" s="158"/>
      <c r="F692" s="175"/>
      <c r="G692" s="175"/>
      <c r="H692" s="175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168"/>
      <c r="AF692" s="50"/>
      <c r="AG692" s="50"/>
      <c r="AH692" s="50"/>
      <c r="AI692" s="50"/>
      <c r="AJ692" s="50"/>
      <c r="AK692" s="50"/>
      <c r="AL692" s="50"/>
      <c r="AM692" s="50"/>
      <c r="AN692" s="50"/>
      <c r="AO692" s="50"/>
      <c r="AP692" s="50"/>
      <c r="AQ692" s="50"/>
      <c r="AR692" s="50"/>
      <c r="AS692" s="50"/>
      <c r="AT692" s="50"/>
      <c r="AU692" s="50"/>
      <c r="AV692" s="50"/>
      <c r="AW692" s="50"/>
      <c r="AX692" s="50"/>
      <c r="AY692" s="50"/>
      <c r="AZ692" s="50"/>
      <c r="BA692" s="50"/>
      <c r="BB692" s="50"/>
      <c r="BC692" s="50"/>
      <c r="BD692" s="50"/>
      <c r="BE692" s="50"/>
      <c r="BF692" s="50"/>
      <c r="BG692" s="50"/>
      <c r="BH692" s="50"/>
      <c r="BI692" s="50"/>
      <c r="BJ692" s="50"/>
      <c r="BK692" s="50"/>
      <c r="BL692" s="50"/>
      <c r="BM692" s="50"/>
      <c r="BN692" s="50"/>
    </row>
    <row r="693">
      <c r="A693" s="50"/>
      <c r="B693" s="50"/>
      <c r="C693" s="50"/>
      <c r="D693" s="50"/>
      <c r="E693" s="158"/>
      <c r="F693" s="175"/>
      <c r="G693" s="175"/>
      <c r="H693" s="175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168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50"/>
      <c r="AU693" s="50"/>
      <c r="AV693" s="50"/>
      <c r="AW693" s="50"/>
      <c r="AX693" s="50"/>
      <c r="AY693" s="50"/>
      <c r="AZ693" s="50"/>
      <c r="BA693" s="50"/>
      <c r="BB693" s="50"/>
      <c r="BC693" s="50"/>
      <c r="BD693" s="50"/>
      <c r="BE693" s="50"/>
      <c r="BF693" s="50"/>
      <c r="BG693" s="50"/>
      <c r="BH693" s="50"/>
      <c r="BI693" s="50"/>
      <c r="BJ693" s="50"/>
      <c r="BK693" s="50"/>
      <c r="BL693" s="50"/>
      <c r="BM693" s="50"/>
      <c r="BN693" s="50"/>
    </row>
    <row r="694">
      <c r="A694" s="50"/>
      <c r="B694" s="50"/>
      <c r="C694" s="50"/>
      <c r="D694" s="50"/>
      <c r="E694" s="158"/>
      <c r="F694" s="175"/>
      <c r="G694" s="175"/>
      <c r="H694" s="175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168"/>
      <c r="AF694" s="50"/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/>
      <c r="AR694" s="50"/>
      <c r="AS694" s="50"/>
      <c r="AT694" s="50"/>
      <c r="AU694" s="50"/>
      <c r="AV694" s="50"/>
      <c r="AW694" s="50"/>
      <c r="AX694" s="50"/>
      <c r="AY694" s="50"/>
      <c r="AZ694" s="50"/>
      <c r="BA694" s="50"/>
      <c r="BB694" s="50"/>
      <c r="BC694" s="50"/>
      <c r="BD694" s="50"/>
      <c r="BE694" s="50"/>
      <c r="BF694" s="50"/>
      <c r="BG694" s="50"/>
      <c r="BH694" s="50"/>
      <c r="BI694" s="50"/>
      <c r="BJ694" s="50"/>
      <c r="BK694" s="50"/>
      <c r="BL694" s="50"/>
      <c r="BM694" s="50"/>
      <c r="BN694" s="50"/>
    </row>
    <row r="695">
      <c r="A695" s="50"/>
      <c r="B695" s="50"/>
      <c r="C695" s="50"/>
      <c r="D695" s="50"/>
      <c r="E695" s="158"/>
      <c r="F695" s="175"/>
      <c r="G695" s="175"/>
      <c r="H695" s="175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168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50"/>
      <c r="AU695" s="50"/>
      <c r="AV695" s="50"/>
      <c r="AW695" s="50"/>
      <c r="AX695" s="50"/>
      <c r="AY695" s="50"/>
      <c r="AZ695" s="50"/>
      <c r="BA695" s="50"/>
      <c r="BB695" s="50"/>
      <c r="BC695" s="50"/>
      <c r="BD695" s="50"/>
      <c r="BE695" s="50"/>
      <c r="BF695" s="50"/>
      <c r="BG695" s="50"/>
      <c r="BH695" s="50"/>
      <c r="BI695" s="50"/>
      <c r="BJ695" s="50"/>
      <c r="BK695" s="50"/>
      <c r="BL695" s="50"/>
      <c r="BM695" s="50"/>
      <c r="BN695" s="50"/>
    </row>
    <row r="696">
      <c r="A696" s="50"/>
      <c r="B696" s="50"/>
      <c r="C696" s="50"/>
      <c r="D696" s="50"/>
      <c r="E696" s="158"/>
      <c r="F696" s="175"/>
      <c r="G696" s="175"/>
      <c r="H696" s="175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168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  <c r="AV696" s="50"/>
      <c r="AW696" s="50"/>
      <c r="AX696" s="50"/>
      <c r="AY696" s="50"/>
      <c r="AZ696" s="50"/>
      <c r="BA696" s="50"/>
      <c r="BB696" s="50"/>
      <c r="BC696" s="50"/>
      <c r="BD696" s="50"/>
      <c r="BE696" s="50"/>
      <c r="BF696" s="50"/>
      <c r="BG696" s="50"/>
      <c r="BH696" s="50"/>
      <c r="BI696" s="50"/>
      <c r="BJ696" s="50"/>
      <c r="BK696" s="50"/>
      <c r="BL696" s="50"/>
      <c r="BM696" s="50"/>
      <c r="BN696" s="50"/>
    </row>
    <row r="697">
      <c r="A697" s="50"/>
      <c r="B697" s="50"/>
      <c r="C697" s="50"/>
      <c r="D697" s="50"/>
      <c r="E697" s="158"/>
      <c r="F697" s="175"/>
      <c r="G697" s="175"/>
      <c r="H697" s="175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168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  <c r="AV697" s="50"/>
      <c r="AW697" s="50"/>
      <c r="AX697" s="50"/>
      <c r="AY697" s="50"/>
      <c r="AZ697" s="50"/>
      <c r="BA697" s="50"/>
      <c r="BB697" s="50"/>
      <c r="BC697" s="50"/>
      <c r="BD697" s="50"/>
      <c r="BE697" s="50"/>
      <c r="BF697" s="50"/>
      <c r="BG697" s="50"/>
      <c r="BH697" s="50"/>
      <c r="BI697" s="50"/>
      <c r="BJ697" s="50"/>
      <c r="BK697" s="50"/>
      <c r="BL697" s="50"/>
      <c r="BM697" s="50"/>
      <c r="BN697" s="50"/>
    </row>
    <row r="698">
      <c r="A698" s="50"/>
      <c r="B698" s="50"/>
      <c r="C698" s="50"/>
      <c r="D698" s="50"/>
      <c r="E698" s="158"/>
      <c r="F698" s="175"/>
      <c r="G698" s="175"/>
      <c r="H698" s="175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168"/>
      <c r="AF698" s="50"/>
      <c r="AG698" s="50"/>
      <c r="AH698" s="50"/>
      <c r="AI698" s="50"/>
      <c r="AJ698" s="50"/>
      <c r="AK698" s="50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  <c r="AV698" s="50"/>
      <c r="AW698" s="50"/>
      <c r="AX698" s="50"/>
      <c r="AY698" s="50"/>
      <c r="AZ698" s="50"/>
      <c r="BA698" s="50"/>
      <c r="BB698" s="50"/>
      <c r="BC698" s="50"/>
      <c r="BD698" s="50"/>
      <c r="BE698" s="50"/>
      <c r="BF698" s="50"/>
      <c r="BG698" s="50"/>
      <c r="BH698" s="50"/>
      <c r="BI698" s="50"/>
      <c r="BJ698" s="50"/>
      <c r="BK698" s="50"/>
      <c r="BL698" s="50"/>
      <c r="BM698" s="50"/>
      <c r="BN698" s="50"/>
    </row>
    <row r="699">
      <c r="A699" s="50"/>
      <c r="B699" s="50"/>
      <c r="C699" s="50"/>
      <c r="D699" s="50"/>
      <c r="E699" s="158"/>
      <c r="F699" s="175"/>
      <c r="G699" s="175"/>
      <c r="H699" s="175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168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0"/>
      <c r="BE699" s="50"/>
      <c r="BF699" s="50"/>
      <c r="BG699" s="50"/>
      <c r="BH699" s="50"/>
      <c r="BI699" s="50"/>
      <c r="BJ699" s="50"/>
      <c r="BK699" s="50"/>
      <c r="BL699" s="50"/>
      <c r="BM699" s="50"/>
      <c r="BN699" s="50"/>
    </row>
    <row r="700">
      <c r="A700" s="50"/>
      <c r="B700" s="50"/>
      <c r="C700" s="50"/>
      <c r="D700" s="50"/>
      <c r="E700" s="158"/>
      <c r="F700" s="175"/>
      <c r="G700" s="175"/>
      <c r="H700" s="175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168"/>
      <c r="AF700" s="50"/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  <c r="AV700" s="50"/>
      <c r="AW700" s="50"/>
      <c r="AX700" s="50"/>
      <c r="AY700" s="50"/>
      <c r="AZ700" s="50"/>
      <c r="BA700" s="50"/>
      <c r="BB700" s="50"/>
      <c r="BC700" s="50"/>
      <c r="BD700" s="50"/>
      <c r="BE700" s="50"/>
      <c r="BF700" s="50"/>
      <c r="BG700" s="50"/>
      <c r="BH700" s="50"/>
      <c r="BI700" s="50"/>
      <c r="BJ700" s="50"/>
      <c r="BK700" s="50"/>
      <c r="BL700" s="50"/>
      <c r="BM700" s="50"/>
      <c r="BN700" s="50"/>
    </row>
    <row r="701">
      <c r="A701" s="50"/>
      <c r="B701" s="50"/>
      <c r="C701" s="50"/>
      <c r="D701" s="50"/>
      <c r="E701" s="158"/>
      <c r="F701" s="175"/>
      <c r="G701" s="175"/>
      <c r="H701" s="175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168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0"/>
      <c r="BE701" s="50"/>
      <c r="BF701" s="50"/>
      <c r="BG701" s="50"/>
      <c r="BH701" s="50"/>
      <c r="BI701" s="50"/>
      <c r="BJ701" s="50"/>
      <c r="BK701" s="50"/>
      <c r="BL701" s="50"/>
      <c r="BM701" s="50"/>
      <c r="BN701" s="50"/>
    </row>
    <row r="702">
      <c r="A702" s="50"/>
      <c r="B702" s="50"/>
      <c r="C702" s="50"/>
      <c r="D702" s="50"/>
      <c r="E702" s="158"/>
      <c r="F702" s="175"/>
      <c r="G702" s="175"/>
      <c r="H702" s="175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168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/>
      <c r="BE702" s="50"/>
      <c r="BF702" s="50"/>
      <c r="BG702" s="50"/>
      <c r="BH702" s="50"/>
      <c r="BI702" s="50"/>
      <c r="BJ702" s="50"/>
      <c r="BK702" s="50"/>
      <c r="BL702" s="50"/>
      <c r="BM702" s="50"/>
      <c r="BN702" s="50"/>
    </row>
    <row r="703">
      <c r="A703" s="50"/>
      <c r="B703" s="50"/>
      <c r="C703" s="50"/>
      <c r="D703" s="50"/>
      <c r="E703" s="158"/>
      <c r="F703" s="175"/>
      <c r="G703" s="175"/>
      <c r="H703" s="175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168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0"/>
      <c r="BE703" s="50"/>
      <c r="BF703" s="50"/>
      <c r="BG703" s="50"/>
      <c r="BH703" s="50"/>
      <c r="BI703" s="50"/>
      <c r="BJ703" s="50"/>
      <c r="BK703" s="50"/>
      <c r="BL703" s="50"/>
      <c r="BM703" s="50"/>
      <c r="BN703" s="50"/>
    </row>
    <row r="704">
      <c r="A704" s="50"/>
      <c r="B704" s="50"/>
      <c r="C704" s="50"/>
      <c r="D704" s="50"/>
      <c r="E704" s="158"/>
      <c r="F704" s="175"/>
      <c r="G704" s="175"/>
      <c r="H704" s="175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168"/>
      <c r="AF704" s="50"/>
      <c r="AG704" s="50"/>
      <c r="AH704" s="50"/>
      <c r="AI704" s="50"/>
      <c r="AJ704" s="50"/>
      <c r="AK704" s="50"/>
      <c r="AL704" s="50"/>
      <c r="AM704" s="50"/>
      <c r="AN704" s="50"/>
      <c r="AO704" s="50"/>
      <c r="AP704" s="50"/>
      <c r="AQ704" s="50"/>
      <c r="AR704" s="50"/>
      <c r="AS704" s="50"/>
      <c r="AT704" s="50"/>
      <c r="AU704" s="50"/>
      <c r="AV704" s="50"/>
      <c r="AW704" s="50"/>
      <c r="AX704" s="50"/>
      <c r="AY704" s="50"/>
      <c r="AZ704" s="50"/>
      <c r="BA704" s="50"/>
      <c r="BB704" s="50"/>
      <c r="BC704" s="50"/>
      <c r="BD704" s="50"/>
      <c r="BE704" s="50"/>
      <c r="BF704" s="50"/>
      <c r="BG704" s="50"/>
      <c r="BH704" s="50"/>
      <c r="BI704" s="50"/>
      <c r="BJ704" s="50"/>
      <c r="BK704" s="50"/>
      <c r="BL704" s="50"/>
      <c r="BM704" s="50"/>
      <c r="BN704" s="50"/>
    </row>
    <row r="705">
      <c r="A705" s="50"/>
      <c r="B705" s="50"/>
      <c r="C705" s="50"/>
      <c r="D705" s="50"/>
      <c r="E705" s="158"/>
      <c r="F705" s="175"/>
      <c r="G705" s="175"/>
      <c r="H705" s="175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168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/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</row>
    <row r="706">
      <c r="A706" s="50"/>
      <c r="B706" s="50"/>
      <c r="C706" s="50"/>
      <c r="D706" s="50"/>
      <c r="E706" s="158"/>
      <c r="F706" s="175"/>
      <c r="G706" s="175"/>
      <c r="H706" s="175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168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/>
      <c r="BE706" s="50"/>
      <c r="BF706" s="50"/>
      <c r="BG706" s="50"/>
      <c r="BH706" s="50"/>
      <c r="BI706" s="50"/>
      <c r="BJ706" s="50"/>
      <c r="BK706" s="50"/>
      <c r="BL706" s="50"/>
      <c r="BM706" s="50"/>
      <c r="BN706" s="50"/>
    </row>
    <row r="707">
      <c r="A707" s="50"/>
      <c r="B707" s="50"/>
      <c r="C707" s="50"/>
      <c r="D707" s="50"/>
      <c r="E707" s="158"/>
      <c r="F707" s="175"/>
      <c r="G707" s="175"/>
      <c r="H707" s="175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168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</row>
    <row r="708">
      <c r="A708" s="50"/>
      <c r="B708" s="50"/>
      <c r="C708" s="50"/>
      <c r="D708" s="50"/>
      <c r="E708" s="158"/>
      <c r="F708" s="175"/>
      <c r="G708" s="175"/>
      <c r="H708" s="175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168"/>
      <c r="AF708" s="50"/>
      <c r="AG708" s="50"/>
      <c r="AH708" s="50"/>
      <c r="AI708" s="50"/>
      <c r="AJ708" s="50"/>
      <c r="AK708" s="50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  <c r="AV708" s="50"/>
      <c r="AW708" s="50"/>
      <c r="AX708" s="50"/>
      <c r="AY708" s="50"/>
      <c r="AZ708" s="50"/>
      <c r="BA708" s="50"/>
      <c r="BB708" s="50"/>
      <c r="BC708" s="50"/>
      <c r="BD708" s="50"/>
      <c r="BE708" s="50"/>
      <c r="BF708" s="50"/>
      <c r="BG708" s="50"/>
      <c r="BH708" s="50"/>
      <c r="BI708" s="50"/>
      <c r="BJ708" s="50"/>
      <c r="BK708" s="50"/>
      <c r="BL708" s="50"/>
      <c r="BM708" s="50"/>
      <c r="BN708" s="50"/>
    </row>
    <row r="709">
      <c r="A709" s="50"/>
      <c r="B709" s="50"/>
      <c r="C709" s="50"/>
      <c r="D709" s="50"/>
      <c r="E709" s="158"/>
      <c r="F709" s="175"/>
      <c r="G709" s="175"/>
      <c r="H709" s="175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168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/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</row>
    <row r="710">
      <c r="A710" s="50"/>
      <c r="B710" s="50"/>
      <c r="C710" s="50"/>
      <c r="D710" s="50"/>
      <c r="E710" s="158"/>
      <c r="F710" s="175"/>
      <c r="G710" s="175"/>
      <c r="H710" s="175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168"/>
      <c r="AF710" s="50"/>
      <c r="AG710" s="50"/>
      <c r="AH710" s="50"/>
      <c r="AI710" s="50"/>
      <c r="AJ710" s="50"/>
      <c r="AK710" s="50"/>
      <c r="AL710" s="50"/>
      <c r="AM710" s="50"/>
      <c r="AN710" s="50"/>
      <c r="AO710" s="50"/>
      <c r="AP710" s="50"/>
      <c r="AQ710" s="50"/>
      <c r="AR710" s="50"/>
      <c r="AS710" s="50"/>
      <c r="AT710" s="50"/>
      <c r="AU710" s="50"/>
      <c r="AV710" s="50"/>
      <c r="AW710" s="50"/>
      <c r="AX710" s="50"/>
      <c r="AY710" s="50"/>
      <c r="AZ710" s="50"/>
      <c r="BA710" s="50"/>
      <c r="BB710" s="50"/>
      <c r="BC710" s="50"/>
      <c r="BD710" s="50"/>
      <c r="BE710" s="50"/>
      <c r="BF710" s="50"/>
      <c r="BG710" s="50"/>
      <c r="BH710" s="50"/>
      <c r="BI710" s="50"/>
      <c r="BJ710" s="50"/>
      <c r="BK710" s="50"/>
      <c r="BL710" s="50"/>
      <c r="BM710" s="50"/>
      <c r="BN710" s="50"/>
    </row>
    <row r="711">
      <c r="A711" s="50"/>
      <c r="B711" s="50"/>
      <c r="C711" s="50"/>
      <c r="D711" s="50"/>
      <c r="E711" s="158"/>
      <c r="F711" s="175"/>
      <c r="G711" s="175"/>
      <c r="H711" s="175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168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50"/>
      <c r="AU711" s="50"/>
      <c r="AV711" s="50"/>
      <c r="AW711" s="50"/>
      <c r="AX711" s="50"/>
      <c r="AY711" s="50"/>
      <c r="AZ711" s="50"/>
      <c r="BA711" s="50"/>
      <c r="BB711" s="50"/>
      <c r="BC711" s="50"/>
      <c r="BD711" s="50"/>
      <c r="BE711" s="50"/>
      <c r="BF711" s="50"/>
      <c r="BG711" s="50"/>
      <c r="BH711" s="50"/>
      <c r="BI711" s="50"/>
      <c r="BJ711" s="50"/>
      <c r="BK711" s="50"/>
      <c r="BL711" s="50"/>
      <c r="BM711" s="50"/>
      <c r="BN711" s="50"/>
    </row>
    <row r="712">
      <c r="A712" s="50"/>
      <c r="B712" s="50"/>
      <c r="C712" s="50"/>
      <c r="D712" s="50"/>
      <c r="E712" s="158"/>
      <c r="F712" s="175"/>
      <c r="G712" s="175"/>
      <c r="H712" s="175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168"/>
      <c r="AF712" s="50"/>
      <c r="AG712" s="50"/>
      <c r="AH712" s="50"/>
      <c r="AI712" s="50"/>
      <c r="AJ712" s="50"/>
      <c r="AK712" s="50"/>
      <c r="AL712" s="50"/>
      <c r="AM712" s="50"/>
      <c r="AN712" s="50"/>
      <c r="AO712" s="50"/>
      <c r="AP712" s="50"/>
      <c r="AQ712" s="50"/>
      <c r="AR712" s="50"/>
      <c r="AS712" s="50"/>
      <c r="AT712" s="50"/>
      <c r="AU712" s="50"/>
      <c r="AV712" s="50"/>
      <c r="AW712" s="50"/>
      <c r="AX712" s="50"/>
      <c r="AY712" s="50"/>
      <c r="AZ712" s="50"/>
      <c r="BA712" s="50"/>
      <c r="BB712" s="50"/>
      <c r="BC712" s="50"/>
      <c r="BD712" s="50"/>
      <c r="BE712" s="50"/>
      <c r="BF712" s="50"/>
      <c r="BG712" s="50"/>
      <c r="BH712" s="50"/>
      <c r="BI712" s="50"/>
      <c r="BJ712" s="50"/>
      <c r="BK712" s="50"/>
      <c r="BL712" s="50"/>
      <c r="BM712" s="50"/>
      <c r="BN712" s="50"/>
    </row>
    <row r="713">
      <c r="A713" s="50"/>
      <c r="B713" s="50"/>
      <c r="C713" s="50"/>
      <c r="D713" s="50"/>
      <c r="E713" s="158"/>
      <c r="F713" s="175"/>
      <c r="G713" s="175"/>
      <c r="H713" s="175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168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/>
      <c r="AW713" s="50"/>
      <c r="AX713" s="50"/>
      <c r="AY713" s="50"/>
      <c r="AZ713" s="50"/>
      <c r="BA713" s="50"/>
      <c r="BB713" s="50"/>
      <c r="BC713" s="50"/>
      <c r="BD713" s="50"/>
      <c r="BE713" s="50"/>
      <c r="BF713" s="50"/>
      <c r="BG713" s="50"/>
      <c r="BH713" s="50"/>
      <c r="BI713" s="50"/>
      <c r="BJ713" s="50"/>
      <c r="BK713" s="50"/>
      <c r="BL713" s="50"/>
      <c r="BM713" s="50"/>
      <c r="BN713" s="50"/>
    </row>
    <row r="714">
      <c r="A714" s="50"/>
      <c r="B714" s="50"/>
      <c r="C714" s="50"/>
      <c r="D714" s="50"/>
      <c r="E714" s="158"/>
      <c r="F714" s="175"/>
      <c r="G714" s="175"/>
      <c r="H714" s="175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168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/>
      <c r="BE714" s="50"/>
      <c r="BF714" s="50"/>
      <c r="BG714" s="50"/>
      <c r="BH714" s="50"/>
      <c r="BI714" s="50"/>
      <c r="BJ714" s="50"/>
      <c r="BK714" s="50"/>
      <c r="BL714" s="50"/>
      <c r="BM714" s="50"/>
      <c r="BN714" s="50"/>
    </row>
    <row r="715">
      <c r="A715" s="50"/>
      <c r="B715" s="50"/>
      <c r="C715" s="50"/>
      <c r="D715" s="50"/>
      <c r="E715" s="158"/>
      <c r="F715" s="175"/>
      <c r="G715" s="175"/>
      <c r="H715" s="175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168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50"/>
      <c r="AU715" s="50"/>
      <c r="AV715" s="50"/>
      <c r="AW715" s="50"/>
      <c r="AX715" s="50"/>
      <c r="AY715" s="50"/>
      <c r="AZ715" s="50"/>
      <c r="BA715" s="50"/>
      <c r="BB715" s="50"/>
      <c r="BC715" s="50"/>
      <c r="BD715" s="50"/>
      <c r="BE715" s="50"/>
      <c r="BF715" s="50"/>
      <c r="BG715" s="50"/>
      <c r="BH715" s="50"/>
      <c r="BI715" s="50"/>
      <c r="BJ715" s="50"/>
      <c r="BK715" s="50"/>
      <c r="BL715" s="50"/>
      <c r="BM715" s="50"/>
      <c r="BN715" s="50"/>
    </row>
    <row r="716">
      <c r="A716" s="50"/>
      <c r="B716" s="50"/>
      <c r="C716" s="50"/>
      <c r="D716" s="50"/>
      <c r="E716" s="158"/>
      <c r="F716" s="175"/>
      <c r="G716" s="175"/>
      <c r="H716" s="175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168"/>
      <c r="AF716" s="50"/>
      <c r="AG716" s="50"/>
      <c r="AH716" s="50"/>
      <c r="AI716" s="50"/>
      <c r="AJ716" s="50"/>
      <c r="AK716" s="50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0"/>
      <c r="BE716" s="50"/>
      <c r="BF716" s="50"/>
      <c r="BG716" s="50"/>
      <c r="BH716" s="50"/>
      <c r="BI716" s="50"/>
      <c r="BJ716" s="50"/>
      <c r="BK716" s="50"/>
      <c r="BL716" s="50"/>
      <c r="BM716" s="50"/>
      <c r="BN716" s="50"/>
    </row>
    <row r="717">
      <c r="A717" s="50"/>
      <c r="B717" s="50"/>
      <c r="C717" s="50"/>
      <c r="D717" s="50"/>
      <c r="E717" s="158"/>
      <c r="F717" s="175"/>
      <c r="G717" s="175"/>
      <c r="H717" s="175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168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  <c r="AV717" s="50"/>
      <c r="AW717" s="50"/>
      <c r="AX717" s="50"/>
      <c r="AY717" s="50"/>
      <c r="AZ717" s="50"/>
      <c r="BA717" s="50"/>
      <c r="BB717" s="50"/>
      <c r="BC717" s="50"/>
      <c r="BD717" s="50"/>
      <c r="BE717" s="50"/>
      <c r="BF717" s="50"/>
      <c r="BG717" s="50"/>
      <c r="BH717" s="50"/>
      <c r="BI717" s="50"/>
      <c r="BJ717" s="50"/>
      <c r="BK717" s="50"/>
      <c r="BL717" s="50"/>
      <c r="BM717" s="50"/>
      <c r="BN717" s="50"/>
    </row>
    <row r="718">
      <c r="A718" s="50"/>
      <c r="B718" s="50"/>
      <c r="C718" s="50"/>
      <c r="D718" s="50"/>
      <c r="E718" s="158"/>
      <c r="F718" s="175"/>
      <c r="G718" s="175"/>
      <c r="H718" s="175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168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/>
      <c r="BE718" s="50"/>
      <c r="BF718" s="50"/>
      <c r="BG718" s="50"/>
      <c r="BH718" s="50"/>
      <c r="BI718" s="50"/>
      <c r="BJ718" s="50"/>
      <c r="BK718" s="50"/>
      <c r="BL718" s="50"/>
      <c r="BM718" s="50"/>
      <c r="BN718" s="50"/>
    </row>
    <row r="719">
      <c r="A719" s="50"/>
      <c r="B719" s="50"/>
      <c r="C719" s="50"/>
      <c r="D719" s="50"/>
      <c r="E719" s="158"/>
      <c r="F719" s="175"/>
      <c r="G719" s="175"/>
      <c r="H719" s="175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168"/>
      <c r="AF719" s="50"/>
      <c r="AG719" s="50"/>
      <c r="AH719" s="50"/>
      <c r="AI719" s="50"/>
      <c r="AJ719" s="50"/>
      <c r="AK719" s="50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0"/>
      <c r="BE719" s="50"/>
      <c r="BF719" s="50"/>
      <c r="BG719" s="50"/>
      <c r="BH719" s="50"/>
      <c r="BI719" s="50"/>
      <c r="BJ719" s="50"/>
      <c r="BK719" s="50"/>
      <c r="BL719" s="50"/>
      <c r="BM719" s="50"/>
      <c r="BN719" s="50"/>
    </row>
    <row r="720">
      <c r="A720" s="50"/>
      <c r="B720" s="50"/>
      <c r="C720" s="50"/>
      <c r="D720" s="50"/>
      <c r="E720" s="158"/>
      <c r="F720" s="175"/>
      <c r="G720" s="175"/>
      <c r="H720" s="175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168"/>
      <c r="AF720" s="50"/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0"/>
      <c r="BE720" s="50"/>
      <c r="BF720" s="50"/>
      <c r="BG720" s="50"/>
      <c r="BH720" s="50"/>
      <c r="BI720" s="50"/>
      <c r="BJ720" s="50"/>
      <c r="BK720" s="50"/>
      <c r="BL720" s="50"/>
      <c r="BM720" s="50"/>
      <c r="BN720" s="50"/>
    </row>
    <row r="721">
      <c r="A721" s="50"/>
      <c r="B721" s="50"/>
      <c r="C721" s="50"/>
      <c r="D721" s="50"/>
      <c r="E721" s="158"/>
      <c r="F721" s="175"/>
      <c r="G721" s="175"/>
      <c r="H721" s="175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168"/>
      <c r="AF721" s="50"/>
      <c r="AG721" s="50"/>
      <c r="AH721" s="50"/>
      <c r="AI721" s="50"/>
      <c r="AJ721" s="50"/>
      <c r="AK721" s="50"/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0"/>
      <c r="BE721" s="50"/>
      <c r="BF721" s="50"/>
      <c r="BG721" s="50"/>
      <c r="BH721" s="50"/>
      <c r="BI721" s="50"/>
      <c r="BJ721" s="50"/>
      <c r="BK721" s="50"/>
      <c r="BL721" s="50"/>
      <c r="BM721" s="50"/>
      <c r="BN721" s="50"/>
    </row>
    <row r="722">
      <c r="A722" s="50"/>
      <c r="B722" s="50"/>
      <c r="C722" s="50"/>
      <c r="D722" s="50"/>
      <c r="E722" s="158"/>
      <c r="F722" s="175"/>
      <c r="G722" s="175"/>
      <c r="H722" s="175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168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0"/>
      <c r="BF722" s="50"/>
      <c r="BG722" s="50"/>
      <c r="BH722" s="50"/>
      <c r="BI722" s="50"/>
      <c r="BJ722" s="50"/>
      <c r="BK722" s="50"/>
      <c r="BL722" s="50"/>
      <c r="BM722" s="50"/>
      <c r="BN722" s="50"/>
    </row>
    <row r="723">
      <c r="A723" s="50"/>
      <c r="B723" s="50"/>
      <c r="C723" s="50"/>
      <c r="D723" s="50"/>
      <c r="E723" s="158"/>
      <c r="F723" s="175"/>
      <c r="G723" s="175"/>
      <c r="H723" s="175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168"/>
      <c r="AF723" s="50"/>
      <c r="AG723" s="50"/>
      <c r="AH723" s="50"/>
      <c r="AI723" s="50"/>
      <c r="AJ723" s="50"/>
      <c r="AK723" s="50"/>
      <c r="AL723" s="50"/>
      <c r="AM723" s="50"/>
      <c r="AN723" s="50"/>
      <c r="AO723" s="50"/>
      <c r="AP723" s="50"/>
      <c r="AQ723" s="50"/>
      <c r="AR723" s="50"/>
      <c r="AS723" s="50"/>
      <c r="AT723" s="50"/>
      <c r="AU723" s="50"/>
      <c r="AV723" s="50"/>
      <c r="AW723" s="50"/>
      <c r="AX723" s="50"/>
      <c r="AY723" s="50"/>
      <c r="AZ723" s="50"/>
      <c r="BA723" s="50"/>
      <c r="BB723" s="50"/>
      <c r="BC723" s="50"/>
      <c r="BD723" s="50"/>
      <c r="BE723" s="50"/>
      <c r="BF723" s="50"/>
      <c r="BG723" s="50"/>
      <c r="BH723" s="50"/>
      <c r="BI723" s="50"/>
      <c r="BJ723" s="50"/>
      <c r="BK723" s="50"/>
      <c r="BL723" s="50"/>
      <c r="BM723" s="50"/>
      <c r="BN723" s="50"/>
    </row>
    <row r="724">
      <c r="A724" s="50"/>
      <c r="B724" s="50"/>
      <c r="C724" s="50"/>
      <c r="D724" s="50"/>
      <c r="E724" s="158"/>
      <c r="F724" s="175"/>
      <c r="G724" s="175"/>
      <c r="H724" s="175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168"/>
      <c r="AF724" s="50"/>
      <c r="AG724" s="50"/>
      <c r="AH724" s="50"/>
      <c r="AI724" s="50"/>
      <c r="AJ724" s="50"/>
      <c r="AK724" s="50"/>
      <c r="AL724" s="50"/>
      <c r="AM724" s="50"/>
      <c r="AN724" s="50"/>
      <c r="AO724" s="50"/>
      <c r="AP724" s="50"/>
      <c r="AQ724" s="50"/>
      <c r="AR724" s="50"/>
      <c r="AS724" s="50"/>
      <c r="AT724" s="50"/>
      <c r="AU724" s="50"/>
      <c r="AV724" s="50"/>
      <c r="AW724" s="50"/>
      <c r="AX724" s="50"/>
      <c r="AY724" s="50"/>
      <c r="AZ724" s="50"/>
      <c r="BA724" s="50"/>
      <c r="BB724" s="50"/>
      <c r="BC724" s="50"/>
      <c r="BD724" s="50"/>
      <c r="BE724" s="50"/>
      <c r="BF724" s="50"/>
      <c r="BG724" s="50"/>
      <c r="BH724" s="50"/>
      <c r="BI724" s="50"/>
      <c r="BJ724" s="50"/>
      <c r="BK724" s="50"/>
      <c r="BL724" s="50"/>
      <c r="BM724" s="50"/>
      <c r="BN724" s="50"/>
    </row>
    <row r="725">
      <c r="A725" s="50"/>
      <c r="B725" s="50"/>
      <c r="C725" s="50"/>
      <c r="D725" s="50"/>
      <c r="E725" s="158"/>
      <c r="F725" s="175"/>
      <c r="G725" s="175"/>
      <c r="H725" s="175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168"/>
      <c r="AF725" s="50"/>
      <c r="AG725" s="50"/>
      <c r="AH725" s="50"/>
      <c r="AI725" s="50"/>
      <c r="AJ725" s="50"/>
      <c r="AK725" s="50"/>
      <c r="AL725" s="50"/>
      <c r="AM725" s="50"/>
      <c r="AN725" s="50"/>
      <c r="AO725" s="50"/>
      <c r="AP725" s="50"/>
      <c r="AQ725" s="50"/>
      <c r="AR725" s="50"/>
      <c r="AS725" s="50"/>
      <c r="AT725" s="50"/>
      <c r="AU725" s="50"/>
      <c r="AV725" s="50"/>
      <c r="AW725" s="50"/>
      <c r="AX725" s="50"/>
      <c r="AY725" s="50"/>
      <c r="AZ725" s="50"/>
      <c r="BA725" s="50"/>
      <c r="BB725" s="50"/>
      <c r="BC725" s="50"/>
      <c r="BD725" s="50"/>
      <c r="BE725" s="50"/>
      <c r="BF725" s="50"/>
      <c r="BG725" s="50"/>
      <c r="BH725" s="50"/>
      <c r="BI725" s="50"/>
      <c r="BJ725" s="50"/>
      <c r="BK725" s="50"/>
      <c r="BL725" s="50"/>
      <c r="BM725" s="50"/>
      <c r="BN725" s="50"/>
    </row>
    <row r="726">
      <c r="A726" s="50"/>
      <c r="B726" s="50"/>
      <c r="C726" s="50"/>
      <c r="D726" s="50"/>
      <c r="E726" s="158"/>
      <c r="F726" s="175"/>
      <c r="G726" s="175"/>
      <c r="H726" s="175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168"/>
      <c r="AF726" s="50"/>
      <c r="AG726" s="50"/>
      <c r="AH726" s="50"/>
      <c r="AI726" s="50"/>
      <c r="AJ726" s="50"/>
      <c r="AK726" s="50"/>
      <c r="AL726" s="50"/>
      <c r="AM726" s="50"/>
      <c r="AN726" s="50"/>
      <c r="AO726" s="50"/>
      <c r="AP726" s="50"/>
      <c r="AQ726" s="50"/>
      <c r="AR726" s="50"/>
      <c r="AS726" s="50"/>
      <c r="AT726" s="50"/>
      <c r="AU726" s="50"/>
      <c r="AV726" s="50"/>
      <c r="AW726" s="50"/>
      <c r="AX726" s="50"/>
      <c r="AY726" s="50"/>
      <c r="AZ726" s="50"/>
      <c r="BA726" s="50"/>
      <c r="BB726" s="50"/>
      <c r="BC726" s="50"/>
      <c r="BD726" s="50"/>
      <c r="BE726" s="50"/>
      <c r="BF726" s="50"/>
      <c r="BG726" s="50"/>
      <c r="BH726" s="50"/>
      <c r="BI726" s="50"/>
      <c r="BJ726" s="50"/>
      <c r="BK726" s="50"/>
      <c r="BL726" s="50"/>
      <c r="BM726" s="50"/>
      <c r="BN726" s="50"/>
    </row>
    <row r="727">
      <c r="A727" s="50"/>
      <c r="B727" s="50"/>
      <c r="C727" s="50"/>
      <c r="D727" s="50"/>
      <c r="E727" s="158"/>
      <c r="F727" s="175"/>
      <c r="G727" s="175"/>
      <c r="H727" s="175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168"/>
      <c r="AF727" s="50"/>
      <c r="AG727" s="50"/>
      <c r="AH727" s="50"/>
      <c r="AI727" s="50"/>
      <c r="AJ727" s="50"/>
      <c r="AK727" s="50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/>
      <c r="AW727" s="50"/>
      <c r="AX727" s="50"/>
      <c r="AY727" s="50"/>
      <c r="AZ727" s="50"/>
      <c r="BA727" s="50"/>
      <c r="BB727" s="50"/>
      <c r="BC727" s="50"/>
      <c r="BD727" s="50"/>
      <c r="BE727" s="50"/>
      <c r="BF727" s="50"/>
      <c r="BG727" s="50"/>
      <c r="BH727" s="50"/>
      <c r="BI727" s="50"/>
      <c r="BJ727" s="50"/>
      <c r="BK727" s="50"/>
      <c r="BL727" s="50"/>
      <c r="BM727" s="50"/>
      <c r="BN727" s="50"/>
    </row>
    <row r="728">
      <c r="A728" s="50"/>
      <c r="B728" s="50"/>
      <c r="C728" s="50"/>
      <c r="D728" s="50"/>
      <c r="E728" s="158"/>
      <c r="F728" s="175"/>
      <c r="G728" s="175"/>
      <c r="H728" s="175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168"/>
      <c r="AF728" s="50"/>
      <c r="AG728" s="50"/>
      <c r="AH728" s="50"/>
      <c r="AI728" s="50"/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/>
      <c r="AW728" s="50"/>
      <c r="AX728" s="50"/>
      <c r="AY728" s="50"/>
      <c r="AZ728" s="50"/>
      <c r="BA728" s="50"/>
      <c r="BB728" s="50"/>
      <c r="BC728" s="50"/>
      <c r="BD728" s="50"/>
      <c r="BE728" s="50"/>
      <c r="BF728" s="50"/>
      <c r="BG728" s="50"/>
      <c r="BH728" s="50"/>
      <c r="BI728" s="50"/>
      <c r="BJ728" s="50"/>
      <c r="BK728" s="50"/>
      <c r="BL728" s="50"/>
      <c r="BM728" s="50"/>
      <c r="BN728" s="50"/>
    </row>
    <row r="729">
      <c r="A729" s="50"/>
      <c r="B729" s="50"/>
      <c r="C729" s="50"/>
      <c r="D729" s="50"/>
      <c r="E729" s="158"/>
      <c r="F729" s="175"/>
      <c r="G729" s="175"/>
      <c r="H729" s="175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168"/>
      <c r="AF729" s="50"/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0"/>
      <c r="BE729" s="50"/>
      <c r="BF729" s="50"/>
      <c r="BG729" s="50"/>
      <c r="BH729" s="50"/>
      <c r="BI729" s="50"/>
      <c r="BJ729" s="50"/>
      <c r="BK729" s="50"/>
      <c r="BL729" s="50"/>
      <c r="BM729" s="50"/>
      <c r="BN729" s="50"/>
    </row>
    <row r="730">
      <c r="A730" s="50"/>
      <c r="B730" s="50"/>
      <c r="C730" s="50"/>
      <c r="D730" s="50"/>
      <c r="E730" s="158"/>
      <c r="F730" s="175"/>
      <c r="G730" s="175"/>
      <c r="H730" s="175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168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50"/>
      <c r="BG730" s="50"/>
      <c r="BH730" s="50"/>
      <c r="BI730" s="50"/>
      <c r="BJ730" s="50"/>
      <c r="BK730" s="50"/>
      <c r="BL730" s="50"/>
      <c r="BM730" s="50"/>
      <c r="BN730" s="50"/>
    </row>
    <row r="731">
      <c r="A731" s="50"/>
      <c r="B731" s="50"/>
      <c r="C731" s="50"/>
      <c r="D731" s="50"/>
      <c r="E731" s="158"/>
      <c r="F731" s="175"/>
      <c r="G731" s="175"/>
      <c r="H731" s="175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168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  <c r="AV731" s="50"/>
      <c r="AW731" s="50"/>
      <c r="AX731" s="50"/>
      <c r="AY731" s="50"/>
      <c r="AZ731" s="50"/>
      <c r="BA731" s="50"/>
      <c r="BB731" s="50"/>
      <c r="BC731" s="50"/>
      <c r="BD731" s="50"/>
      <c r="BE731" s="50"/>
      <c r="BF731" s="50"/>
      <c r="BG731" s="50"/>
      <c r="BH731" s="50"/>
      <c r="BI731" s="50"/>
      <c r="BJ731" s="50"/>
      <c r="BK731" s="50"/>
      <c r="BL731" s="50"/>
      <c r="BM731" s="50"/>
      <c r="BN731" s="50"/>
    </row>
    <row r="732">
      <c r="A732" s="50"/>
      <c r="B732" s="50"/>
      <c r="C732" s="50"/>
      <c r="D732" s="50"/>
      <c r="E732" s="158"/>
      <c r="F732" s="175"/>
      <c r="G732" s="175"/>
      <c r="H732" s="175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168"/>
      <c r="AF732" s="50"/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/>
      <c r="AR732" s="50"/>
      <c r="AS732" s="50"/>
      <c r="AT732" s="50"/>
      <c r="AU732" s="50"/>
      <c r="AV732" s="50"/>
      <c r="AW732" s="50"/>
      <c r="AX732" s="50"/>
      <c r="AY732" s="50"/>
      <c r="AZ732" s="50"/>
      <c r="BA732" s="50"/>
      <c r="BB732" s="50"/>
      <c r="BC732" s="50"/>
      <c r="BD732" s="50"/>
      <c r="BE732" s="50"/>
      <c r="BF732" s="50"/>
      <c r="BG732" s="50"/>
      <c r="BH732" s="50"/>
      <c r="BI732" s="50"/>
      <c r="BJ732" s="50"/>
      <c r="BK732" s="50"/>
      <c r="BL732" s="50"/>
      <c r="BM732" s="50"/>
      <c r="BN732" s="50"/>
    </row>
    <row r="733">
      <c r="A733" s="50"/>
      <c r="B733" s="50"/>
      <c r="C733" s="50"/>
      <c r="D733" s="50"/>
      <c r="E733" s="158"/>
      <c r="F733" s="175"/>
      <c r="G733" s="175"/>
      <c r="H733" s="175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168"/>
      <c r="AF733" s="50"/>
      <c r="AG733" s="50"/>
      <c r="AH733" s="50"/>
      <c r="AI733" s="50"/>
      <c r="AJ733" s="50"/>
      <c r="AK733" s="50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  <c r="AV733" s="50"/>
      <c r="AW733" s="50"/>
      <c r="AX733" s="50"/>
      <c r="AY733" s="50"/>
      <c r="AZ733" s="50"/>
      <c r="BA733" s="50"/>
      <c r="BB733" s="50"/>
      <c r="BC733" s="50"/>
      <c r="BD733" s="50"/>
      <c r="BE733" s="50"/>
      <c r="BF733" s="50"/>
      <c r="BG733" s="50"/>
      <c r="BH733" s="50"/>
      <c r="BI733" s="50"/>
      <c r="BJ733" s="50"/>
      <c r="BK733" s="50"/>
      <c r="BL733" s="50"/>
      <c r="BM733" s="50"/>
      <c r="BN733" s="50"/>
    </row>
    <row r="734">
      <c r="A734" s="50"/>
      <c r="B734" s="50"/>
      <c r="C734" s="50"/>
      <c r="D734" s="50"/>
      <c r="E734" s="158"/>
      <c r="F734" s="175"/>
      <c r="G734" s="175"/>
      <c r="H734" s="175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168"/>
      <c r="AF734" s="50"/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/>
      <c r="AR734" s="50"/>
      <c r="AS734" s="50"/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0"/>
      <c r="BE734" s="50"/>
      <c r="BF734" s="50"/>
      <c r="BG734" s="50"/>
      <c r="BH734" s="50"/>
      <c r="BI734" s="50"/>
      <c r="BJ734" s="50"/>
      <c r="BK734" s="50"/>
      <c r="BL734" s="50"/>
      <c r="BM734" s="50"/>
      <c r="BN734" s="50"/>
    </row>
    <row r="735">
      <c r="A735" s="50"/>
      <c r="B735" s="50"/>
      <c r="C735" s="50"/>
      <c r="D735" s="50"/>
      <c r="E735" s="158"/>
      <c r="F735" s="175"/>
      <c r="G735" s="175"/>
      <c r="H735" s="175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168"/>
      <c r="AF735" s="50"/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50"/>
      <c r="AR735" s="50"/>
      <c r="AS735" s="50"/>
      <c r="AT735" s="50"/>
      <c r="AU735" s="50"/>
      <c r="AV735" s="50"/>
      <c r="AW735" s="50"/>
      <c r="AX735" s="50"/>
      <c r="AY735" s="50"/>
      <c r="AZ735" s="50"/>
      <c r="BA735" s="50"/>
      <c r="BB735" s="50"/>
      <c r="BC735" s="50"/>
      <c r="BD735" s="50"/>
      <c r="BE735" s="50"/>
      <c r="BF735" s="50"/>
      <c r="BG735" s="50"/>
      <c r="BH735" s="50"/>
      <c r="BI735" s="50"/>
      <c r="BJ735" s="50"/>
      <c r="BK735" s="50"/>
      <c r="BL735" s="50"/>
      <c r="BM735" s="50"/>
      <c r="BN735" s="50"/>
    </row>
    <row r="736">
      <c r="A736" s="50"/>
      <c r="B736" s="50"/>
      <c r="C736" s="50"/>
      <c r="D736" s="50"/>
      <c r="E736" s="158"/>
      <c r="F736" s="175"/>
      <c r="G736" s="175"/>
      <c r="H736" s="175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168"/>
      <c r="AF736" s="50"/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/>
      <c r="AW736" s="50"/>
      <c r="AX736" s="50"/>
      <c r="AY736" s="50"/>
      <c r="AZ736" s="50"/>
      <c r="BA736" s="50"/>
      <c r="BB736" s="50"/>
      <c r="BC736" s="50"/>
      <c r="BD736" s="50"/>
      <c r="BE736" s="50"/>
      <c r="BF736" s="50"/>
      <c r="BG736" s="50"/>
      <c r="BH736" s="50"/>
      <c r="BI736" s="50"/>
      <c r="BJ736" s="50"/>
      <c r="BK736" s="50"/>
      <c r="BL736" s="50"/>
      <c r="BM736" s="50"/>
      <c r="BN736" s="50"/>
    </row>
    <row r="737">
      <c r="A737" s="50"/>
      <c r="B737" s="50"/>
      <c r="C737" s="50"/>
      <c r="D737" s="50"/>
      <c r="E737" s="158"/>
      <c r="F737" s="175"/>
      <c r="G737" s="175"/>
      <c r="H737" s="175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168"/>
      <c r="AF737" s="50"/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0"/>
      <c r="BF737" s="50"/>
      <c r="BG737" s="50"/>
      <c r="BH737" s="50"/>
      <c r="BI737" s="50"/>
      <c r="BJ737" s="50"/>
      <c r="BK737" s="50"/>
      <c r="BL737" s="50"/>
      <c r="BM737" s="50"/>
      <c r="BN737" s="50"/>
    </row>
    <row r="738">
      <c r="A738" s="50"/>
      <c r="B738" s="50"/>
      <c r="C738" s="50"/>
      <c r="D738" s="50"/>
      <c r="E738" s="158"/>
      <c r="F738" s="175"/>
      <c r="G738" s="175"/>
      <c r="H738" s="175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168"/>
      <c r="AF738" s="50"/>
      <c r="AG738" s="50"/>
      <c r="AH738" s="50"/>
      <c r="AI738" s="50"/>
      <c r="AJ738" s="50"/>
      <c r="AK738" s="50"/>
      <c r="AL738" s="50"/>
      <c r="AM738" s="50"/>
      <c r="AN738" s="50"/>
      <c r="AO738" s="50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0"/>
      <c r="BE738" s="50"/>
      <c r="BF738" s="50"/>
      <c r="BG738" s="50"/>
      <c r="BH738" s="50"/>
      <c r="BI738" s="50"/>
      <c r="BJ738" s="50"/>
      <c r="BK738" s="50"/>
      <c r="BL738" s="50"/>
      <c r="BM738" s="50"/>
      <c r="BN738" s="50"/>
    </row>
    <row r="739">
      <c r="A739" s="50"/>
      <c r="B739" s="50"/>
      <c r="C739" s="50"/>
      <c r="D739" s="50"/>
      <c r="E739" s="158"/>
      <c r="F739" s="175"/>
      <c r="G739" s="175"/>
      <c r="H739" s="175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168"/>
      <c r="AF739" s="50"/>
      <c r="AG739" s="50"/>
      <c r="AH739" s="50"/>
      <c r="AI739" s="50"/>
      <c r="AJ739" s="50"/>
      <c r="AK739" s="50"/>
      <c r="AL739" s="50"/>
      <c r="AM739" s="50"/>
      <c r="AN739" s="50"/>
      <c r="AO739" s="50"/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/>
      <c r="BE739" s="50"/>
      <c r="BF739" s="50"/>
      <c r="BG739" s="50"/>
      <c r="BH739" s="50"/>
      <c r="BI739" s="50"/>
      <c r="BJ739" s="50"/>
      <c r="BK739" s="50"/>
      <c r="BL739" s="50"/>
      <c r="BM739" s="50"/>
      <c r="BN739" s="50"/>
    </row>
    <row r="740">
      <c r="A740" s="50"/>
      <c r="B740" s="50"/>
      <c r="C740" s="50"/>
      <c r="D740" s="50"/>
      <c r="E740" s="158"/>
      <c r="F740" s="175"/>
      <c r="G740" s="175"/>
      <c r="H740" s="175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168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0"/>
      <c r="BE740" s="50"/>
      <c r="BF740" s="50"/>
      <c r="BG740" s="50"/>
      <c r="BH740" s="50"/>
      <c r="BI740" s="50"/>
      <c r="BJ740" s="50"/>
      <c r="BK740" s="50"/>
      <c r="BL740" s="50"/>
      <c r="BM740" s="50"/>
      <c r="BN740" s="50"/>
    </row>
    <row r="741">
      <c r="A741" s="50"/>
      <c r="B741" s="50"/>
      <c r="C741" s="50"/>
      <c r="D741" s="50"/>
      <c r="E741" s="158"/>
      <c r="F741" s="175"/>
      <c r="G741" s="175"/>
      <c r="H741" s="175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168"/>
      <c r="AF741" s="50"/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/>
      <c r="BE741" s="50"/>
      <c r="BF741" s="50"/>
      <c r="BG741" s="50"/>
      <c r="BH741" s="50"/>
      <c r="BI741" s="50"/>
      <c r="BJ741" s="50"/>
      <c r="BK741" s="50"/>
      <c r="BL741" s="50"/>
      <c r="BM741" s="50"/>
      <c r="BN741" s="50"/>
    </row>
    <row r="742">
      <c r="A742" s="50"/>
      <c r="B742" s="50"/>
      <c r="C742" s="50"/>
      <c r="D742" s="50"/>
      <c r="E742" s="158"/>
      <c r="F742" s="175"/>
      <c r="G742" s="175"/>
      <c r="H742" s="175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168"/>
      <c r="AF742" s="50"/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0"/>
      <c r="BE742" s="50"/>
      <c r="BF742" s="50"/>
      <c r="BG742" s="50"/>
      <c r="BH742" s="50"/>
      <c r="BI742" s="50"/>
      <c r="BJ742" s="50"/>
      <c r="BK742" s="50"/>
      <c r="BL742" s="50"/>
      <c r="BM742" s="50"/>
      <c r="BN742" s="50"/>
    </row>
    <row r="743">
      <c r="A743" s="50"/>
      <c r="B743" s="50"/>
      <c r="C743" s="50"/>
      <c r="D743" s="50"/>
      <c r="E743" s="158"/>
      <c r="F743" s="175"/>
      <c r="G743" s="175"/>
      <c r="H743" s="175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168"/>
      <c r="AF743" s="50"/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0"/>
      <c r="BE743" s="50"/>
      <c r="BF743" s="50"/>
      <c r="BG743" s="50"/>
      <c r="BH743" s="50"/>
      <c r="BI743" s="50"/>
      <c r="BJ743" s="50"/>
      <c r="BK743" s="50"/>
      <c r="BL743" s="50"/>
      <c r="BM743" s="50"/>
      <c r="BN743" s="50"/>
    </row>
    <row r="744">
      <c r="A744" s="50"/>
      <c r="B744" s="50"/>
      <c r="C744" s="50"/>
      <c r="D744" s="50"/>
      <c r="E744" s="158"/>
      <c r="F744" s="175"/>
      <c r="G744" s="175"/>
      <c r="H744" s="175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168"/>
      <c r="AF744" s="50"/>
      <c r="AG744" s="50"/>
      <c r="AH744" s="50"/>
      <c r="AI744" s="50"/>
      <c r="AJ744" s="50"/>
      <c r="AK744" s="50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/>
      <c r="BE744" s="50"/>
      <c r="BF744" s="50"/>
      <c r="BG744" s="50"/>
      <c r="BH744" s="50"/>
      <c r="BI744" s="50"/>
      <c r="BJ744" s="50"/>
      <c r="BK744" s="50"/>
      <c r="BL744" s="50"/>
      <c r="BM744" s="50"/>
      <c r="BN744" s="50"/>
    </row>
    <row r="745">
      <c r="A745" s="50"/>
      <c r="B745" s="50"/>
      <c r="C745" s="50"/>
      <c r="D745" s="50"/>
      <c r="E745" s="158"/>
      <c r="F745" s="175"/>
      <c r="G745" s="175"/>
      <c r="H745" s="175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168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/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</row>
    <row r="746">
      <c r="A746" s="50"/>
      <c r="B746" s="50"/>
      <c r="C746" s="50"/>
      <c r="D746" s="50"/>
      <c r="E746" s="158"/>
      <c r="F746" s="175"/>
      <c r="G746" s="175"/>
      <c r="H746" s="175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168"/>
      <c r="AF746" s="50"/>
      <c r="AG746" s="50"/>
      <c r="AH746" s="50"/>
      <c r="AI746" s="50"/>
      <c r="AJ746" s="50"/>
      <c r="AK746" s="50"/>
      <c r="AL746" s="50"/>
      <c r="AM746" s="50"/>
      <c r="AN746" s="50"/>
      <c r="AO746" s="50"/>
      <c r="AP746" s="50"/>
      <c r="AQ746" s="50"/>
      <c r="AR746" s="50"/>
      <c r="AS746" s="50"/>
      <c r="AT746" s="50"/>
      <c r="AU746" s="50"/>
      <c r="AV746" s="50"/>
      <c r="AW746" s="50"/>
      <c r="AX746" s="50"/>
      <c r="AY746" s="50"/>
      <c r="AZ746" s="50"/>
      <c r="BA746" s="50"/>
      <c r="BB746" s="50"/>
      <c r="BC746" s="50"/>
      <c r="BD746" s="50"/>
      <c r="BE746" s="50"/>
      <c r="BF746" s="50"/>
      <c r="BG746" s="50"/>
      <c r="BH746" s="50"/>
      <c r="BI746" s="50"/>
      <c r="BJ746" s="50"/>
      <c r="BK746" s="50"/>
      <c r="BL746" s="50"/>
      <c r="BM746" s="50"/>
      <c r="BN746" s="50"/>
    </row>
    <row r="747">
      <c r="A747" s="50"/>
      <c r="B747" s="50"/>
      <c r="C747" s="50"/>
      <c r="D747" s="50"/>
      <c r="E747" s="158"/>
      <c r="F747" s="175"/>
      <c r="G747" s="175"/>
      <c r="H747" s="175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168"/>
      <c r="AF747" s="50"/>
      <c r="AG747" s="50"/>
      <c r="AH747" s="50"/>
      <c r="AI747" s="50"/>
      <c r="AJ747" s="50"/>
      <c r="AK747" s="50"/>
      <c r="AL747" s="50"/>
      <c r="AM747" s="50"/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/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</row>
    <row r="748">
      <c r="A748" s="50"/>
      <c r="B748" s="50"/>
      <c r="C748" s="50"/>
      <c r="D748" s="50"/>
      <c r="E748" s="158"/>
      <c r="F748" s="175"/>
      <c r="G748" s="175"/>
      <c r="H748" s="175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168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50"/>
      <c r="AR748" s="50"/>
      <c r="AS748" s="50"/>
      <c r="AT748" s="50"/>
      <c r="AU748" s="50"/>
      <c r="AV748" s="50"/>
      <c r="AW748" s="50"/>
      <c r="AX748" s="50"/>
      <c r="AY748" s="50"/>
      <c r="AZ748" s="50"/>
      <c r="BA748" s="50"/>
      <c r="BB748" s="50"/>
      <c r="BC748" s="50"/>
      <c r="BD748" s="50"/>
      <c r="BE748" s="50"/>
      <c r="BF748" s="50"/>
      <c r="BG748" s="50"/>
      <c r="BH748" s="50"/>
      <c r="BI748" s="50"/>
      <c r="BJ748" s="50"/>
      <c r="BK748" s="50"/>
      <c r="BL748" s="50"/>
      <c r="BM748" s="50"/>
      <c r="BN748" s="50"/>
    </row>
    <row r="749">
      <c r="A749" s="50"/>
      <c r="B749" s="50"/>
      <c r="C749" s="50"/>
      <c r="D749" s="50"/>
      <c r="E749" s="158"/>
      <c r="F749" s="175"/>
      <c r="G749" s="175"/>
      <c r="H749" s="175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168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/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</row>
    <row r="750">
      <c r="A750" s="50"/>
      <c r="B750" s="50"/>
      <c r="C750" s="50"/>
      <c r="D750" s="50"/>
      <c r="E750" s="158"/>
      <c r="F750" s="175"/>
      <c r="G750" s="175"/>
      <c r="H750" s="175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168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50"/>
      <c r="BG750" s="50"/>
      <c r="BH750" s="50"/>
      <c r="BI750" s="50"/>
      <c r="BJ750" s="50"/>
      <c r="BK750" s="50"/>
      <c r="BL750" s="50"/>
      <c r="BM750" s="50"/>
      <c r="BN750" s="50"/>
    </row>
    <row r="751">
      <c r="A751" s="50"/>
      <c r="B751" s="50"/>
      <c r="C751" s="50"/>
      <c r="D751" s="50"/>
      <c r="E751" s="158"/>
      <c r="F751" s="175"/>
      <c r="G751" s="175"/>
      <c r="H751" s="175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168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/>
      <c r="BE751" s="50"/>
      <c r="BF751" s="50"/>
      <c r="BG751" s="50"/>
      <c r="BH751" s="50"/>
      <c r="BI751" s="50"/>
      <c r="BJ751" s="50"/>
      <c r="BK751" s="50"/>
      <c r="BL751" s="50"/>
      <c r="BM751" s="50"/>
      <c r="BN751" s="50"/>
    </row>
    <row r="752">
      <c r="A752" s="50"/>
      <c r="B752" s="50"/>
      <c r="C752" s="50"/>
      <c r="D752" s="50"/>
      <c r="E752" s="158"/>
      <c r="F752" s="175"/>
      <c r="G752" s="175"/>
      <c r="H752" s="175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168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0"/>
      <c r="BE752" s="50"/>
      <c r="BF752" s="50"/>
      <c r="BG752" s="50"/>
      <c r="BH752" s="50"/>
      <c r="BI752" s="50"/>
      <c r="BJ752" s="50"/>
      <c r="BK752" s="50"/>
      <c r="BL752" s="50"/>
      <c r="BM752" s="50"/>
      <c r="BN752" s="50"/>
    </row>
    <row r="753">
      <c r="A753" s="50"/>
      <c r="B753" s="50"/>
      <c r="C753" s="50"/>
      <c r="D753" s="50"/>
      <c r="E753" s="158"/>
      <c r="F753" s="175"/>
      <c r="G753" s="175"/>
      <c r="H753" s="175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168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/>
      <c r="BE753" s="50"/>
      <c r="BF753" s="50"/>
      <c r="BG753" s="50"/>
      <c r="BH753" s="50"/>
      <c r="BI753" s="50"/>
      <c r="BJ753" s="50"/>
      <c r="BK753" s="50"/>
      <c r="BL753" s="50"/>
      <c r="BM753" s="50"/>
      <c r="BN753" s="50"/>
    </row>
    <row r="754">
      <c r="A754" s="50"/>
      <c r="B754" s="50"/>
      <c r="C754" s="50"/>
      <c r="D754" s="50"/>
      <c r="E754" s="158"/>
      <c r="F754" s="175"/>
      <c r="G754" s="175"/>
      <c r="H754" s="175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168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0"/>
      <c r="BE754" s="50"/>
      <c r="BF754" s="50"/>
      <c r="BG754" s="50"/>
      <c r="BH754" s="50"/>
      <c r="BI754" s="50"/>
      <c r="BJ754" s="50"/>
      <c r="BK754" s="50"/>
      <c r="BL754" s="50"/>
      <c r="BM754" s="50"/>
      <c r="BN754" s="50"/>
    </row>
    <row r="755">
      <c r="A755" s="50"/>
      <c r="B755" s="50"/>
      <c r="C755" s="50"/>
      <c r="D755" s="50"/>
      <c r="E755" s="158"/>
      <c r="F755" s="175"/>
      <c r="G755" s="175"/>
      <c r="H755" s="175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168"/>
      <c r="AF755" s="50"/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0"/>
      <c r="BF755" s="50"/>
      <c r="BG755" s="50"/>
      <c r="BH755" s="50"/>
      <c r="BI755" s="50"/>
      <c r="BJ755" s="50"/>
      <c r="BK755" s="50"/>
      <c r="BL755" s="50"/>
      <c r="BM755" s="50"/>
      <c r="BN755" s="50"/>
    </row>
    <row r="756">
      <c r="A756" s="50"/>
      <c r="B756" s="50"/>
      <c r="C756" s="50"/>
      <c r="D756" s="50"/>
      <c r="E756" s="158"/>
      <c r="F756" s="175"/>
      <c r="G756" s="175"/>
      <c r="H756" s="175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168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/>
      <c r="BE756" s="50"/>
      <c r="BF756" s="50"/>
      <c r="BG756" s="50"/>
      <c r="BH756" s="50"/>
      <c r="BI756" s="50"/>
      <c r="BJ756" s="50"/>
      <c r="BK756" s="50"/>
      <c r="BL756" s="50"/>
      <c r="BM756" s="50"/>
      <c r="BN756" s="50"/>
    </row>
    <row r="757">
      <c r="A757" s="50"/>
      <c r="B757" s="50"/>
      <c r="C757" s="50"/>
      <c r="D757" s="50"/>
      <c r="E757" s="158"/>
      <c r="F757" s="175"/>
      <c r="G757" s="175"/>
      <c r="H757" s="175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168"/>
      <c r="AF757" s="50"/>
      <c r="AG757" s="50"/>
      <c r="AH757" s="50"/>
      <c r="AI757" s="50"/>
      <c r="AJ757" s="50"/>
      <c r="AK757" s="50"/>
      <c r="AL757" s="50"/>
      <c r="AM757" s="50"/>
      <c r="AN757" s="50"/>
      <c r="AO757" s="50"/>
      <c r="AP757" s="50"/>
      <c r="AQ757" s="50"/>
      <c r="AR757" s="50"/>
      <c r="AS757" s="50"/>
      <c r="AT757" s="50"/>
      <c r="AU757" s="50"/>
      <c r="AV757" s="50"/>
      <c r="AW757" s="50"/>
      <c r="AX757" s="50"/>
      <c r="AY757" s="50"/>
      <c r="AZ757" s="50"/>
      <c r="BA757" s="50"/>
      <c r="BB757" s="50"/>
      <c r="BC757" s="50"/>
      <c r="BD757" s="50"/>
      <c r="BE757" s="50"/>
      <c r="BF757" s="50"/>
      <c r="BG757" s="50"/>
      <c r="BH757" s="50"/>
      <c r="BI757" s="50"/>
      <c r="BJ757" s="50"/>
      <c r="BK757" s="50"/>
      <c r="BL757" s="50"/>
      <c r="BM757" s="50"/>
      <c r="BN757" s="50"/>
    </row>
    <row r="758">
      <c r="A758" s="50"/>
      <c r="B758" s="50"/>
      <c r="C758" s="50"/>
      <c r="D758" s="50"/>
      <c r="E758" s="158"/>
      <c r="F758" s="175"/>
      <c r="G758" s="175"/>
      <c r="H758" s="175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168"/>
      <c r="AF758" s="50"/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/>
      <c r="BE758" s="50"/>
      <c r="BF758" s="50"/>
      <c r="BG758" s="50"/>
      <c r="BH758" s="50"/>
      <c r="BI758" s="50"/>
      <c r="BJ758" s="50"/>
      <c r="BK758" s="50"/>
      <c r="BL758" s="50"/>
      <c r="BM758" s="50"/>
      <c r="BN758" s="50"/>
    </row>
    <row r="759">
      <c r="A759" s="50"/>
      <c r="B759" s="50"/>
      <c r="C759" s="50"/>
      <c r="D759" s="50"/>
      <c r="E759" s="158"/>
      <c r="F759" s="175"/>
      <c r="G759" s="175"/>
      <c r="H759" s="175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168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/>
      <c r="BE759" s="50"/>
      <c r="BF759" s="50"/>
      <c r="BG759" s="50"/>
      <c r="BH759" s="50"/>
      <c r="BI759" s="50"/>
      <c r="BJ759" s="50"/>
      <c r="BK759" s="50"/>
      <c r="BL759" s="50"/>
      <c r="BM759" s="50"/>
      <c r="BN759" s="50"/>
    </row>
    <row r="760">
      <c r="A760" s="50"/>
      <c r="B760" s="50"/>
      <c r="C760" s="50"/>
      <c r="D760" s="50"/>
      <c r="E760" s="158"/>
      <c r="F760" s="175"/>
      <c r="G760" s="175"/>
      <c r="H760" s="175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168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  <c r="AV760" s="50"/>
      <c r="AW760" s="50"/>
      <c r="AX760" s="50"/>
      <c r="AY760" s="50"/>
      <c r="AZ760" s="50"/>
      <c r="BA760" s="50"/>
      <c r="BB760" s="50"/>
      <c r="BC760" s="50"/>
      <c r="BD760" s="50"/>
      <c r="BE760" s="50"/>
      <c r="BF760" s="50"/>
      <c r="BG760" s="50"/>
      <c r="BH760" s="50"/>
      <c r="BI760" s="50"/>
      <c r="BJ760" s="50"/>
      <c r="BK760" s="50"/>
      <c r="BL760" s="50"/>
      <c r="BM760" s="50"/>
      <c r="BN760" s="50"/>
    </row>
    <row r="761">
      <c r="A761" s="50"/>
      <c r="B761" s="50"/>
      <c r="C761" s="50"/>
      <c r="D761" s="50"/>
      <c r="E761" s="158"/>
      <c r="F761" s="175"/>
      <c r="G761" s="175"/>
      <c r="H761" s="175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168"/>
      <c r="AF761" s="50"/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0"/>
      <c r="BE761" s="50"/>
      <c r="BF761" s="50"/>
      <c r="BG761" s="50"/>
      <c r="BH761" s="50"/>
      <c r="BI761" s="50"/>
      <c r="BJ761" s="50"/>
      <c r="BK761" s="50"/>
      <c r="BL761" s="50"/>
      <c r="BM761" s="50"/>
      <c r="BN761" s="50"/>
    </row>
    <row r="762">
      <c r="A762" s="50"/>
      <c r="B762" s="50"/>
      <c r="C762" s="50"/>
      <c r="D762" s="50"/>
      <c r="E762" s="158"/>
      <c r="F762" s="175"/>
      <c r="G762" s="175"/>
      <c r="H762" s="175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168"/>
      <c r="AF762" s="50"/>
      <c r="AG762" s="50"/>
      <c r="AH762" s="50"/>
      <c r="AI762" s="50"/>
      <c r="AJ762" s="50"/>
      <c r="AK762" s="50"/>
      <c r="AL762" s="50"/>
      <c r="AM762" s="50"/>
      <c r="AN762" s="50"/>
      <c r="AO762" s="50"/>
      <c r="AP762" s="50"/>
      <c r="AQ762" s="50"/>
      <c r="AR762" s="50"/>
      <c r="AS762" s="50"/>
      <c r="AT762" s="50"/>
      <c r="AU762" s="50"/>
      <c r="AV762" s="50"/>
      <c r="AW762" s="50"/>
      <c r="AX762" s="50"/>
      <c r="AY762" s="50"/>
      <c r="AZ762" s="50"/>
      <c r="BA762" s="50"/>
      <c r="BB762" s="50"/>
      <c r="BC762" s="50"/>
      <c r="BD762" s="50"/>
      <c r="BE762" s="50"/>
      <c r="BF762" s="50"/>
      <c r="BG762" s="50"/>
      <c r="BH762" s="50"/>
      <c r="BI762" s="50"/>
      <c r="BJ762" s="50"/>
      <c r="BK762" s="50"/>
      <c r="BL762" s="50"/>
      <c r="BM762" s="50"/>
      <c r="BN762" s="50"/>
    </row>
    <row r="763">
      <c r="A763" s="50"/>
      <c r="B763" s="50"/>
      <c r="C763" s="50"/>
      <c r="D763" s="50"/>
      <c r="E763" s="158"/>
      <c r="F763" s="175"/>
      <c r="G763" s="175"/>
      <c r="H763" s="175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168"/>
      <c r="AF763" s="50"/>
      <c r="AG763" s="50"/>
      <c r="AH763" s="50"/>
      <c r="AI763" s="50"/>
      <c r="AJ763" s="50"/>
      <c r="AK763" s="50"/>
      <c r="AL763" s="50"/>
      <c r="AM763" s="50"/>
      <c r="AN763" s="50"/>
      <c r="AO763" s="50"/>
      <c r="AP763" s="50"/>
      <c r="AQ763" s="50"/>
      <c r="AR763" s="50"/>
      <c r="AS763" s="50"/>
      <c r="AT763" s="50"/>
      <c r="AU763" s="50"/>
      <c r="AV763" s="50"/>
      <c r="AW763" s="50"/>
      <c r="AX763" s="50"/>
      <c r="AY763" s="50"/>
      <c r="AZ763" s="50"/>
      <c r="BA763" s="50"/>
      <c r="BB763" s="50"/>
      <c r="BC763" s="50"/>
      <c r="BD763" s="50"/>
      <c r="BE763" s="50"/>
      <c r="BF763" s="50"/>
      <c r="BG763" s="50"/>
      <c r="BH763" s="50"/>
      <c r="BI763" s="50"/>
      <c r="BJ763" s="50"/>
      <c r="BK763" s="50"/>
      <c r="BL763" s="50"/>
      <c r="BM763" s="50"/>
      <c r="BN763" s="50"/>
    </row>
    <row r="764">
      <c r="A764" s="50"/>
      <c r="B764" s="50"/>
      <c r="C764" s="50"/>
      <c r="D764" s="50"/>
      <c r="E764" s="158"/>
      <c r="F764" s="175"/>
      <c r="G764" s="175"/>
      <c r="H764" s="175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168"/>
      <c r="AF764" s="50"/>
      <c r="AG764" s="50"/>
      <c r="AH764" s="50"/>
      <c r="AI764" s="50"/>
      <c r="AJ764" s="50"/>
      <c r="AK764" s="50"/>
      <c r="AL764" s="50"/>
      <c r="AM764" s="50"/>
      <c r="AN764" s="50"/>
      <c r="AO764" s="50"/>
      <c r="AP764" s="50"/>
      <c r="AQ764" s="50"/>
      <c r="AR764" s="50"/>
      <c r="AS764" s="50"/>
      <c r="AT764" s="50"/>
      <c r="AU764" s="50"/>
      <c r="AV764" s="50"/>
      <c r="AW764" s="50"/>
      <c r="AX764" s="50"/>
      <c r="AY764" s="50"/>
      <c r="AZ764" s="50"/>
      <c r="BA764" s="50"/>
      <c r="BB764" s="50"/>
      <c r="BC764" s="50"/>
      <c r="BD764" s="50"/>
      <c r="BE764" s="50"/>
      <c r="BF764" s="50"/>
      <c r="BG764" s="50"/>
      <c r="BH764" s="50"/>
      <c r="BI764" s="50"/>
      <c r="BJ764" s="50"/>
      <c r="BK764" s="50"/>
      <c r="BL764" s="50"/>
      <c r="BM764" s="50"/>
      <c r="BN764" s="50"/>
    </row>
    <row r="765">
      <c r="A765" s="50"/>
      <c r="B765" s="50"/>
      <c r="C765" s="50"/>
      <c r="D765" s="50"/>
      <c r="E765" s="158"/>
      <c r="F765" s="175"/>
      <c r="G765" s="175"/>
      <c r="H765" s="175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168"/>
      <c r="AF765" s="50"/>
      <c r="AG765" s="50"/>
      <c r="AH765" s="50"/>
      <c r="AI765" s="50"/>
      <c r="AJ765" s="50"/>
      <c r="AK765" s="50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/>
      <c r="BE765" s="50"/>
      <c r="BF765" s="50"/>
      <c r="BG765" s="50"/>
      <c r="BH765" s="50"/>
      <c r="BI765" s="50"/>
      <c r="BJ765" s="50"/>
      <c r="BK765" s="50"/>
      <c r="BL765" s="50"/>
      <c r="BM765" s="50"/>
      <c r="BN765" s="50"/>
    </row>
    <row r="766">
      <c r="A766" s="50"/>
      <c r="B766" s="50"/>
      <c r="C766" s="50"/>
      <c r="D766" s="50"/>
      <c r="E766" s="158"/>
      <c r="F766" s="175"/>
      <c r="G766" s="175"/>
      <c r="H766" s="175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168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0"/>
      <c r="BE766" s="50"/>
      <c r="BF766" s="50"/>
      <c r="BG766" s="50"/>
      <c r="BH766" s="50"/>
      <c r="BI766" s="50"/>
      <c r="BJ766" s="50"/>
      <c r="BK766" s="50"/>
      <c r="BL766" s="50"/>
      <c r="BM766" s="50"/>
      <c r="BN766" s="50"/>
    </row>
    <row r="767">
      <c r="A767" s="50"/>
      <c r="B767" s="50"/>
      <c r="C767" s="50"/>
      <c r="D767" s="50"/>
      <c r="E767" s="158"/>
      <c r="F767" s="175"/>
      <c r="G767" s="175"/>
      <c r="H767" s="175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168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/>
      <c r="BE767" s="50"/>
      <c r="BF767" s="50"/>
      <c r="BG767" s="50"/>
      <c r="BH767" s="50"/>
      <c r="BI767" s="50"/>
      <c r="BJ767" s="50"/>
      <c r="BK767" s="50"/>
      <c r="BL767" s="50"/>
      <c r="BM767" s="50"/>
      <c r="BN767" s="50"/>
    </row>
    <row r="768">
      <c r="A768" s="50"/>
      <c r="B768" s="50"/>
      <c r="C768" s="50"/>
      <c r="D768" s="50"/>
      <c r="E768" s="158"/>
      <c r="F768" s="175"/>
      <c r="G768" s="175"/>
      <c r="H768" s="175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168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/>
      <c r="BE768" s="50"/>
      <c r="BF768" s="50"/>
      <c r="BG768" s="50"/>
      <c r="BH768" s="50"/>
      <c r="BI768" s="50"/>
      <c r="BJ768" s="50"/>
      <c r="BK768" s="50"/>
      <c r="BL768" s="50"/>
      <c r="BM768" s="50"/>
      <c r="BN768" s="50"/>
    </row>
    <row r="769">
      <c r="A769" s="50"/>
      <c r="B769" s="50"/>
      <c r="C769" s="50"/>
      <c r="D769" s="50"/>
      <c r="E769" s="158"/>
      <c r="F769" s="175"/>
      <c r="G769" s="175"/>
      <c r="H769" s="175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168"/>
      <c r="AF769" s="50"/>
      <c r="AG769" s="50"/>
      <c r="AH769" s="50"/>
      <c r="AI769" s="50"/>
      <c r="AJ769" s="50"/>
      <c r="AK769" s="50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/>
      <c r="AW769" s="50"/>
      <c r="AX769" s="50"/>
      <c r="AY769" s="50"/>
      <c r="AZ769" s="50"/>
      <c r="BA769" s="50"/>
      <c r="BB769" s="50"/>
      <c r="BC769" s="50"/>
      <c r="BD769" s="50"/>
      <c r="BE769" s="50"/>
      <c r="BF769" s="50"/>
      <c r="BG769" s="50"/>
      <c r="BH769" s="50"/>
      <c r="BI769" s="50"/>
      <c r="BJ769" s="50"/>
      <c r="BK769" s="50"/>
      <c r="BL769" s="50"/>
      <c r="BM769" s="50"/>
      <c r="BN769" s="50"/>
    </row>
    <row r="770">
      <c r="A770" s="50"/>
      <c r="B770" s="50"/>
      <c r="C770" s="50"/>
      <c r="D770" s="50"/>
      <c r="E770" s="158"/>
      <c r="F770" s="175"/>
      <c r="G770" s="175"/>
      <c r="H770" s="175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168"/>
      <c r="AF770" s="50"/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/>
      <c r="BE770" s="50"/>
      <c r="BF770" s="50"/>
      <c r="BG770" s="50"/>
      <c r="BH770" s="50"/>
      <c r="BI770" s="50"/>
      <c r="BJ770" s="50"/>
      <c r="BK770" s="50"/>
      <c r="BL770" s="50"/>
      <c r="BM770" s="50"/>
      <c r="BN770" s="50"/>
    </row>
    <row r="771">
      <c r="A771" s="50"/>
      <c r="B771" s="50"/>
      <c r="C771" s="50"/>
      <c r="D771" s="50"/>
      <c r="E771" s="158"/>
      <c r="F771" s="175"/>
      <c r="G771" s="175"/>
      <c r="H771" s="175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168"/>
      <c r="AF771" s="50"/>
      <c r="AG771" s="50"/>
      <c r="AH771" s="50"/>
      <c r="AI771" s="50"/>
      <c r="AJ771" s="50"/>
      <c r="AK771" s="50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/>
      <c r="AW771" s="50"/>
      <c r="AX771" s="50"/>
      <c r="AY771" s="50"/>
      <c r="AZ771" s="50"/>
      <c r="BA771" s="50"/>
      <c r="BB771" s="50"/>
      <c r="BC771" s="50"/>
      <c r="BD771" s="50"/>
      <c r="BE771" s="50"/>
      <c r="BF771" s="50"/>
      <c r="BG771" s="50"/>
      <c r="BH771" s="50"/>
      <c r="BI771" s="50"/>
      <c r="BJ771" s="50"/>
      <c r="BK771" s="50"/>
      <c r="BL771" s="50"/>
      <c r="BM771" s="50"/>
      <c r="BN771" s="50"/>
    </row>
    <row r="772">
      <c r="A772" s="50"/>
      <c r="B772" s="50"/>
      <c r="C772" s="50"/>
      <c r="D772" s="50"/>
      <c r="E772" s="158"/>
      <c r="F772" s="175"/>
      <c r="G772" s="175"/>
      <c r="H772" s="175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168"/>
      <c r="AF772" s="50"/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50"/>
      <c r="AR772" s="50"/>
      <c r="AS772" s="50"/>
      <c r="AT772" s="50"/>
      <c r="AU772" s="50"/>
      <c r="AV772" s="50"/>
      <c r="AW772" s="50"/>
      <c r="AX772" s="50"/>
      <c r="AY772" s="50"/>
      <c r="AZ772" s="50"/>
      <c r="BA772" s="50"/>
      <c r="BB772" s="50"/>
      <c r="BC772" s="50"/>
      <c r="BD772" s="50"/>
      <c r="BE772" s="50"/>
      <c r="BF772" s="50"/>
      <c r="BG772" s="50"/>
      <c r="BH772" s="50"/>
      <c r="BI772" s="50"/>
      <c r="BJ772" s="50"/>
      <c r="BK772" s="50"/>
      <c r="BL772" s="50"/>
      <c r="BM772" s="50"/>
      <c r="BN772" s="50"/>
    </row>
    <row r="773">
      <c r="A773" s="50"/>
      <c r="B773" s="50"/>
      <c r="C773" s="50"/>
      <c r="D773" s="50"/>
      <c r="E773" s="158"/>
      <c r="F773" s="175"/>
      <c r="G773" s="175"/>
      <c r="H773" s="175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168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  <c r="AV773" s="50"/>
      <c r="AW773" s="50"/>
      <c r="AX773" s="50"/>
      <c r="AY773" s="50"/>
      <c r="AZ773" s="50"/>
      <c r="BA773" s="50"/>
      <c r="BB773" s="50"/>
      <c r="BC773" s="50"/>
      <c r="BD773" s="50"/>
      <c r="BE773" s="50"/>
      <c r="BF773" s="50"/>
      <c r="BG773" s="50"/>
      <c r="BH773" s="50"/>
      <c r="BI773" s="50"/>
      <c r="BJ773" s="50"/>
      <c r="BK773" s="50"/>
      <c r="BL773" s="50"/>
      <c r="BM773" s="50"/>
      <c r="BN773" s="50"/>
    </row>
    <row r="774">
      <c r="A774" s="50"/>
      <c r="B774" s="50"/>
      <c r="C774" s="50"/>
      <c r="D774" s="50"/>
      <c r="E774" s="158"/>
      <c r="F774" s="175"/>
      <c r="G774" s="175"/>
      <c r="H774" s="175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168"/>
      <c r="AF774" s="50"/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0"/>
      <c r="BE774" s="50"/>
      <c r="BF774" s="50"/>
      <c r="BG774" s="50"/>
      <c r="BH774" s="50"/>
      <c r="BI774" s="50"/>
      <c r="BJ774" s="50"/>
      <c r="BK774" s="50"/>
      <c r="BL774" s="50"/>
      <c r="BM774" s="50"/>
      <c r="BN774" s="50"/>
    </row>
    <row r="775">
      <c r="A775" s="50"/>
      <c r="B775" s="50"/>
      <c r="C775" s="50"/>
      <c r="D775" s="50"/>
      <c r="E775" s="158"/>
      <c r="F775" s="175"/>
      <c r="G775" s="175"/>
      <c r="H775" s="175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168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/>
      <c r="BE775" s="50"/>
      <c r="BF775" s="50"/>
      <c r="BG775" s="50"/>
      <c r="BH775" s="50"/>
      <c r="BI775" s="50"/>
      <c r="BJ775" s="50"/>
      <c r="BK775" s="50"/>
      <c r="BL775" s="50"/>
      <c r="BM775" s="50"/>
      <c r="BN775" s="50"/>
    </row>
    <row r="776">
      <c r="A776" s="50"/>
      <c r="B776" s="50"/>
      <c r="C776" s="50"/>
      <c r="D776" s="50"/>
      <c r="E776" s="158"/>
      <c r="F776" s="175"/>
      <c r="G776" s="175"/>
      <c r="H776" s="175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168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0"/>
      <c r="BE776" s="50"/>
      <c r="BF776" s="50"/>
      <c r="BG776" s="50"/>
      <c r="BH776" s="50"/>
      <c r="BI776" s="50"/>
      <c r="BJ776" s="50"/>
      <c r="BK776" s="50"/>
      <c r="BL776" s="50"/>
      <c r="BM776" s="50"/>
      <c r="BN776" s="50"/>
    </row>
    <row r="777">
      <c r="A777" s="50"/>
      <c r="B777" s="50"/>
      <c r="C777" s="50"/>
      <c r="D777" s="50"/>
      <c r="E777" s="158"/>
      <c r="F777" s="175"/>
      <c r="G777" s="175"/>
      <c r="H777" s="175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168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/>
      <c r="BE777" s="50"/>
      <c r="BF777" s="50"/>
      <c r="BG777" s="50"/>
      <c r="BH777" s="50"/>
      <c r="BI777" s="50"/>
      <c r="BJ777" s="50"/>
      <c r="BK777" s="50"/>
      <c r="BL777" s="50"/>
      <c r="BM777" s="50"/>
      <c r="BN777" s="50"/>
    </row>
    <row r="778">
      <c r="A778" s="50"/>
      <c r="B778" s="50"/>
      <c r="C778" s="50"/>
      <c r="D778" s="50"/>
      <c r="E778" s="158"/>
      <c r="F778" s="175"/>
      <c r="G778" s="175"/>
      <c r="H778" s="175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168"/>
      <c r="AF778" s="50"/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50"/>
      <c r="BG778" s="50"/>
      <c r="BH778" s="50"/>
      <c r="BI778" s="50"/>
      <c r="BJ778" s="50"/>
      <c r="BK778" s="50"/>
      <c r="BL778" s="50"/>
      <c r="BM778" s="50"/>
      <c r="BN778" s="50"/>
    </row>
    <row r="779">
      <c r="A779" s="50"/>
      <c r="B779" s="50"/>
      <c r="C779" s="50"/>
      <c r="D779" s="50"/>
      <c r="E779" s="158"/>
      <c r="F779" s="175"/>
      <c r="G779" s="175"/>
      <c r="H779" s="175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168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0"/>
      <c r="BF779" s="50"/>
      <c r="BG779" s="50"/>
      <c r="BH779" s="50"/>
      <c r="BI779" s="50"/>
      <c r="BJ779" s="50"/>
      <c r="BK779" s="50"/>
      <c r="BL779" s="50"/>
      <c r="BM779" s="50"/>
      <c r="BN779" s="50"/>
    </row>
    <row r="780">
      <c r="A780" s="50"/>
      <c r="B780" s="50"/>
      <c r="C780" s="50"/>
      <c r="D780" s="50"/>
      <c r="E780" s="158"/>
      <c r="F780" s="175"/>
      <c r="G780" s="175"/>
      <c r="H780" s="175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168"/>
      <c r="AF780" s="50"/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50"/>
      <c r="AR780" s="50"/>
      <c r="AS780" s="50"/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/>
      <c r="BE780" s="50"/>
      <c r="BF780" s="50"/>
      <c r="BG780" s="50"/>
      <c r="BH780" s="50"/>
      <c r="BI780" s="50"/>
      <c r="BJ780" s="50"/>
      <c r="BK780" s="50"/>
      <c r="BL780" s="50"/>
      <c r="BM780" s="50"/>
      <c r="BN780" s="50"/>
    </row>
    <row r="781">
      <c r="A781" s="50"/>
      <c r="B781" s="50"/>
      <c r="C781" s="50"/>
      <c r="D781" s="50"/>
      <c r="E781" s="158"/>
      <c r="F781" s="175"/>
      <c r="G781" s="175"/>
      <c r="H781" s="175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168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50"/>
      <c r="AU781" s="50"/>
      <c r="AV781" s="50"/>
      <c r="AW781" s="50"/>
      <c r="AX781" s="50"/>
      <c r="AY781" s="50"/>
      <c r="AZ781" s="50"/>
      <c r="BA781" s="50"/>
      <c r="BB781" s="50"/>
      <c r="BC781" s="50"/>
      <c r="BD781" s="50"/>
      <c r="BE781" s="50"/>
      <c r="BF781" s="50"/>
      <c r="BG781" s="50"/>
      <c r="BH781" s="50"/>
      <c r="BI781" s="50"/>
      <c r="BJ781" s="50"/>
      <c r="BK781" s="50"/>
      <c r="BL781" s="50"/>
      <c r="BM781" s="50"/>
      <c r="BN781" s="50"/>
    </row>
    <row r="782">
      <c r="A782" s="50"/>
      <c r="B782" s="50"/>
      <c r="C782" s="50"/>
      <c r="D782" s="50"/>
      <c r="E782" s="158"/>
      <c r="F782" s="175"/>
      <c r="G782" s="175"/>
      <c r="H782" s="175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168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50"/>
      <c r="BG782" s="50"/>
      <c r="BH782" s="50"/>
      <c r="BI782" s="50"/>
      <c r="BJ782" s="50"/>
      <c r="BK782" s="50"/>
      <c r="BL782" s="50"/>
      <c r="BM782" s="50"/>
      <c r="BN782" s="50"/>
    </row>
    <row r="783">
      <c r="A783" s="50"/>
      <c r="B783" s="50"/>
      <c r="C783" s="50"/>
      <c r="D783" s="50"/>
      <c r="E783" s="158"/>
      <c r="F783" s="175"/>
      <c r="G783" s="175"/>
      <c r="H783" s="175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168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50"/>
      <c r="AU783" s="50"/>
      <c r="AV783" s="50"/>
      <c r="AW783" s="50"/>
      <c r="AX783" s="50"/>
      <c r="AY783" s="50"/>
      <c r="AZ783" s="50"/>
      <c r="BA783" s="50"/>
      <c r="BB783" s="50"/>
      <c r="BC783" s="50"/>
      <c r="BD783" s="50"/>
      <c r="BE783" s="50"/>
      <c r="BF783" s="50"/>
      <c r="BG783" s="50"/>
      <c r="BH783" s="50"/>
      <c r="BI783" s="50"/>
      <c r="BJ783" s="50"/>
      <c r="BK783" s="50"/>
      <c r="BL783" s="50"/>
      <c r="BM783" s="50"/>
      <c r="BN783" s="50"/>
    </row>
    <row r="784">
      <c r="A784" s="50"/>
      <c r="B784" s="50"/>
      <c r="C784" s="50"/>
      <c r="D784" s="50"/>
      <c r="E784" s="158"/>
      <c r="F784" s="175"/>
      <c r="G784" s="175"/>
      <c r="H784" s="175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168"/>
      <c r="AF784" s="50"/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50"/>
      <c r="AR784" s="50"/>
      <c r="AS784" s="50"/>
      <c r="AT784" s="50"/>
      <c r="AU784" s="50"/>
      <c r="AV784" s="50"/>
      <c r="AW784" s="50"/>
      <c r="AX784" s="50"/>
      <c r="AY784" s="50"/>
      <c r="AZ784" s="50"/>
      <c r="BA784" s="50"/>
      <c r="BB784" s="50"/>
      <c r="BC784" s="50"/>
      <c r="BD784" s="50"/>
      <c r="BE784" s="50"/>
      <c r="BF784" s="50"/>
      <c r="BG784" s="50"/>
      <c r="BH784" s="50"/>
      <c r="BI784" s="50"/>
      <c r="BJ784" s="50"/>
      <c r="BK784" s="50"/>
      <c r="BL784" s="50"/>
      <c r="BM784" s="50"/>
      <c r="BN784" s="50"/>
    </row>
    <row r="785">
      <c r="A785" s="50"/>
      <c r="B785" s="50"/>
      <c r="C785" s="50"/>
      <c r="D785" s="50"/>
      <c r="E785" s="158"/>
      <c r="F785" s="175"/>
      <c r="G785" s="175"/>
      <c r="H785" s="175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168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/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</row>
    <row r="786">
      <c r="A786" s="50"/>
      <c r="B786" s="50"/>
      <c r="C786" s="50"/>
      <c r="D786" s="50"/>
      <c r="E786" s="158"/>
      <c r="F786" s="175"/>
      <c r="G786" s="175"/>
      <c r="H786" s="175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168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50"/>
      <c r="BG786" s="50"/>
      <c r="BH786" s="50"/>
      <c r="BI786" s="50"/>
      <c r="BJ786" s="50"/>
      <c r="BK786" s="50"/>
      <c r="BL786" s="50"/>
      <c r="BM786" s="50"/>
      <c r="BN786" s="50"/>
    </row>
    <row r="787">
      <c r="A787" s="50"/>
      <c r="B787" s="50"/>
      <c r="C787" s="50"/>
      <c r="D787" s="50"/>
      <c r="E787" s="158"/>
      <c r="F787" s="175"/>
      <c r="G787" s="175"/>
      <c r="H787" s="175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168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/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50"/>
      <c r="BN787" s="50"/>
    </row>
    <row r="788">
      <c r="A788" s="50"/>
      <c r="B788" s="50"/>
      <c r="C788" s="50"/>
      <c r="D788" s="50"/>
      <c r="E788" s="158"/>
      <c r="F788" s="175"/>
      <c r="G788" s="175"/>
      <c r="H788" s="175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168"/>
      <c r="AF788" s="50"/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/>
      <c r="BE788" s="50"/>
      <c r="BF788" s="50"/>
      <c r="BG788" s="50"/>
      <c r="BH788" s="50"/>
      <c r="BI788" s="50"/>
      <c r="BJ788" s="50"/>
      <c r="BK788" s="50"/>
      <c r="BL788" s="50"/>
      <c r="BM788" s="50"/>
      <c r="BN788" s="50"/>
    </row>
    <row r="789">
      <c r="A789" s="50"/>
      <c r="B789" s="50"/>
      <c r="C789" s="50"/>
      <c r="D789" s="50"/>
      <c r="E789" s="158"/>
      <c r="F789" s="175"/>
      <c r="G789" s="175"/>
      <c r="H789" s="175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168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</row>
    <row r="790">
      <c r="A790" s="50"/>
      <c r="B790" s="50"/>
      <c r="C790" s="50"/>
      <c r="D790" s="50"/>
      <c r="E790" s="158"/>
      <c r="F790" s="175"/>
      <c r="G790" s="175"/>
      <c r="H790" s="175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168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/>
      <c r="AR790" s="50"/>
      <c r="AS790" s="50"/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0"/>
      <c r="BE790" s="50"/>
      <c r="BF790" s="50"/>
      <c r="BG790" s="50"/>
      <c r="BH790" s="50"/>
      <c r="BI790" s="50"/>
      <c r="BJ790" s="50"/>
      <c r="BK790" s="50"/>
      <c r="BL790" s="50"/>
      <c r="BM790" s="50"/>
      <c r="BN790" s="50"/>
    </row>
    <row r="791">
      <c r="A791" s="50"/>
      <c r="B791" s="50"/>
      <c r="C791" s="50"/>
      <c r="D791" s="50"/>
      <c r="E791" s="158"/>
      <c r="F791" s="175"/>
      <c r="G791" s="175"/>
      <c r="H791" s="175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168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0"/>
      <c r="BE791" s="50"/>
      <c r="BF791" s="50"/>
      <c r="BG791" s="50"/>
      <c r="BH791" s="50"/>
      <c r="BI791" s="50"/>
      <c r="BJ791" s="50"/>
      <c r="BK791" s="50"/>
      <c r="BL791" s="50"/>
      <c r="BM791" s="50"/>
      <c r="BN791" s="50"/>
    </row>
    <row r="792">
      <c r="A792" s="50"/>
      <c r="B792" s="50"/>
      <c r="C792" s="50"/>
      <c r="D792" s="50"/>
      <c r="E792" s="158"/>
      <c r="F792" s="175"/>
      <c r="G792" s="175"/>
      <c r="H792" s="175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168"/>
      <c r="AF792" s="50"/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/>
      <c r="AW792" s="50"/>
      <c r="AX792" s="50"/>
      <c r="AY792" s="50"/>
      <c r="AZ792" s="50"/>
      <c r="BA792" s="50"/>
      <c r="BB792" s="50"/>
      <c r="BC792" s="50"/>
      <c r="BD792" s="50"/>
      <c r="BE792" s="50"/>
      <c r="BF792" s="50"/>
      <c r="BG792" s="50"/>
      <c r="BH792" s="50"/>
      <c r="BI792" s="50"/>
      <c r="BJ792" s="50"/>
      <c r="BK792" s="50"/>
      <c r="BL792" s="50"/>
      <c r="BM792" s="50"/>
      <c r="BN792" s="50"/>
    </row>
    <row r="793">
      <c r="A793" s="50"/>
      <c r="B793" s="50"/>
      <c r="C793" s="50"/>
      <c r="D793" s="50"/>
      <c r="E793" s="158"/>
      <c r="F793" s="175"/>
      <c r="G793" s="175"/>
      <c r="H793" s="175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168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/>
      <c r="BE793" s="50"/>
      <c r="BF793" s="50"/>
      <c r="BG793" s="50"/>
      <c r="BH793" s="50"/>
      <c r="BI793" s="50"/>
      <c r="BJ793" s="50"/>
      <c r="BK793" s="50"/>
      <c r="BL793" s="50"/>
      <c r="BM793" s="50"/>
      <c r="BN793" s="50"/>
    </row>
    <row r="794">
      <c r="A794" s="50"/>
      <c r="B794" s="50"/>
      <c r="C794" s="50"/>
      <c r="D794" s="50"/>
      <c r="E794" s="158"/>
      <c r="F794" s="175"/>
      <c r="G794" s="175"/>
      <c r="H794" s="175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168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50"/>
      <c r="BG794" s="50"/>
      <c r="BH794" s="50"/>
      <c r="BI794" s="50"/>
      <c r="BJ794" s="50"/>
      <c r="BK794" s="50"/>
      <c r="BL794" s="50"/>
      <c r="BM794" s="50"/>
      <c r="BN794" s="50"/>
    </row>
    <row r="795">
      <c r="A795" s="50"/>
      <c r="B795" s="50"/>
      <c r="C795" s="50"/>
      <c r="D795" s="50"/>
      <c r="E795" s="158"/>
      <c r="F795" s="175"/>
      <c r="G795" s="175"/>
      <c r="H795" s="175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168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50"/>
      <c r="AU795" s="50"/>
      <c r="AV795" s="50"/>
      <c r="AW795" s="50"/>
      <c r="AX795" s="50"/>
      <c r="AY795" s="50"/>
      <c r="AZ795" s="50"/>
      <c r="BA795" s="50"/>
      <c r="BB795" s="50"/>
      <c r="BC795" s="50"/>
      <c r="BD795" s="50"/>
      <c r="BE795" s="50"/>
      <c r="BF795" s="50"/>
      <c r="BG795" s="50"/>
      <c r="BH795" s="50"/>
      <c r="BI795" s="50"/>
      <c r="BJ795" s="50"/>
      <c r="BK795" s="50"/>
      <c r="BL795" s="50"/>
      <c r="BM795" s="50"/>
      <c r="BN795" s="50"/>
    </row>
    <row r="796">
      <c r="A796" s="50"/>
      <c r="B796" s="50"/>
      <c r="C796" s="50"/>
      <c r="D796" s="50"/>
      <c r="E796" s="158"/>
      <c r="F796" s="175"/>
      <c r="G796" s="175"/>
      <c r="H796" s="175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168"/>
      <c r="AF796" s="50"/>
      <c r="AG796" s="50"/>
      <c r="AH796" s="50"/>
      <c r="AI796" s="50"/>
      <c r="AJ796" s="50"/>
      <c r="AK796" s="50"/>
      <c r="AL796" s="50"/>
      <c r="AM796" s="50"/>
      <c r="AN796" s="50"/>
      <c r="AO796" s="50"/>
      <c r="AP796" s="50"/>
      <c r="AQ796" s="50"/>
      <c r="AR796" s="50"/>
      <c r="AS796" s="50"/>
      <c r="AT796" s="50"/>
      <c r="AU796" s="50"/>
      <c r="AV796" s="50"/>
      <c r="AW796" s="50"/>
      <c r="AX796" s="50"/>
      <c r="AY796" s="50"/>
      <c r="AZ796" s="50"/>
      <c r="BA796" s="50"/>
      <c r="BB796" s="50"/>
      <c r="BC796" s="50"/>
      <c r="BD796" s="50"/>
      <c r="BE796" s="50"/>
      <c r="BF796" s="50"/>
      <c r="BG796" s="50"/>
      <c r="BH796" s="50"/>
      <c r="BI796" s="50"/>
      <c r="BJ796" s="50"/>
      <c r="BK796" s="50"/>
      <c r="BL796" s="50"/>
      <c r="BM796" s="50"/>
      <c r="BN796" s="50"/>
    </row>
    <row r="797">
      <c r="A797" s="50"/>
      <c r="B797" s="50"/>
      <c r="C797" s="50"/>
      <c r="D797" s="50"/>
      <c r="E797" s="158"/>
      <c r="F797" s="175"/>
      <c r="G797" s="175"/>
      <c r="H797" s="175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168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50"/>
      <c r="AU797" s="50"/>
      <c r="AV797" s="50"/>
      <c r="AW797" s="50"/>
      <c r="AX797" s="50"/>
      <c r="AY797" s="50"/>
      <c r="AZ797" s="50"/>
      <c r="BA797" s="50"/>
      <c r="BB797" s="50"/>
      <c r="BC797" s="50"/>
      <c r="BD797" s="50"/>
      <c r="BE797" s="50"/>
      <c r="BF797" s="50"/>
      <c r="BG797" s="50"/>
      <c r="BH797" s="50"/>
      <c r="BI797" s="50"/>
      <c r="BJ797" s="50"/>
      <c r="BK797" s="50"/>
      <c r="BL797" s="50"/>
      <c r="BM797" s="50"/>
      <c r="BN797" s="50"/>
    </row>
    <row r="798">
      <c r="A798" s="50"/>
      <c r="B798" s="50"/>
      <c r="C798" s="50"/>
      <c r="D798" s="50"/>
      <c r="E798" s="158"/>
      <c r="F798" s="175"/>
      <c r="G798" s="175"/>
      <c r="H798" s="175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168"/>
      <c r="AF798" s="50"/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0"/>
      <c r="BE798" s="50"/>
      <c r="BF798" s="50"/>
      <c r="BG798" s="50"/>
      <c r="BH798" s="50"/>
      <c r="BI798" s="50"/>
      <c r="BJ798" s="50"/>
      <c r="BK798" s="50"/>
      <c r="BL798" s="50"/>
      <c r="BM798" s="50"/>
      <c r="BN798" s="50"/>
    </row>
    <row r="799">
      <c r="A799" s="50"/>
      <c r="B799" s="50"/>
      <c r="C799" s="50"/>
      <c r="D799" s="50"/>
      <c r="E799" s="158"/>
      <c r="F799" s="175"/>
      <c r="G799" s="175"/>
      <c r="H799" s="175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168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/>
      <c r="BE799" s="50"/>
      <c r="BF799" s="50"/>
      <c r="BG799" s="50"/>
      <c r="BH799" s="50"/>
      <c r="BI799" s="50"/>
      <c r="BJ799" s="50"/>
      <c r="BK799" s="50"/>
      <c r="BL799" s="50"/>
      <c r="BM799" s="50"/>
      <c r="BN799" s="50"/>
    </row>
    <row r="800">
      <c r="A800" s="50"/>
      <c r="B800" s="50"/>
      <c r="C800" s="50"/>
      <c r="D800" s="50"/>
      <c r="E800" s="158"/>
      <c r="F800" s="175"/>
      <c r="G800" s="175"/>
      <c r="H800" s="175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168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0"/>
      <c r="BF800" s="50"/>
      <c r="BG800" s="50"/>
      <c r="BH800" s="50"/>
      <c r="BI800" s="50"/>
      <c r="BJ800" s="50"/>
      <c r="BK800" s="50"/>
      <c r="BL800" s="50"/>
      <c r="BM800" s="50"/>
      <c r="BN800" s="50"/>
    </row>
    <row r="801">
      <c r="A801" s="50"/>
      <c r="B801" s="50"/>
      <c r="C801" s="50"/>
      <c r="D801" s="50"/>
      <c r="E801" s="158"/>
      <c r="F801" s="175"/>
      <c r="G801" s="175"/>
      <c r="H801" s="175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168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50"/>
      <c r="AU801" s="50"/>
      <c r="AV801" s="50"/>
      <c r="AW801" s="50"/>
      <c r="AX801" s="50"/>
      <c r="AY801" s="50"/>
      <c r="AZ801" s="50"/>
      <c r="BA801" s="50"/>
      <c r="BB801" s="50"/>
      <c r="BC801" s="50"/>
      <c r="BD801" s="50"/>
      <c r="BE801" s="50"/>
      <c r="BF801" s="50"/>
      <c r="BG801" s="50"/>
      <c r="BH801" s="50"/>
      <c r="BI801" s="50"/>
      <c r="BJ801" s="50"/>
      <c r="BK801" s="50"/>
      <c r="BL801" s="50"/>
      <c r="BM801" s="50"/>
      <c r="BN801" s="50"/>
    </row>
    <row r="802">
      <c r="A802" s="50"/>
      <c r="B802" s="50"/>
      <c r="C802" s="50"/>
      <c r="D802" s="50"/>
      <c r="E802" s="158"/>
      <c r="F802" s="175"/>
      <c r="G802" s="175"/>
      <c r="H802" s="175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168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/>
      <c r="AR802" s="50"/>
      <c r="AS802" s="50"/>
      <c r="AT802" s="50"/>
      <c r="AU802" s="50"/>
      <c r="AV802" s="50"/>
      <c r="AW802" s="50"/>
      <c r="AX802" s="50"/>
      <c r="AY802" s="50"/>
      <c r="AZ802" s="50"/>
      <c r="BA802" s="50"/>
      <c r="BB802" s="50"/>
      <c r="BC802" s="50"/>
      <c r="BD802" s="50"/>
      <c r="BE802" s="50"/>
      <c r="BF802" s="50"/>
      <c r="BG802" s="50"/>
      <c r="BH802" s="50"/>
      <c r="BI802" s="50"/>
      <c r="BJ802" s="50"/>
      <c r="BK802" s="50"/>
      <c r="BL802" s="50"/>
      <c r="BM802" s="50"/>
      <c r="BN802" s="50"/>
    </row>
    <row r="803">
      <c r="A803" s="50"/>
      <c r="B803" s="50"/>
      <c r="C803" s="50"/>
      <c r="D803" s="50"/>
      <c r="E803" s="158"/>
      <c r="F803" s="175"/>
      <c r="G803" s="175"/>
      <c r="H803" s="175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168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50"/>
      <c r="AU803" s="50"/>
      <c r="AV803" s="50"/>
      <c r="AW803" s="50"/>
      <c r="AX803" s="50"/>
      <c r="AY803" s="50"/>
      <c r="AZ803" s="50"/>
      <c r="BA803" s="50"/>
      <c r="BB803" s="50"/>
      <c r="BC803" s="50"/>
      <c r="BD803" s="50"/>
      <c r="BE803" s="50"/>
      <c r="BF803" s="50"/>
      <c r="BG803" s="50"/>
      <c r="BH803" s="50"/>
      <c r="BI803" s="50"/>
      <c r="BJ803" s="50"/>
      <c r="BK803" s="50"/>
      <c r="BL803" s="50"/>
      <c r="BM803" s="50"/>
      <c r="BN803" s="50"/>
    </row>
    <row r="804">
      <c r="A804" s="50"/>
      <c r="B804" s="50"/>
      <c r="C804" s="50"/>
      <c r="D804" s="50"/>
      <c r="E804" s="158"/>
      <c r="F804" s="175"/>
      <c r="G804" s="175"/>
      <c r="H804" s="175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168"/>
      <c r="AF804" s="50"/>
      <c r="AG804" s="50"/>
      <c r="AH804" s="50"/>
      <c r="AI804" s="50"/>
      <c r="AJ804" s="50"/>
      <c r="AK804" s="50"/>
      <c r="AL804" s="50"/>
      <c r="AM804" s="50"/>
      <c r="AN804" s="50"/>
      <c r="AO804" s="50"/>
      <c r="AP804" s="50"/>
      <c r="AQ804" s="50"/>
      <c r="AR804" s="50"/>
      <c r="AS804" s="50"/>
      <c r="AT804" s="50"/>
      <c r="AU804" s="50"/>
      <c r="AV804" s="50"/>
      <c r="AW804" s="50"/>
      <c r="AX804" s="50"/>
      <c r="AY804" s="50"/>
      <c r="AZ804" s="50"/>
      <c r="BA804" s="50"/>
      <c r="BB804" s="50"/>
      <c r="BC804" s="50"/>
      <c r="BD804" s="50"/>
      <c r="BE804" s="50"/>
      <c r="BF804" s="50"/>
      <c r="BG804" s="50"/>
      <c r="BH804" s="50"/>
      <c r="BI804" s="50"/>
      <c r="BJ804" s="50"/>
      <c r="BK804" s="50"/>
      <c r="BL804" s="50"/>
      <c r="BM804" s="50"/>
      <c r="BN804" s="50"/>
    </row>
    <row r="805">
      <c r="A805" s="50"/>
      <c r="B805" s="50"/>
      <c r="C805" s="50"/>
      <c r="D805" s="50"/>
      <c r="E805" s="158"/>
      <c r="F805" s="175"/>
      <c r="G805" s="175"/>
      <c r="H805" s="175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168"/>
      <c r="AF805" s="50"/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50"/>
      <c r="AU805" s="50"/>
      <c r="AV805" s="50"/>
      <c r="AW805" s="50"/>
      <c r="AX805" s="50"/>
      <c r="AY805" s="50"/>
      <c r="AZ805" s="50"/>
      <c r="BA805" s="50"/>
      <c r="BB805" s="50"/>
      <c r="BC805" s="50"/>
      <c r="BD805" s="50"/>
      <c r="BE805" s="50"/>
      <c r="BF805" s="50"/>
      <c r="BG805" s="50"/>
      <c r="BH805" s="50"/>
      <c r="BI805" s="50"/>
      <c r="BJ805" s="50"/>
      <c r="BK805" s="50"/>
      <c r="BL805" s="50"/>
      <c r="BM805" s="50"/>
      <c r="BN805" s="50"/>
    </row>
    <row r="806">
      <c r="A806" s="50"/>
      <c r="B806" s="50"/>
      <c r="C806" s="50"/>
      <c r="D806" s="50"/>
      <c r="E806" s="158"/>
      <c r="F806" s="175"/>
      <c r="G806" s="175"/>
      <c r="H806" s="175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168"/>
      <c r="AF806" s="50"/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50"/>
      <c r="AR806" s="50"/>
      <c r="AS806" s="50"/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0"/>
      <c r="BE806" s="50"/>
      <c r="BF806" s="50"/>
      <c r="BG806" s="50"/>
      <c r="BH806" s="50"/>
      <c r="BI806" s="50"/>
      <c r="BJ806" s="50"/>
      <c r="BK806" s="50"/>
      <c r="BL806" s="50"/>
      <c r="BM806" s="50"/>
      <c r="BN806" s="50"/>
    </row>
    <row r="807">
      <c r="A807" s="50"/>
      <c r="B807" s="50"/>
      <c r="C807" s="50"/>
      <c r="D807" s="50"/>
      <c r="E807" s="158"/>
      <c r="F807" s="175"/>
      <c r="G807" s="175"/>
      <c r="H807" s="175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168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0"/>
      <c r="BE807" s="50"/>
      <c r="BF807" s="50"/>
      <c r="BG807" s="50"/>
      <c r="BH807" s="50"/>
      <c r="BI807" s="50"/>
      <c r="BJ807" s="50"/>
      <c r="BK807" s="50"/>
      <c r="BL807" s="50"/>
      <c r="BM807" s="50"/>
      <c r="BN807" s="50"/>
    </row>
    <row r="808">
      <c r="A808" s="50"/>
      <c r="B808" s="50"/>
      <c r="C808" s="50"/>
      <c r="D808" s="50"/>
      <c r="E808" s="158"/>
      <c r="F808" s="175"/>
      <c r="G808" s="175"/>
      <c r="H808" s="175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168"/>
      <c r="AF808" s="50"/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50"/>
      <c r="AR808" s="50"/>
      <c r="AS808" s="50"/>
      <c r="AT808" s="50"/>
      <c r="AU808" s="50"/>
      <c r="AV808" s="50"/>
      <c r="AW808" s="50"/>
      <c r="AX808" s="50"/>
      <c r="AY808" s="50"/>
      <c r="AZ808" s="50"/>
      <c r="BA808" s="50"/>
      <c r="BB808" s="50"/>
      <c r="BC808" s="50"/>
      <c r="BD808" s="50"/>
      <c r="BE808" s="50"/>
      <c r="BF808" s="50"/>
      <c r="BG808" s="50"/>
      <c r="BH808" s="50"/>
      <c r="BI808" s="50"/>
      <c r="BJ808" s="50"/>
      <c r="BK808" s="50"/>
      <c r="BL808" s="50"/>
      <c r="BM808" s="50"/>
      <c r="BN808" s="50"/>
    </row>
    <row r="809">
      <c r="A809" s="50"/>
      <c r="B809" s="50"/>
      <c r="C809" s="50"/>
      <c r="D809" s="50"/>
      <c r="E809" s="158"/>
      <c r="F809" s="175"/>
      <c r="G809" s="175"/>
      <c r="H809" s="175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168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0"/>
      <c r="BE809" s="50"/>
      <c r="BF809" s="50"/>
      <c r="BG809" s="50"/>
      <c r="BH809" s="50"/>
      <c r="BI809" s="50"/>
      <c r="BJ809" s="50"/>
      <c r="BK809" s="50"/>
      <c r="BL809" s="50"/>
      <c r="BM809" s="50"/>
      <c r="BN809" s="50"/>
    </row>
    <row r="810">
      <c r="A810" s="50"/>
      <c r="B810" s="50"/>
      <c r="C810" s="50"/>
      <c r="D810" s="50"/>
      <c r="E810" s="158"/>
      <c r="F810" s="175"/>
      <c r="G810" s="175"/>
      <c r="H810" s="175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168"/>
      <c r="AF810" s="50"/>
      <c r="AG810" s="50"/>
      <c r="AH810" s="50"/>
      <c r="AI810" s="50"/>
      <c r="AJ810" s="50"/>
      <c r="AK810" s="50"/>
      <c r="AL810" s="50"/>
      <c r="AM810" s="50"/>
      <c r="AN810" s="50"/>
      <c r="AO810" s="50"/>
      <c r="AP810" s="50"/>
      <c r="AQ810" s="50"/>
      <c r="AR810" s="50"/>
      <c r="AS810" s="50"/>
      <c r="AT810" s="50"/>
      <c r="AU810" s="50"/>
      <c r="AV810" s="50"/>
      <c r="AW810" s="50"/>
      <c r="AX810" s="50"/>
      <c r="AY810" s="50"/>
      <c r="AZ810" s="50"/>
      <c r="BA810" s="50"/>
      <c r="BB810" s="50"/>
      <c r="BC810" s="50"/>
      <c r="BD810" s="50"/>
      <c r="BE810" s="50"/>
      <c r="BF810" s="50"/>
      <c r="BG810" s="50"/>
      <c r="BH810" s="50"/>
      <c r="BI810" s="50"/>
      <c r="BJ810" s="50"/>
      <c r="BK810" s="50"/>
      <c r="BL810" s="50"/>
      <c r="BM810" s="50"/>
      <c r="BN810" s="50"/>
    </row>
    <row r="811">
      <c r="A811" s="50"/>
      <c r="B811" s="50"/>
      <c r="C811" s="50"/>
      <c r="D811" s="50"/>
      <c r="E811" s="158"/>
      <c r="F811" s="175"/>
      <c r="G811" s="175"/>
      <c r="H811" s="175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168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  <c r="AV811" s="50"/>
      <c r="AW811" s="50"/>
      <c r="AX811" s="50"/>
      <c r="AY811" s="50"/>
      <c r="AZ811" s="50"/>
      <c r="BA811" s="50"/>
      <c r="BB811" s="50"/>
      <c r="BC811" s="50"/>
      <c r="BD811" s="50"/>
      <c r="BE811" s="50"/>
      <c r="BF811" s="50"/>
      <c r="BG811" s="50"/>
      <c r="BH811" s="50"/>
      <c r="BI811" s="50"/>
      <c r="BJ811" s="50"/>
      <c r="BK811" s="50"/>
      <c r="BL811" s="50"/>
      <c r="BM811" s="50"/>
      <c r="BN811" s="50"/>
    </row>
    <row r="812">
      <c r="A812" s="50"/>
      <c r="B812" s="50"/>
      <c r="C812" s="50"/>
      <c r="D812" s="50"/>
      <c r="E812" s="158"/>
      <c r="F812" s="175"/>
      <c r="G812" s="175"/>
      <c r="H812" s="175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168"/>
      <c r="AF812" s="50"/>
      <c r="AG812" s="50"/>
      <c r="AH812" s="50"/>
      <c r="AI812" s="50"/>
      <c r="AJ812" s="50"/>
      <c r="AK812" s="50"/>
      <c r="AL812" s="50"/>
      <c r="AM812" s="50"/>
      <c r="AN812" s="50"/>
      <c r="AO812" s="50"/>
      <c r="AP812" s="50"/>
      <c r="AQ812" s="50"/>
      <c r="AR812" s="50"/>
      <c r="AS812" s="50"/>
      <c r="AT812" s="50"/>
      <c r="AU812" s="50"/>
      <c r="AV812" s="50"/>
      <c r="AW812" s="50"/>
      <c r="AX812" s="50"/>
      <c r="AY812" s="50"/>
      <c r="AZ812" s="50"/>
      <c r="BA812" s="50"/>
      <c r="BB812" s="50"/>
      <c r="BC812" s="50"/>
      <c r="BD812" s="50"/>
      <c r="BE812" s="50"/>
      <c r="BF812" s="50"/>
      <c r="BG812" s="50"/>
      <c r="BH812" s="50"/>
      <c r="BI812" s="50"/>
      <c r="BJ812" s="50"/>
      <c r="BK812" s="50"/>
      <c r="BL812" s="50"/>
      <c r="BM812" s="50"/>
      <c r="BN812" s="50"/>
    </row>
    <row r="813">
      <c r="A813" s="50"/>
      <c r="B813" s="50"/>
      <c r="C813" s="50"/>
      <c r="D813" s="50"/>
      <c r="E813" s="158"/>
      <c r="F813" s="175"/>
      <c r="G813" s="175"/>
      <c r="H813" s="175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168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50"/>
      <c r="AU813" s="50"/>
      <c r="AV813" s="50"/>
      <c r="AW813" s="50"/>
      <c r="AX813" s="50"/>
      <c r="AY813" s="50"/>
      <c r="AZ813" s="50"/>
      <c r="BA813" s="50"/>
      <c r="BB813" s="50"/>
      <c r="BC813" s="50"/>
      <c r="BD813" s="50"/>
      <c r="BE813" s="50"/>
      <c r="BF813" s="50"/>
      <c r="BG813" s="50"/>
      <c r="BH813" s="50"/>
      <c r="BI813" s="50"/>
      <c r="BJ813" s="50"/>
      <c r="BK813" s="50"/>
      <c r="BL813" s="50"/>
      <c r="BM813" s="50"/>
      <c r="BN813" s="50"/>
    </row>
    <row r="814">
      <c r="A814" s="50"/>
      <c r="B814" s="50"/>
      <c r="C814" s="50"/>
      <c r="D814" s="50"/>
      <c r="E814" s="158"/>
      <c r="F814" s="175"/>
      <c r="G814" s="175"/>
      <c r="H814" s="175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168"/>
      <c r="AF814" s="50"/>
      <c r="AG814" s="50"/>
      <c r="AH814" s="50"/>
      <c r="AI814" s="50"/>
      <c r="AJ814" s="50"/>
      <c r="AK814" s="50"/>
      <c r="AL814" s="50"/>
      <c r="AM814" s="50"/>
      <c r="AN814" s="50"/>
      <c r="AO814" s="50"/>
      <c r="AP814" s="50"/>
      <c r="AQ814" s="50"/>
      <c r="AR814" s="50"/>
      <c r="AS814" s="50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/>
      <c r="BE814" s="50"/>
      <c r="BF814" s="50"/>
      <c r="BG814" s="50"/>
      <c r="BH814" s="50"/>
      <c r="BI814" s="50"/>
      <c r="BJ814" s="50"/>
      <c r="BK814" s="50"/>
      <c r="BL814" s="50"/>
      <c r="BM814" s="50"/>
      <c r="BN814" s="50"/>
    </row>
    <row r="815">
      <c r="A815" s="50"/>
      <c r="B815" s="50"/>
      <c r="C815" s="50"/>
      <c r="D815" s="50"/>
      <c r="E815" s="158"/>
      <c r="F815" s="175"/>
      <c r="G815" s="175"/>
      <c r="H815" s="175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168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50"/>
      <c r="AU815" s="50"/>
      <c r="AV815" s="50"/>
      <c r="AW815" s="50"/>
      <c r="AX815" s="50"/>
      <c r="AY815" s="50"/>
      <c r="AZ815" s="50"/>
      <c r="BA815" s="50"/>
      <c r="BB815" s="50"/>
      <c r="BC815" s="50"/>
      <c r="BD815" s="50"/>
      <c r="BE815" s="50"/>
      <c r="BF815" s="50"/>
      <c r="BG815" s="50"/>
      <c r="BH815" s="50"/>
      <c r="BI815" s="50"/>
      <c r="BJ815" s="50"/>
      <c r="BK815" s="50"/>
      <c r="BL815" s="50"/>
      <c r="BM815" s="50"/>
      <c r="BN815" s="50"/>
    </row>
    <row r="816">
      <c r="A816" s="50"/>
      <c r="B816" s="50"/>
      <c r="C816" s="50"/>
      <c r="D816" s="50"/>
      <c r="E816" s="158"/>
      <c r="F816" s="175"/>
      <c r="G816" s="175"/>
      <c r="H816" s="175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168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0"/>
      <c r="BE816" s="50"/>
      <c r="BF816" s="50"/>
      <c r="BG816" s="50"/>
      <c r="BH816" s="50"/>
      <c r="BI816" s="50"/>
      <c r="BJ816" s="50"/>
      <c r="BK816" s="50"/>
      <c r="BL816" s="50"/>
      <c r="BM816" s="50"/>
      <c r="BN816" s="50"/>
    </row>
    <row r="817">
      <c r="A817" s="50"/>
      <c r="B817" s="50"/>
      <c r="C817" s="50"/>
      <c r="D817" s="50"/>
      <c r="E817" s="158"/>
      <c r="F817" s="175"/>
      <c r="G817" s="175"/>
      <c r="H817" s="175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168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0"/>
      <c r="BE817" s="50"/>
      <c r="BF817" s="50"/>
      <c r="BG817" s="50"/>
      <c r="BH817" s="50"/>
      <c r="BI817" s="50"/>
      <c r="BJ817" s="50"/>
      <c r="BK817" s="50"/>
      <c r="BL817" s="50"/>
      <c r="BM817" s="50"/>
      <c r="BN817" s="50"/>
    </row>
    <row r="818">
      <c r="A818" s="50"/>
      <c r="B818" s="50"/>
      <c r="C818" s="50"/>
      <c r="D818" s="50"/>
      <c r="E818" s="158"/>
      <c r="F818" s="175"/>
      <c r="G818" s="175"/>
      <c r="H818" s="175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168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/>
      <c r="BE818" s="50"/>
      <c r="BF818" s="50"/>
      <c r="BG818" s="50"/>
      <c r="BH818" s="50"/>
      <c r="BI818" s="50"/>
      <c r="BJ818" s="50"/>
      <c r="BK818" s="50"/>
      <c r="BL818" s="50"/>
      <c r="BM818" s="50"/>
      <c r="BN818" s="50"/>
    </row>
    <row r="819">
      <c r="A819" s="50"/>
      <c r="B819" s="50"/>
      <c r="C819" s="50"/>
      <c r="D819" s="50"/>
      <c r="E819" s="158"/>
      <c r="F819" s="175"/>
      <c r="G819" s="175"/>
      <c r="H819" s="175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168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50"/>
      <c r="AU819" s="50"/>
      <c r="AV819" s="50"/>
      <c r="AW819" s="50"/>
      <c r="AX819" s="50"/>
      <c r="AY819" s="50"/>
      <c r="AZ819" s="50"/>
      <c r="BA819" s="50"/>
      <c r="BB819" s="50"/>
      <c r="BC819" s="50"/>
      <c r="BD819" s="50"/>
      <c r="BE819" s="50"/>
      <c r="BF819" s="50"/>
      <c r="BG819" s="50"/>
      <c r="BH819" s="50"/>
      <c r="BI819" s="50"/>
      <c r="BJ819" s="50"/>
      <c r="BK819" s="50"/>
      <c r="BL819" s="50"/>
      <c r="BM819" s="50"/>
      <c r="BN819" s="50"/>
    </row>
    <row r="820">
      <c r="A820" s="50"/>
      <c r="B820" s="50"/>
      <c r="C820" s="50"/>
      <c r="D820" s="50"/>
      <c r="E820" s="158"/>
      <c r="F820" s="175"/>
      <c r="G820" s="175"/>
      <c r="H820" s="175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168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  <c r="AV820" s="50"/>
      <c r="AW820" s="50"/>
      <c r="AX820" s="50"/>
      <c r="AY820" s="50"/>
      <c r="AZ820" s="50"/>
      <c r="BA820" s="50"/>
      <c r="BB820" s="50"/>
      <c r="BC820" s="50"/>
      <c r="BD820" s="50"/>
      <c r="BE820" s="50"/>
      <c r="BF820" s="50"/>
      <c r="BG820" s="50"/>
      <c r="BH820" s="50"/>
      <c r="BI820" s="50"/>
      <c r="BJ820" s="50"/>
      <c r="BK820" s="50"/>
      <c r="BL820" s="50"/>
      <c r="BM820" s="50"/>
      <c r="BN820" s="50"/>
    </row>
    <row r="821">
      <c r="A821" s="50"/>
      <c r="B821" s="50"/>
      <c r="C821" s="50"/>
      <c r="D821" s="50"/>
      <c r="E821" s="158"/>
      <c r="F821" s="175"/>
      <c r="G821" s="175"/>
      <c r="H821" s="175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168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50"/>
      <c r="AU821" s="50"/>
      <c r="AV821" s="50"/>
      <c r="AW821" s="50"/>
      <c r="AX821" s="50"/>
      <c r="AY821" s="50"/>
      <c r="AZ821" s="50"/>
      <c r="BA821" s="50"/>
      <c r="BB821" s="50"/>
      <c r="BC821" s="50"/>
      <c r="BD821" s="50"/>
      <c r="BE821" s="50"/>
      <c r="BF821" s="50"/>
      <c r="BG821" s="50"/>
      <c r="BH821" s="50"/>
      <c r="BI821" s="50"/>
      <c r="BJ821" s="50"/>
      <c r="BK821" s="50"/>
      <c r="BL821" s="50"/>
      <c r="BM821" s="50"/>
      <c r="BN821" s="50"/>
    </row>
    <row r="822">
      <c r="A822" s="50"/>
      <c r="B822" s="50"/>
      <c r="C822" s="50"/>
      <c r="D822" s="50"/>
      <c r="E822" s="158"/>
      <c r="F822" s="175"/>
      <c r="G822" s="175"/>
      <c r="H822" s="175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168"/>
      <c r="AF822" s="50"/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50"/>
      <c r="AR822" s="50"/>
      <c r="AS822" s="50"/>
      <c r="AT822" s="50"/>
      <c r="AU822" s="50"/>
      <c r="AV822" s="50"/>
      <c r="AW822" s="50"/>
      <c r="AX822" s="50"/>
      <c r="AY822" s="50"/>
      <c r="AZ822" s="50"/>
      <c r="BA822" s="50"/>
      <c r="BB822" s="50"/>
      <c r="BC822" s="50"/>
      <c r="BD822" s="50"/>
      <c r="BE822" s="50"/>
      <c r="BF822" s="50"/>
      <c r="BG822" s="50"/>
      <c r="BH822" s="50"/>
      <c r="BI822" s="50"/>
      <c r="BJ822" s="50"/>
      <c r="BK822" s="50"/>
      <c r="BL822" s="50"/>
      <c r="BM822" s="50"/>
      <c r="BN822" s="50"/>
    </row>
    <row r="823">
      <c r="A823" s="50"/>
      <c r="B823" s="50"/>
      <c r="C823" s="50"/>
      <c r="D823" s="50"/>
      <c r="E823" s="158"/>
      <c r="F823" s="175"/>
      <c r="G823" s="175"/>
      <c r="H823" s="175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168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50"/>
      <c r="AU823" s="50"/>
      <c r="AV823" s="50"/>
      <c r="AW823" s="50"/>
      <c r="AX823" s="50"/>
      <c r="AY823" s="50"/>
      <c r="AZ823" s="50"/>
      <c r="BA823" s="50"/>
      <c r="BB823" s="50"/>
      <c r="BC823" s="50"/>
      <c r="BD823" s="50"/>
      <c r="BE823" s="50"/>
      <c r="BF823" s="50"/>
      <c r="BG823" s="50"/>
      <c r="BH823" s="50"/>
      <c r="BI823" s="50"/>
      <c r="BJ823" s="50"/>
      <c r="BK823" s="50"/>
      <c r="BL823" s="50"/>
      <c r="BM823" s="50"/>
      <c r="BN823" s="50"/>
    </row>
    <row r="824">
      <c r="A824" s="50"/>
      <c r="B824" s="50"/>
      <c r="C824" s="50"/>
      <c r="D824" s="50"/>
      <c r="E824" s="158"/>
      <c r="F824" s="175"/>
      <c r="G824" s="175"/>
      <c r="H824" s="175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168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0"/>
      <c r="BF824" s="50"/>
      <c r="BG824" s="50"/>
      <c r="BH824" s="50"/>
      <c r="BI824" s="50"/>
      <c r="BJ824" s="50"/>
      <c r="BK824" s="50"/>
      <c r="BL824" s="50"/>
      <c r="BM824" s="50"/>
      <c r="BN824" s="50"/>
    </row>
    <row r="825">
      <c r="A825" s="50"/>
      <c r="B825" s="50"/>
      <c r="C825" s="50"/>
      <c r="D825" s="50"/>
      <c r="E825" s="158"/>
      <c r="F825" s="175"/>
      <c r="G825" s="175"/>
      <c r="H825" s="175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168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/>
      <c r="BB825" s="50"/>
      <c r="BC825" s="50"/>
      <c r="BD825" s="50"/>
      <c r="BE825" s="50"/>
      <c r="BF825" s="50"/>
      <c r="BG825" s="50"/>
      <c r="BH825" s="50"/>
      <c r="BI825" s="50"/>
      <c r="BJ825" s="50"/>
      <c r="BK825" s="50"/>
      <c r="BL825" s="50"/>
      <c r="BM825" s="50"/>
      <c r="BN825" s="50"/>
    </row>
    <row r="826">
      <c r="A826" s="50"/>
      <c r="B826" s="50"/>
      <c r="C826" s="50"/>
      <c r="D826" s="50"/>
      <c r="E826" s="158"/>
      <c r="F826" s="175"/>
      <c r="G826" s="175"/>
      <c r="H826" s="175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168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/>
      <c r="AR826" s="50"/>
      <c r="AS826" s="50"/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0"/>
      <c r="BE826" s="50"/>
      <c r="BF826" s="50"/>
      <c r="BG826" s="50"/>
      <c r="BH826" s="50"/>
      <c r="BI826" s="50"/>
      <c r="BJ826" s="50"/>
      <c r="BK826" s="50"/>
      <c r="BL826" s="50"/>
      <c r="BM826" s="50"/>
      <c r="BN826" s="50"/>
    </row>
    <row r="827">
      <c r="A827" s="50"/>
      <c r="B827" s="50"/>
      <c r="C827" s="50"/>
      <c r="D827" s="50"/>
      <c r="E827" s="158"/>
      <c r="F827" s="175"/>
      <c r="G827" s="175"/>
      <c r="H827" s="175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168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/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  <c r="BL827" s="50"/>
      <c r="BM827" s="50"/>
      <c r="BN827" s="50"/>
    </row>
    <row r="828">
      <c r="A828" s="50"/>
      <c r="B828" s="50"/>
      <c r="C828" s="50"/>
      <c r="D828" s="50"/>
      <c r="E828" s="158"/>
      <c r="F828" s="175"/>
      <c r="G828" s="175"/>
      <c r="H828" s="175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168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0"/>
      <c r="BE828" s="50"/>
      <c r="BF828" s="50"/>
      <c r="BG828" s="50"/>
      <c r="BH828" s="50"/>
      <c r="BI828" s="50"/>
      <c r="BJ828" s="50"/>
      <c r="BK828" s="50"/>
      <c r="BL828" s="50"/>
      <c r="BM828" s="50"/>
      <c r="BN828" s="50"/>
    </row>
    <row r="829">
      <c r="A829" s="50"/>
      <c r="B829" s="50"/>
      <c r="C829" s="50"/>
      <c r="D829" s="50"/>
      <c r="E829" s="158"/>
      <c r="F829" s="175"/>
      <c r="G829" s="175"/>
      <c r="H829" s="175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168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/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  <c r="BL829" s="50"/>
      <c r="BM829" s="50"/>
      <c r="BN829" s="50"/>
    </row>
    <row r="830">
      <c r="A830" s="50"/>
      <c r="B830" s="50"/>
      <c r="C830" s="50"/>
      <c r="D830" s="50"/>
      <c r="E830" s="158"/>
      <c r="F830" s="175"/>
      <c r="G830" s="175"/>
      <c r="H830" s="175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168"/>
      <c r="AF830" s="50"/>
      <c r="AG830" s="50"/>
      <c r="AH830" s="50"/>
      <c r="AI830" s="50"/>
      <c r="AJ830" s="50"/>
      <c r="AK830" s="50"/>
      <c r="AL830" s="50"/>
      <c r="AM830" s="50"/>
      <c r="AN830" s="50"/>
      <c r="AO830" s="50"/>
      <c r="AP830" s="50"/>
      <c r="AQ830" s="50"/>
      <c r="AR830" s="50"/>
      <c r="AS830" s="50"/>
      <c r="AT830" s="50"/>
      <c r="AU830" s="50"/>
      <c r="AV830" s="50"/>
      <c r="AW830" s="50"/>
      <c r="AX830" s="50"/>
      <c r="AY830" s="50"/>
      <c r="AZ830" s="50"/>
      <c r="BA830" s="50"/>
      <c r="BB830" s="50"/>
      <c r="BC830" s="50"/>
      <c r="BD830" s="50"/>
      <c r="BE830" s="50"/>
      <c r="BF830" s="50"/>
      <c r="BG830" s="50"/>
      <c r="BH830" s="50"/>
      <c r="BI830" s="50"/>
      <c r="BJ830" s="50"/>
      <c r="BK830" s="50"/>
      <c r="BL830" s="50"/>
      <c r="BM830" s="50"/>
      <c r="BN830" s="50"/>
    </row>
    <row r="831">
      <c r="A831" s="50"/>
      <c r="B831" s="50"/>
      <c r="C831" s="50"/>
      <c r="D831" s="50"/>
      <c r="E831" s="158"/>
      <c r="F831" s="175"/>
      <c r="G831" s="175"/>
      <c r="H831" s="175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168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/>
      <c r="AR831" s="50"/>
      <c r="AS831" s="50"/>
      <c r="AT831" s="50"/>
      <c r="AU831" s="50"/>
      <c r="AV831" s="50"/>
      <c r="AW831" s="50"/>
      <c r="AX831" s="50"/>
      <c r="AY831" s="50"/>
      <c r="AZ831" s="50"/>
      <c r="BA831" s="50"/>
      <c r="BB831" s="50"/>
      <c r="BC831" s="50"/>
      <c r="BD831" s="50"/>
      <c r="BE831" s="50"/>
      <c r="BF831" s="50"/>
      <c r="BG831" s="50"/>
      <c r="BH831" s="50"/>
      <c r="BI831" s="50"/>
      <c r="BJ831" s="50"/>
      <c r="BK831" s="50"/>
      <c r="BL831" s="50"/>
      <c r="BM831" s="50"/>
      <c r="BN831" s="50"/>
    </row>
    <row r="832">
      <c r="A832" s="50"/>
      <c r="B832" s="50"/>
      <c r="C832" s="50"/>
      <c r="D832" s="50"/>
      <c r="E832" s="158"/>
      <c r="F832" s="175"/>
      <c r="G832" s="175"/>
      <c r="H832" s="175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168"/>
      <c r="AF832" s="50"/>
      <c r="AG832" s="50"/>
      <c r="AH832" s="50"/>
      <c r="AI832" s="50"/>
      <c r="AJ832" s="50"/>
      <c r="AK832" s="50"/>
      <c r="AL832" s="50"/>
      <c r="AM832" s="50"/>
      <c r="AN832" s="50"/>
      <c r="AO832" s="50"/>
      <c r="AP832" s="50"/>
      <c r="AQ832" s="50"/>
      <c r="AR832" s="50"/>
      <c r="AS832" s="50"/>
      <c r="AT832" s="50"/>
      <c r="AU832" s="50"/>
      <c r="AV832" s="50"/>
      <c r="AW832" s="50"/>
      <c r="AX832" s="50"/>
      <c r="AY832" s="50"/>
      <c r="AZ832" s="50"/>
      <c r="BA832" s="50"/>
      <c r="BB832" s="50"/>
      <c r="BC832" s="50"/>
      <c r="BD832" s="50"/>
      <c r="BE832" s="50"/>
      <c r="BF832" s="50"/>
      <c r="BG832" s="50"/>
      <c r="BH832" s="50"/>
      <c r="BI832" s="50"/>
      <c r="BJ832" s="50"/>
      <c r="BK832" s="50"/>
      <c r="BL832" s="50"/>
      <c r="BM832" s="50"/>
      <c r="BN832" s="50"/>
    </row>
    <row r="833">
      <c r="A833" s="50"/>
      <c r="B833" s="50"/>
      <c r="C833" s="50"/>
      <c r="D833" s="50"/>
      <c r="E833" s="158"/>
      <c r="F833" s="175"/>
      <c r="G833" s="175"/>
      <c r="H833" s="175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168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0"/>
      <c r="BE833" s="50"/>
      <c r="BF833" s="50"/>
      <c r="BG833" s="50"/>
      <c r="BH833" s="50"/>
      <c r="BI833" s="50"/>
      <c r="BJ833" s="50"/>
      <c r="BK833" s="50"/>
      <c r="BL833" s="50"/>
      <c r="BM833" s="50"/>
      <c r="BN833" s="50"/>
    </row>
    <row r="834">
      <c r="A834" s="50"/>
      <c r="B834" s="50"/>
      <c r="C834" s="50"/>
      <c r="D834" s="50"/>
      <c r="E834" s="158"/>
      <c r="F834" s="175"/>
      <c r="G834" s="175"/>
      <c r="H834" s="175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168"/>
      <c r="AF834" s="50"/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50"/>
      <c r="BG834" s="50"/>
      <c r="BH834" s="50"/>
      <c r="BI834" s="50"/>
      <c r="BJ834" s="50"/>
      <c r="BK834" s="50"/>
      <c r="BL834" s="50"/>
      <c r="BM834" s="50"/>
      <c r="BN834" s="50"/>
    </row>
    <row r="835">
      <c r="A835" s="50"/>
      <c r="B835" s="50"/>
      <c r="C835" s="50"/>
      <c r="D835" s="50"/>
      <c r="E835" s="158"/>
      <c r="F835" s="175"/>
      <c r="G835" s="175"/>
      <c r="H835" s="175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168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/>
      <c r="BE835" s="50"/>
      <c r="BF835" s="50"/>
      <c r="BG835" s="50"/>
      <c r="BH835" s="50"/>
      <c r="BI835" s="50"/>
      <c r="BJ835" s="50"/>
      <c r="BK835" s="50"/>
      <c r="BL835" s="50"/>
      <c r="BM835" s="50"/>
      <c r="BN835" s="50"/>
    </row>
    <row r="836">
      <c r="A836" s="50"/>
      <c r="B836" s="50"/>
      <c r="C836" s="50"/>
      <c r="D836" s="50"/>
      <c r="E836" s="158"/>
      <c r="F836" s="175"/>
      <c r="G836" s="175"/>
      <c r="H836" s="175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168"/>
      <c r="AF836" s="50"/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50"/>
      <c r="AR836" s="50"/>
      <c r="AS836" s="50"/>
      <c r="AT836" s="50"/>
      <c r="AU836" s="50"/>
      <c r="AV836" s="50"/>
      <c r="AW836" s="50"/>
      <c r="AX836" s="50"/>
      <c r="AY836" s="50"/>
      <c r="AZ836" s="50"/>
      <c r="BA836" s="50"/>
      <c r="BB836" s="50"/>
      <c r="BC836" s="50"/>
      <c r="BD836" s="50"/>
      <c r="BE836" s="50"/>
      <c r="BF836" s="50"/>
      <c r="BG836" s="50"/>
      <c r="BH836" s="50"/>
      <c r="BI836" s="50"/>
      <c r="BJ836" s="50"/>
      <c r="BK836" s="50"/>
      <c r="BL836" s="50"/>
      <c r="BM836" s="50"/>
      <c r="BN836" s="50"/>
    </row>
    <row r="837">
      <c r="A837" s="50"/>
      <c r="B837" s="50"/>
      <c r="C837" s="50"/>
      <c r="D837" s="50"/>
      <c r="E837" s="158"/>
      <c r="F837" s="175"/>
      <c r="G837" s="175"/>
      <c r="H837" s="175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168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50"/>
      <c r="AU837" s="50"/>
      <c r="AV837" s="50"/>
      <c r="AW837" s="50"/>
      <c r="AX837" s="50"/>
      <c r="AY837" s="50"/>
      <c r="AZ837" s="50"/>
      <c r="BA837" s="50"/>
      <c r="BB837" s="50"/>
      <c r="BC837" s="50"/>
      <c r="BD837" s="50"/>
      <c r="BE837" s="50"/>
      <c r="BF837" s="50"/>
      <c r="BG837" s="50"/>
      <c r="BH837" s="50"/>
      <c r="BI837" s="50"/>
      <c r="BJ837" s="50"/>
      <c r="BK837" s="50"/>
      <c r="BL837" s="50"/>
      <c r="BM837" s="50"/>
      <c r="BN837" s="50"/>
    </row>
    <row r="838">
      <c r="A838" s="50"/>
      <c r="B838" s="50"/>
      <c r="C838" s="50"/>
      <c r="D838" s="50"/>
      <c r="E838" s="158"/>
      <c r="F838" s="175"/>
      <c r="G838" s="175"/>
      <c r="H838" s="175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168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/>
      <c r="BE838" s="50"/>
      <c r="BF838" s="50"/>
      <c r="BG838" s="50"/>
      <c r="BH838" s="50"/>
      <c r="BI838" s="50"/>
      <c r="BJ838" s="50"/>
      <c r="BK838" s="50"/>
      <c r="BL838" s="50"/>
      <c r="BM838" s="50"/>
      <c r="BN838" s="50"/>
    </row>
    <row r="839">
      <c r="A839" s="50"/>
      <c r="B839" s="50"/>
      <c r="C839" s="50"/>
      <c r="D839" s="50"/>
      <c r="E839" s="158"/>
      <c r="F839" s="175"/>
      <c r="G839" s="175"/>
      <c r="H839" s="175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168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50"/>
      <c r="AU839" s="50"/>
      <c r="AV839" s="50"/>
      <c r="AW839" s="50"/>
      <c r="AX839" s="50"/>
      <c r="AY839" s="50"/>
      <c r="AZ839" s="50"/>
      <c r="BA839" s="50"/>
      <c r="BB839" s="50"/>
      <c r="BC839" s="50"/>
      <c r="BD839" s="50"/>
      <c r="BE839" s="50"/>
      <c r="BF839" s="50"/>
      <c r="BG839" s="50"/>
      <c r="BH839" s="50"/>
      <c r="BI839" s="50"/>
      <c r="BJ839" s="50"/>
      <c r="BK839" s="50"/>
      <c r="BL839" s="50"/>
      <c r="BM839" s="50"/>
      <c r="BN839" s="50"/>
    </row>
    <row r="840">
      <c r="A840" s="50"/>
      <c r="B840" s="50"/>
      <c r="C840" s="50"/>
      <c r="D840" s="50"/>
      <c r="E840" s="158"/>
      <c r="F840" s="175"/>
      <c r="G840" s="175"/>
      <c r="H840" s="175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168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/>
      <c r="AW840" s="50"/>
      <c r="AX840" s="50"/>
      <c r="AY840" s="50"/>
      <c r="AZ840" s="50"/>
      <c r="BA840" s="50"/>
      <c r="BB840" s="50"/>
      <c r="BC840" s="50"/>
      <c r="BD840" s="50"/>
      <c r="BE840" s="50"/>
      <c r="BF840" s="50"/>
      <c r="BG840" s="50"/>
      <c r="BH840" s="50"/>
      <c r="BI840" s="50"/>
      <c r="BJ840" s="50"/>
      <c r="BK840" s="50"/>
      <c r="BL840" s="50"/>
      <c r="BM840" s="50"/>
      <c r="BN840" s="50"/>
    </row>
    <row r="841">
      <c r="A841" s="50"/>
      <c r="B841" s="50"/>
      <c r="C841" s="50"/>
      <c r="D841" s="50"/>
      <c r="E841" s="158"/>
      <c r="F841" s="175"/>
      <c r="G841" s="175"/>
      <c r="H841" s="175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168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50"/>
      <c r="AU841" s="50"/>
      <c r="AV841" s="50"/>
      <c r="AW841" s="50"/>
      <c r="AX841" s="50"/>
      <c r="AY841" s="50"/>
      <c r="AZ841" s="50"/>
      <c r="BA841" s="50"/>
      <c r="BB841" s="50"/>
      <c r="BC841" s="50"/>
      <c r="BD841" s="50"/>
      <c r="BE841" s="50"/>
      <c r="BF841" s="50"/>
      <c r="BG841" s="50"/>
      <c r="BH841" s="50"/>
      <c r="BI841" s="50"/>
      <c r="BJ841" s="50"/>
      <c r="BK841" s="50"/>
      <c r="BL841" s="50"/>
      <c r="BM841" s="50"/>
      <c r="BN841" s="50"/>
    </row>
    <row r="842">
      <c r="A842" s="50"/>
      <c r="B842" s="50"/>
      <c r="C842" s="50"/>
      <c r="D842" s="50"/>
      <c r="E842" s="158"/>
      <c r="F842" s="175"/>
      <c r="G842" s="175"/>
      <c r="H842" s="175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168"/>
      <c r="AF842" s="50"/>
      <c r="AG842" s="50"/>
      <c r="AH842" s="50"/>
      <c r="AI842" s="50"/>
      <c r="AJ842" s="50"/>
      <c r="AK842" s="50"/>
      <c r="AL842" s="50"/>
      <c r="AM842" s="50"/>
      <c r="AN842" s="50"/>
      <c r="AO842" s="50"/>
      <c r="AP842" s="50"/>
      <c r="AQ842" s="50"/>
      <c r="AR842" s="50"/>
      <c r="AS842" s="50"/>
      <c r="AT842" s="50"/>
      <c r="AU842" s="50"/>
      <c r="AV842" s="50"/>
      <c r="AW842" s="50"/>
      <c r="AX842" s="50"/>
      <c r="AY842" s="50"/>
      <c r="AZ842" s="50"/>
      <c r="BA842" s="50"/>
      <c r="BB842" s="50"/>
      <c r="BC842" s="50"/>
      <c r="BD842" s="50"/>
      <c r="BE842" s="50"/>
      <c r="BF842" s="50"/>
      <c r="BG842" s="50"/>
      <c r="BH842" s="50"/>
      <c r="BI842" s="50"/>
      <c r="BJ842" s="50"/>
      <c r="BK842" s="50"/>
      <c r="BL842" s="50"/>
      <c r="BM842" s="50"/>
      <c r="BN842" s="50"/>
    </row>
    <row r="843">
      <c r="A843" s="50"/>
      <c r="B843" s="50"/>
      <c r="C843" s="50"/>
      <c r="D843" s="50"/>
      <c r="E843" s="158"/>
      <c r="F843" s="175"/>
      <c r="G843" s="175"/>
      <c r="H843" s="175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168"/>
      <c r="AF843" s="50"/>
      <c r="AG843" s="50"/>
      <c r="AH843" s="50"/>
      <c r="AI843" s="50"/>
      <c r="AJ843" s="50"/>
      <c r="AK843" s="50"/>
      <c r="AL843" s="50"/>
      <c r="AM843" s="50"/>
      <c r="AN843" s="50"/>
      <c r="AO843" s="50"/>
      <c r="AP843" s="50"/>
      <c r="AQ843" s="50"/>
      <c r="AR843" s="50"/>
      <c r="AS843" s="50"/>
      <c r="AT843" s="50"/>
      <c r="AU843" s="50"/>
      <c r="AV843" s="50"/>
      <c r="AW843" s="50"/>
      <c r="AX843" s="50"/>
      <c r="AY843" s="50"/>
      <c r="AZ843" s="50"/>
      <c r="BA843" s="50"/>
      <c r="BB843" s="50"/>
      <c r="BC843" s="50"/>
      <c r="BD843" s="50"/>
      <c r="BE843" s="50"/>
      <c r="BF843" s="50"/>
      <c r="BG843" s="50"/>
      <c r="BH843" s="50"/>
      <c r="BI843" s="50"/>
      <c r="BJ843" s="50"/>
      <c r="BK843" s="50"/>
      <c r="BL843" s="50"/>
      <c r="BM843" s="50"/>
      <c r="BN843" s="50"/>
    </row>
    <row r="844">
      <c r="A844" s="50"/>
      <c r="B844" s="50"/>
      <c r="C844" s="50"/>
      <c r="D844" s="50"/>
      <c r="E844" s="158"/>
      <c r="F844" s="175"/>
      <c r="G844" s="175"/>
      <c r="H844" s="175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168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0"/>
      <c r="BE844" s="50"/>
      <c r="BF844" s="50"/>
      <c r="BG844" s="50"/>
      <c r="BH844" s="50"/>
      <c r="BI844" s="50"/>
      <c r="BJ844" s="50"/>
      <c r="BK844" s="50"/>
      <c r="BL844" s="50"/>
      <c r="BM844" s="50"/>
      <c r="BN844" s="50"/>
    </row>
    <row r="845">
      <c r="A845" s="50"/>
      <c r="B845" s="50"/>
      <c r="C845" s="50"/>
      <c r="D845" s="50"/>
      <c r="E845" s="158"/>
      <c r="F845" s="175"/>
      <c r="G845" s="175"/>
      <c r="H845" s="175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168"/>
      <c r="AF845" s="50"/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0"/>
      <c r="BE845" s="50"/>
      <c r="BF845" s="50"/>
      <c r="BG845" s="50"/>
      <c r="BH845" s="50"/>
      <c r="BI845" s="50"/>
      <c r="BJ845" s="50"/>
      <c r="BK845" s="50"/>
      <c r="BL845" s="50"/>
      <c r="BM845" s="50"/>
      <c r="BN845" s="50"/>
    </row>
    <row r="846">
      <c r="A846" s="50"/>
      <c r="B846" s="50"/>
      <c r="C846" s="50"/>
      <c r="D846" s="50"/>
      <c r="E846" s="158"/>
      <c r="F846" s="175"/>
      <c r="G846" s="175"/>
      <c r="H846" s="175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168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50"/>
      <c r="BG846" s="50"/>
      <c r="BH846" s="50"/>
      <c r="BI846" s="50"/>
      <c r="BJ846" s="50"/>
      <c r="BK846" s="50"/>
      <c r="BL846" s="50"/>
      <c r="BM846" s="50"/>
      <c r="BN846" s="50"/>
    </row>
    <row r="847">
      <c r="A847" s="50"/>
      <c r="B847" s="50"/>
      <c r="C847" s="50"/>
      <c r="D847" s="50"/>
      <c r="E847" s="158"/>
      <c r="F847" s="175"/>
      <c r="G847" s="175"/>
      <c r="H847" s="175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168"/>
      <c r="AF847" s="50"/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0"/>
      <c r="BE847" s="50"/>
      <c r="BF847" s="50"/>
      <c r="BG847" s="50"/>
      <c r="BH847" s="50"/>
      <c r="BI847" s="50"/>
      <c r="BJ847" s="50"/>
      <c r="BK847" s="50"/>
      <c r="BL847" s="50"/>
      <c r="BM847" s="50"/>
      <c r="BN847" s="50"/>
    </row>
    <row r="848">
      <c r="A848" s="50"/>
      <c r="B848" s="50"/>
      <c r="C848" s="50"/>
      <c r="D848" s="50"/>
      <c r="E848" s="158"/>
      <c r="F848" s="175"/>
      <c r="G848" s="175"/>
      <c r="H848" s="175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168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0"/>
      <c r="BF848" s="50"/>
      <c r="BG848" s="50"/>
      <c r="BH848" s="50"/>
      <c r="BI848" s="50"/>
      <c r="BJ848" s="50"/>
      <c r="BK848" s="50"/>
      <c r="BL848" s="50"/>
      <c r="BM848" s="50"/>
      <c r="BN848" s="50"/>
    </row>
    <row r="849">
      <c r="A849" s="50"/>
      <c r="B849" s="50"/>
      <c r="C849" s="50"/>
      <c r="D849" s="50"/>
      <c r="E849" s="158"/>
      <c r="F849" s="175"/>
      <c r="G849" s="175"/>
      <c r="H849" s="175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168"/>
      <c r="AF849" s="50"/>
      <c r="AG849" s="50"/>
      <c r="AH849" s="50"/>
      <c r="AI849" s="50"/>
      <c r="AJ849" s="50"/>
      <c r="AK849" s="50"/>
      <c r="AL849" s="50"/>
      <c r="AM849" s="50"/>
      <c r="AN849" s="50"/>
      <c r="AO849" s="50"/>
      <c r="AP849" s="50"/>
      <c r="AQ849" s="50"/>
      <c r="AR849" s="50"/>
      <c r="AS849" s="50"/>
      <c r="AT849" s="50"/>
      <c r="AU849" s="50"/>
      <c r="AV849" s="50"/>
      <c r="AW849" s="50"/>
      <c r="AX849" s="50"/>
      <c r="AY849" s="50"/>
      <c r="AZ849" s="50"/>
      <c r="BA849" s="50"/>
      <c r="BB849" s="50"/>
      <c r="BC849" s="50"/>
      <c r="BD849" s="50"/>
      <c r="BE849" s="50"/>
      <c r="BF849" s="50"/>
      <c r="BG849" s="50"/>
      <c r="BH849" s="50"/>
      <c r="BI849" s="50"/>
      <c r="BJ849" s="50"/>
      <c r="BK849" s="50"/>
      <c r="BL849" s="50"/>
      <c r="BM849" s="50"/>
      <c r="BN849" s="50"/>
    </row>
    <row r="850">
      <c r="A850" s="50"/>
      <c r="B850" s="50"/>
      <c r="C850" s="50"/>
      <c r="D850" s="50"/>
      <c r="E850" s="158"/>
      <c r="F850" s="175"/>
      <c r="G850" s="175"/>
      <c r="H850" s="175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168"/>
      <c r="AF850" s="50"/>
      <c r="AG850" s="50"/>
      <c r="AH850" s="50"/>
      <c r="AI850" s="50"/>
      <c r="AJ850" s="50"/>
      <c r="AK850" s="50"/>
      <c r="AL850" s="50"/>
      <c r="AM850" s="50"/>
      <c r="AN850" s="50"/>
      <c r="AO850" s="50"/>
      <c r="AP850" s="50"/>
      <c r="AQ850" s="50"/>
      <c r="AR850" s="50"/>
      <c r="AS850" s="50"/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0"/>
      <c r="BE850" s="50"/>
      <c r="BF850" s="50"/>
      <c r="BG850" s="50"/>
      <c r="BH850" s="50"/>
      <c r="BI850" s="50"/>
      <c r="BJ850" s="50"/>
      <c r="BK850" s="50"/>
      <c r="BL850" s="50"/>
      <c r="BM850" s="50"/>
      <c r="BN850" s="50"/>
    </row>
    <row r="851">
      <c r="A851" s="50"/>
      <c r="B851" s="50"/>
      <c r="C851" s="50"/>
      <c r="D851" s="50"/>
      <c r="E851" s="158"/>
      <c r="F851" s="175"/>
      <c r="G851" s="175"/>
      <c r="H851" s="175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168"/>
      <c r="AF851" s="50"/>
      <c r="AG851" s="50"/>
      <c r="AH851" s="50"/>
      <c r="AI851" s="50"/>
      <c r="AJ851" s="50"/>
      <c r="AK851" s="50"/>
      <c r="AL851" s="50"/>
      <c r="AM851" s="50"/>
      <c r="AN851" s="50"/>
      <c r="AO851" s="50"/>
      <c r="AP851" s="50"/>
      <c r="AQ851" s="50"/>
      <c r="AR851" s="50"/>
      <c r="AS851" s="50"/>
      <c r="AT851" s="50"/>
      <c r="AU851" s="50"/>
      <c r="AV851" s="50"/>
      <c r="AW851" s="50"/>
      <c r="AX851" s="50"/>
      <c r="AY851" s="50"/>
      <c r="AZ851" s="50"/>
      <c r="BA851" s="50"/>
      <c r="BB851" s="50"/>
      <c r="BC851" s="50"/>
      <c r="BD851" s="50"/>
      <c r="BE851" s="50"/>
      <c r="BF851" s="50"/>
      <c r="BG851" s="50"/>
      <c r="BH851" s="50"/>
      <c r="BI851" s="50"/>
      <c r="BJ851" s="50"/>
      <c r="BK851" s="50"/>
      <c r="BL851" s="50"/>
      <c r="BM851" s="50"/>
      <c r="BN851" s="50"/>
    </row>
    <row r="852">
      <c r="A852" s="50"/>
      <c r="B852" s="50"/>
      <c r="C852" s="50"/>
      <c r="D852" s="50"/>
      <c r="E852" s="158"/>
      <c r="F852" s="175"/>
      <c r="G852" s="175"/>
      <c r="H852" s="175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168"/>
      <c r="AF852" s="50"/>
      <c r="AG852" s="50"/>
      <c r="AH852" s="50"/>
      <c r="AI852" s="50"/>
      <c r="AJ852" s="50"/>
      <c r="AK852" s="50"/>
      <c r="AL852" s="50"/>
      <c r="AM852" s="50"/>
      <c r="AN852" s="50"/>
      <c r="AO852" s="50"/>
      <c r="AP852" s="50"/>
      <c r="AQ852" s="50"/>
      <c r="AR852" s="50"/>
      <c r="AS852" s="50"/>
      <c r="AT852" s="50"/>
      <c r="AU852" s="50"/>
      <c r="AV852" s="50"/>
      <c r="AW852" s="50"/>
      <c r="AX852" s="50"/>
      <c r="AY852" s="50"/>
      <c r="AZ852" s="50"/>
      <c r="BA852" s="50"/>
      <c r="BB852" s="50"/>
      <c r="BC852" s="50"/>
      <c r="BD852" s="50"/>
      <c r="BE852" s="50"/>
      <c r="BF852" s="50"/>
      <c r="BG852" s="50"/>
      <c r="BH852" s="50"/>
      <c r="BI852" s="50"/>
      <c r="BJ852" s="50"/>
      <c r="BK852" s="50"/>
      <c r="BL852" s="50"/>
      <c r="BM852" s="50"/>
      <c r="BN852" s="50"/>
    </row>
    <row r="853">
      <c r="A853" s="50"/>
      <c r="B853" s="50"/>
      <c r="C853" s="50"/>
      <c r="D853" s="50"/>
      <c r="E853" s="158"/>
      <c r="F853" s="175"/>
      <c r="G853" s="175"/>
      <c r="H853" s="175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168"/>
      <c r="AF853" s="50"/>
      <c r="AG853" s="50"/>
      <c r="AH853" s="50"/>
      <c r="AI853" s="50"/>
      <c r="AJ853" s="50"/>
      <c r="AK853" s="50"/>
      <c r="AL853" s="50"/>
      <c r="AM853" s="50"/>
      <c r="AN853" s="50"/>
      <c r="AO853" s="50"/>
      <c r="AP853" s="50"/>
      <c r="AQ853" s="50"/>
      <c r="AR853" s="50"/>
      <c r="AS853" s="50"/>
      <c r="AT853" s="50"/>
      <c r="AU853" s="50"/>
      <c r="AV853" s="50"/>
      <c r="AW853" s="50"/>
      <c r="AX853" s="50"/>
      <c r="AY853" s="50"/>
      <c r="AZ853" s="50"/>
      <c r="BA853" s="50"/>
      <c r="BB853" s="50"/>
      <c r="BC853" s="50"/>
      <c r="BD853" s="50"/>
      <c r="BE853" s="50"/>
      <c r="BF853" s="50"/>
      <c r="BG853" s="50"/>
      <c r="BH853" s="50"/>
      <c r="BI853" s="50"/>
      <c r="BJ853" s="50"/>
      <c r="BK853" s="50"/>
      <c r="BL853" s="50"/>
      <c r="BM853" s="50"/>
      <c r="BN853" s="50"/>
    </row>
    <row r="854">
      <c r="A854" s="50"/>
      <c r="B854" s="50"/>
      <c r="C854" s="50"/>
      <c r="D854" s="50"/>
      <c r="E854" s="158"/>
      <c r="F854" s="175"/>
      <c r="G854" s="175"/>
      <c r="H854" s="175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168"/>
      <c r="AF854" s="50"/>
      <c r="AG854" s="50"/>
      <c r="AH854" s="50"/>
      <c r="AI854" s="50"/>
      <c r="AJ854" s="50"/>
      <c r="AK854" s="50"/>
      <c r="AL854" s="50"/>
      <c r="AM854" s="50"/>
      <c r="AN854" s="50"/>
      <c r="AO854" s="50"/>
      <c r="AP854" s="50"/>
      <c r="AQ854" s="50"/>
      <c r="AR854" s="50"/>
      <c r="AS854" s="50"/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0"/>
      <c r="BE854" s="50"/>
      <c r="BF854" s="50"/>
      <c r="BG854" s="50"/>
      <c r="BH854" s="50"/>
      <c r="BI854" s="50"/>
      <c r="BJ854" s="50"/>
      <c r="BK854" s="50"/>
      <c r="BL854" s="50"/>
      <c r="BM854" s="50"/>
      <c r="BN854" s="50"/>
    </row>
    <row r="855">
      <c r="A855" s="50"/>
      <c r="B855" s="50"/>
      <c r="C855" s="50"/>
      <c r="D855" s="50"/>
      <c r="E855" s="158"/>
      <c r="F855" s="175"/>
      <c r="G855" s="175"/>
      <c r="H855" s="175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168"/>
      <c r="AF855" s="50"/>
      <c r="AG855" s="50"/>
      <c r="AH855" s="50"/>
      <c r="AI855" s="50"/>
      <c r="AJ855" s="50"/>
      <c r="AK855" s="50"/>
      <c r="AL855" s="50"/>
      <c r="AM855" s="50"/>
      <c r="AN855" s="50"/>
      <c r="AO855" s="50"/>
      <c r="AP855" s="50"/>
      <c r="AQ855" s="50"/>
      <c r="AR855" s="50"/>
      <c r="AS855" s="50"/>
      <c r="AT855" s="50"/>
      <c r="AU855" s="50"/>
      <c r="AV855" s="50"/>
      <c r="AW855" s="50"/>
      <c r="AX855" s="50"/>
      <c r="AY855" s="50"/>
      <c r="AZ855" s="50"/>
      <c r="BA855" s="50"/>
      <c r="BB855" s="50"/>
      <c r="BC855" s="50"/>
      <c r="BD855" s="50"/>
      <c r="BE855" s="50"/>
      <c r="BF855" s="50"/>
      <c r="BG855" s="50"/>
      <c r="BH855" s="50"/>
      <c r="BI855" s="50"/>
      <c r="BJ855" s="50"/>
      <c r="BK855" s="50"/>
      <c r="BL855" s="50"/>
      <c r="BM855" s="50"/>
      <c r="BN855" s="50"/>
    </row>
    <row r="856">
      <c r="A856" s="50"/>
      <c r="B856" s="50"/>
      <c r="C856" s="50"/>
      <c r="D856" s="50"/>
      <c r="E856" s="158"/>
      <c r="F856" s="175"/>
      <c r="G856" s="175"/>
      <c r="H856" s="175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168"/>
      <c r="AF856" s="50"/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50"/>
      <c r="AR856" s="50"/>
      <c r="AS856" s="50"/>
      <c r="AT856" s="50"/>
      <c r="AU856" s="50"/>
      <c r="AV856" s="50"/>
      <c r="AW856" s="50"/>
      <c r="AX856" s="50"/>
      <c r="AY856" s="50"/>
      <c r="AZ856" s="50"/>
      <c r="BA856" s="50"/>
      <c r="BB856" s="50"/>
      <c r="BC856" s="50"/>
      <c r="BD856" s="50"/>
      <c r="BE856" s="50"/>
      <c r="BF856" s="50"/>
      <c r="BG856" s="50"/>
      <c r="BH856" s="50"/>
      <c r="BI856" s="50"/>
      <c r="BJ856" s="50"/>
      <c r="BK856" s="50"/>
      <c r="BL856" s="50"/>
      <c r="BM856" s="50"/>
      <c r="BN856" s="50"/>
    </row>
    <row r="857">
      <c r="A857" s="50"/>
      <c r="B857" s="50"/>
      <c r="C857" s="50"/>
      <c r="D857" s="50"/>
      <c r="E857" s="158"/>
      <c r="F857" s="175"/>
      <c r="G857" s="175"/>
      <c r="H857" s="175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168"/>
      <c r="AF857" s="50"/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50"/>
      <c r="AR857" s="50"/>
      <c r="AS857" s="50"/>
      <c r="AT857" s="50"/>
      <c r="AU857" s="50"/>
      <c r="AV857" s="50"/>
      <c r="AW857" s="50"/>
      <c r="AX857" s="50"/>
      <c r="AY857" s="50"/>
      <c r="AZ857" s="50"/>
      <c r="BA857" s="50"/>
      <c r="BB857" s="50"/>
      <c r="BC857" s="50"/>
      <c r="BD857" s="50"/>
      <c r="BE857" s="50"/>
      <c r="BF857" s="50"/>
      <c r="BG857" s="50"/>
      <c r="BH857" s="50"/>
      <c r="BI857" s="50"/>
      <c r="BJ857" s="50"/>
      <c r="BK857" s="50"/>
      <c r="BL857" s="50"/>
      <c r="BM857" s="50"/>
      <c r="BN857" s="50"/>
    </row>
    <row r="858">
      <c r="A858" s="50"/>
      <c r="B858" s="50"/>
      <c r="C858" s="50"/>
      <c r="D858" s="50"/>
      <c r="E858" s="158"/>
      <c r="F858" s="175"/>
      <c r="G858" s="175"/>
      <c r="H858" s="175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168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/>
      <c r="BE858" s="50"/>
      <c r="BF858" s="50"/>
      <c r="BG858" s="50"/>
      <c r="BH858" s="50"/>
      <c r="BI858" s="50"/>
      <c r="BJ858" s="50"/>
      <c r="BK858" s="50"/>
      <c r="BL858" s="50"/>
      <c r="BM858" s="50"/>
      <c r="BN858" s="50"/>
    </row>
    <row r="859">
      <c r="A859" s="50"/>
      <c r="B859" s="50"/>
      <c r="C859" s="50"/>
      <c r="D859" s="50"/>
      <c r="E859" s="158"/>
      <c r="F859" s="175"/>
      <c r="G859" s="175"/>
      <c r="H859" s="175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168"/>
      <c r="AF859" s="50"/>
      <c r="AG859" s="50"/>
      <c r="AH859" s="50"/>
      <c r="AI859" s="50"/>
      <c r="AJ859" s="50"/>
      <c r="AK859" s="50"/>
      <c r="AL859" s="50"/>
      <c r="AM859" s="50"/>
      <c r="AN859" s="50"/>
      <c r="AO859" s="50"/>
      <c r="AP859" s="50"/>
      <c r="AQ859" s="50"/>
      <c r="AR859" s="50"/>
      <c r="AS859" s="50"/>
      <c r="AT859" s="50"/>
      <c r="AU859" s="50"/>
      <c r="AV859" s="50"/>
      <c r="AW859" s="50"/>
      <c r="AX859" s="50"/>
      <c r="AY859" s="50"/>
      <c r="AZ859" s="50"/>
      <c r="BA859" s="50"/>
      <c r="BB859" s="50"/>
      <c r="BC859" s="50"/>
      <c r="BD859" s="50"/>
      <c r="BE859" s="50"/>
      <c r="BF859" s="50"/>
      <c r="BG859" s="50"/>
      <c r="BH859" s="50"/>
      <c r="BI859" s="50"/>
      <c r="BJ859" s="50"/>
      <c r="BK859" s="50"/>
      <c r="BL859" s="50"/>
      <c r="BM859" s="50"/>
      <c r="BN859" s="50"/>
    </row>
    <row r="860">
      <c r="A860" s="50"/>
      <c r="B860" s="50"/>
      <c r="C860" s="50"/>
      <c r="D860" s="50"/>
      <c r="E860" s="158"/>
      <c r="F860" s="175"/>
      <c r="G860" s="175"/>
      <c r="H860" s="175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168"/>
      <c r="AF860" s="50"/>
      <c r="AG860" s="50"/>
      <c r="AH860" s="50"/>
      <c r="AI860" s="50"/>
      <c r="AJ860" s="50"/>
      <c r="AK860" s="50"/>
      <c r="AL860" s="50"/>
      <c r="AM860" s="50"/>
      <c r="AN860" s="50"/>
      <c r="AO860" s="50"/>
      <c r="AP860" s="50"/>
      <c r="AQ860" s="50"/>
      <c r="AR860" s="50"/>
      <c r="AS860" s="50"/>
      <c r="AT860" s="50"/>
      <c r="AU860" s="50"/>
      <c r="AV860" s="50"/>
      <c r="AW860" s="50"/>
      <c r="AX860" s="50"/>
      <c r="AY860" s="50"/>
      <c r="AZ860" s="50"/>
      <c r="BA860" s="50"/>
      <c r="BB860" s="50"/>
      <c r="BC860" s="50"/>
      <c r="BD860" s="50"/>
      <c r="BE860" s="50"/>
      <c r="BF860" s="50"/>
      <c r="BG860" s="50"/>
      <c r="BH860" s="50"/>
      <c r="BI860" s="50"/>
      <c r="BJ860" s="50"/>
      <c r="BK860" s="50"/>
      <c r="BL860" s="50"/>
      <c r="BM860" s="50"/>
      <c r="BN860" s="50"/>
    </row>
    <row r="861">
      <c r="A861" s="50"/>
      <c r="B861" s="50"/>
      <c r="C861" s="50"/>
      <c r="D861" s="50"/>
      <c r="E861" s="158"/>
      <c r="F861" s="175"/>
      <c r="G861" s="175"/>
      <c r="H861" s="175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168"/>
      <c r="AF861" s="50"/>
      <c r="AG861" s="50"/>
      <c r="AH861" s="50"/>
      <c r="AI861" s="50"/>
      <c r="AJ861" s="50"/>
      <c r="AK861" s="50"/>
      <c r="AL861" s="50"/>
      <c r="AM861" s="50"/>
      <c r="AN861" s="50"/>
      <c r="AO861" s="50"/>
      <c r="AP861" s="50"/>
      <c r="AQ861" s="50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0"/>
      <c r="BE861" s="50"/>
      <c r="BF861" s="50"/>
      <c r="BG861" s="50"/>
      <c r="BH861" s="50"/>
      <c r="BI861" s="50"/>
      <c r="BJ861" s="50"/>
      <c r="BK861" s="50"/>
      <c r="BL861" s="50"/>
      <c r="BM861" s="50"/>
      <c r="BN861" s="50"/>
    </row>
    <row r="862">
      <c r="A862" s="50"/>
      <c r="B862" s="50"/>
      <c r="C862" s="50"/>
      <c r="D862" s="50"/>
      <c r="E862" s="158"/>
      <c r="F862" s="175"/>
      <c r="G862" s="175"/>
      <c r="H862" s="175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168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/>
      <c r="BE862" s="50"/>
      <c r="BF862" s="50"/>
      <c r="BG862" s="50"/>
      <c r="BH862" s="50"/>
      <c r="BI862" s="50"/>
      <c r="BJ862" s="50"/>
      <c r="BK862" s="50"/>
      <c r="BL862" s="50"/>
      <c r="BM862" s="50"/>
      <c r="BN862" s="50"/>
    </row>
    <row r="863">
      <c r="A863" s="50"/>
      <c r="B863" s="50"/>
      <c r="C863" s="50"/>
      <c r="D863" s="50"/>
      <c r="E863" s="158"/>
      <c r="F863" s="175"/>
      <c r="G863" s="175"/>
      <c r="H863" s="175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168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0"/>
      <c r="BE863" s="50"/>
      <c r="BF863" s="50"/>
      <c r="BG863" s="50"/>
      <c r="BH863" s="50"/>
      <c r="BI863" s="50"/>
      <c r="BJ863" s="50"/>
      <c r="BK863" s="50"/>
      <c r="BL863" s="50"/>
      <c r="BM863" s="50"/>
      <c r="BN863" s="50"/>
    </row>
    <row r="864">
      <c r="A864" s="50"/>
      <c r="B864" s="50"/>
      <c r="C864" s="50"/>
      <c r="D864" s="50"/>
      <c r="E864" s="158"/>
      <c r="F864" s="175"/>
      <c r="G864" s="175"/>
      <c r="H864" s="175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168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50"/>
      <c r="BG864" s="50"/>
      <c r="BH864" s="50"/>
      <c r="BI864" s="50"/>
      <c r="BJ864" s="50"/>
      <c r="BK864" s="50"/>
      <c r="BL864" s="50"/>
      <c r="BM864" s="50"/>
      <c r="BN864" s="50"/>
    </row>
    <row r="865">
      <c r="A865" s="50"/>
      <c r="B865" s="50"/>
      <c r="C865" s="50"/>
      <c r="D865" s="50"/>
      <c r="E865" s="158"/>
      <c r="F865" s="175"/>
      <c r="G865" s="175"/>
      <c r="H865" s="175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168"/>
      <c r="AF865" s="50"/>
      <c r="AG865" s="50"/>
      <c r="AH865" s="50"/>
      <c r="AI865" s="50"/>
      <c r="AJ865" s="50"/>
      <c r="AK865" s="50"/>
      <c r="AL865" s="50"/>
      <c r="AM865" s="50"/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  <c r="BL865" s="50"/>
      <c r="BM865" s="50"/>
      <c r="BN865" s="50"/>
    </row>
    <row r="866">
      <c r="A866" s="50"/>
      <c r="B866" s="50"/>
      <c r="C866" s="50"/>
      <c r="D866" s="50"/>
      <c r="E866" s="158"/>
      <c r="F866" s="175"/>
      <c r="G866" s="175"/>
      <c r="H866" s="175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168"/>
      <c r="AF866" s="50"/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0"/>
      <c r="BF866" s="50"/>
      <c r="BG866" s="50"/>
      <c r="BH866" s="50"/>
      <c r="BI866" s="50"/>
      <c r="BJ866" s="50"/>
      <c r="BK866" s="50"/>
      <c r="BL866" s="50"/>
      <c r="BM866" s="50"/>
      <c r="BN866" s="50"/>
    </row>
    <row r="867">
      <c r="A867" s="50"/>
      <c r="B867" s="50"/>
      <c r="C867" s="50"/>
      <c r="D867" s="50"/>
      <c r="E867" s="158"/>
      <c r="F867" s="175"/>
      <c r="G867" s="175"/>
      <c r="H867" s="175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168"/>
      <c r="AF867" s="50"/>
      <c r="AG867" s="50"/>
      <c r="AH867" s="50"/>
      <c r="AI867" s="50"/>
      <c r="AJ867" s="50"/>
      <c r="AK867" s="50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/>
      <c r="BE867" s="50"/>
      <c r="BF867" s="50"/>
      <c r="BG867" s="50"/>
      <c r="BH867" s="50"/>
      <c r="BI867" s="50"/>
      <c r="BJ867" s="50"/>
      <c r="BK867" s="50"/>
      <c r="BL867" s="50"/>
      <c r="BM867" s="50"/>
      <c r="BN867" s="50"/>
    </row>
    <row r="868">
      <c r="A868" s="50"/>
      <c r="B868" s="50"/>
      <c r="C868" s="50"/>
      <c r="D868" s="50"/>
      <c r="E868" s="158"/>
      <c r="F868" s="175"/>
      <c r="G868" s="175"/>
      <c r="H868" s="175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168"/>
      <c r="AF868" s="50"/>
      <c r="AG868" s="50"/>
      <c r="AH868" s="50"/>
      <c r="AI868" s="50"/>
      <c r="AJ868" s="50"/>
      <c r="AK868" s="50"/>
      <c r="AL868" s="50"/>
      <c r="AM868" s="50"/>
      <c r="AN868" s="50"/>
      <c r="AO868" s="50"/>
      <c r="AP868" s="50"/>
      <c r="AQ868" s="50"/>
      <c r="AR868" s="50"/>
      <c r="AS868" s="50"/>
      <c r="AT868" s="50"/>
      <c r="AU868" s="50"/>
      <c r="AV868" s="50"/>
      <c r="AW868" s="50"/>
      <c r="AX868" s="50"/>
      <c r="AY868" s="50"/>
      <c r="AZ868" s="50"/>
      <c r="BA868" s="50"/>
      <c r="BB868" s="50"/>
      <c r="BC868" s="50"/>
      <c r="BD868" s="50"/>
      <c r="BE868" s="50"/>
      <c r="BF868" s="50"/>
      <c r="BG868" s="50"/>
      <c r="BH868" s="50"/>
      <c r="BI868" s="50"/>
      <c r="BJ868" s="50"/>
      <c r="BK868" s="50"/>
      <c r="BL868" s="50"/>
      <c r="BM868" s="50"/>
      <c r="BN868" s="50"/>
    </row>
    <row r="869">
      <c r="A869" s="50"/>
      <c r="B869" s="50"/>
      <c r="C869" s="50"/>
      <c r="D869" s="50"/>
      <c r="E869" s="158"/>
      <c r="F869" s="175"/>
      <c r="G869" s="175"/>
      <c r="H869" s="175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168"/>
      <c r="AF869" s="50"/>
      <c r="AG869" s="50"/>
      <c r="AH869" s="50"/>
      <c r="AI869" s="50"/>
      <c r="AJ869" s="50"/>
      <c r="AK869" s="50"/>
      <c r="AL869" s="50"/>
      <c r="AM869" s="50"/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0"/>
      <c r="BE869" s="50"/>
      <c r="BF869" s="50"/>
      <c r="BG869" s="50"/>
      <c r="BH869" s="50"/>
      <c r="BI869" s="50"/>
      <c r="BJ869" s="50"/>
      <c r="BK869" s="50"/>
      <c r="BL869" s="50"/>
      <c r="BM869" s="50"/>
      <c r="BN869" s="50"/>
    </row>
    <row r="870">
      <c r="A870" s="50"/>
      <c r="B870" s="50"/>
      <c r="C870" s="50"/>
      <c r="D870" s="50"/>
      <c r="E870" s="158"/>
      <c r="F870" s="175"/>
      <c r="G870" s="175"/>
      <c r="H870" s="175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168"/>
      <c r="AF870" s="50"/>
      <c r="AG870" s="50"/>
      <c r="AH870" s="50"/>
      <c r="AI870" s="50"/>
      <c r="AJ870" s="50"/>
      <c r="AK870" s="50"/>
      <c r="AL870" s="50"/>
      <c r="AM870" s="50"/>
      <c r="AN870" s="50"/>
      <c r="AO870" s="50"/>
      <c r="AP870" s="50"/>
      <c r="AQ870" s="50"/>
      <c r="AR870" s="50"/>
      <c r="AS870" s="50"/>
      <c r="AT870" s="50"/>
      <c r="AU870" s="50"/>
      <c r="AV870" s="50"/>
      <c r="AW870" s="50"/>
      <c r="AX870" s="50"/>
      <c r="AY870" s="50"/>
      <c r="AZ870" s="50"/>
      <c r="BA870" s="50"/>
      <c r="BB870" s="50"/>
      <c r="BC870" s="50"/>
      <c r="BD870" s="50"/>
      <c r="BE870" s="50"/>
      <c r="BF870" s="50"/>
      <c r="BG870" s="50"/>
      <c r="BH870" s="50"/>
      <c r="BI870" s="50"/>
      <c r="BJ870" s="50"/>
      <c r="BK870" s="50"/>
      <c r="BL870" s="50"/>
      <c r="BM870" s="50"/>
      <c r="BN870" s="50"/>
    </row>
    <row r="871">
      <c r="A871" s="50"/>
      <c r="B871" s="50"/>
      <c r="C871" s="50"/>
      <c r="D871" s="50"/>
      <c r="E871" s="158"/>
      <c r="F871" s="175"/>
      <c r="G871" s="175"/>
      <c r="H871" s="175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168"/>
      <c r="AF871" s="50"/>
      <c r="AG871" s="50"/>
      <c r="AH871" s="50"/>
      <c r="AI871" s="50"/>
      <c r="AJ871" s="50"/>
      <c r="AK871" s="50"/>
      <c r="AL871" s="50"/>
      <c r="AM871" s="50"/>
      <c r="AN871" s="50"/>
      <c r="AO871" s="50"/>
      <c r="AP871" s="50"/>
      <c r="AQ871" s="50"/>
      <c r="AR871" s="50"/>
      <c r="AS871" s="50"/>
      <c r="AT871" s="50"/>
      <c r="AU871" s="50"/>
      <c r="AV871" s="50"/>
      <c r="AW871" s="50"/>
      <c r="AX871" s="50"/>
      <c r="AY871" s="50"/>
      <c r="AZ871" s="50"/>
      <c r="BA871" s="50"/>
      <c r="BB871" s="50"/>
      <c r="BC871" s="50"/>
      <c r="BD871" s="50"/>
      <c r="BE871" s="50"/>
      <c r="BF871" s="50"/>
      <c r="BG871" s="50"/>
      <c r="BH871" s="50"/>
      <c r="BI871" s="50"/>
      <c r="BJ871" s="50"/>
      <c r="BK871" s="50"/>
      <c r="BL871" s="50"/>
      <c r="BM871" s="50"/>
      <c r="BN871" s="50"/>
    </row>
    <row r="872">
      <c r="A872" s="50"/>
      <c r="B872" s="50"/>
      <c r="C872" s="50"/>
      <c r="D872" s="50"/>
      <c r="E872" s="158"/>
      <c r="F872" s="175"/>
      <c r="G872" s="175"/>
      <c r="H872" s="175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168"/>
      <c r="AF872" s="50"/>
      <c r="AG872" s="50"/>
      <c r="AH872" s="50"/>
      <c r="AI872" s="50"/>
      <c r="AJ872" s="50"/>
      <c r="AK872" s="50"/>
      <c r="AL872" s="50"/>
      <c r="AM872" s="50"/>
      <c r="AN872" s="50"/>
      <c r="AO872" s="50"/>
      <c r="AP872" s="50"/>
      <c r="AQ872" s="50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0"/>
      <c r="BE872" s="50"/>
      <c r="BF872" s="50"/>
      <c r="BG872" s="50"/>
      <c r="BH872" s="50"/>
      <c r="BI872" s="50"/>
      <c r="BJ872" s="50"/>
      <c r="BK872" s="50"/>
      <c r="BL872" s="50"/>
      <c r="BM872" s="50"/>
      <c r="BN872" s="50"/>
    </row>
    <row r="873">
      <c r="A873" s="50"/>
      <c r="B873" s="50"/>
      <c r="C873" s="50"/>
      <c r="D873" s="50"/>
      <c r="E873" s="158"/>
      <c r="F873" s="175"/>
      <c r="G873" s="175"/>
      <c r="H873" s="175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168"/>
      <c r="AF873" s="50"/>
      <c r="AG873" s="50"/>
      <c r="AH873" s="50"/>
      <c r="AI873" s="50"/>
      <c r="AJ873" s="50"/>
      <c r="AK873" s="50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  <c r="AV873" s="50"/>
      <c r="AW873" s="50"/>
      <c r="AX873" s="50"/>
      <c r="AY873" s="50"/>
      <c r="AZ873" s="50"/>
      <c r="BA873" s="50"/>
      <c r="BB873" s="50"/>
      <c r="BC873" s="50"/>
      <c r="BD873" s="50"/>
      <c r="BE873" s="50"/>
      <c r="BF873" s="50"/>
      <c r="BG873" s="50"/>
      <c r="BH873" s="50"/>
      <c r="BI873" s="50"/>
      <c r="BJ873" s="50"/>
      <c r="BK873" s="50"/>
      <c r="BL873" s="50"/>
      <c r="BM873" s="50"/>
      <c r="BN873" s="50"/>
    </row>
    <row r="874">
      <c r="A874" s="50"/>
      <c r="B874" s="50"/>
      <c r="C874" s="50"/>
      <c r="D874" s="50"/>
      <c r="E874" s="158"/>
      <c r="F874" s="175"/>
      <c r="G874" s="175"/>
      <c r="H874" s="175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168"/>
      <c r="AF874" s="50"/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0"/>
      <c r="BE874" s="50"/>
      <c r="BF874" s="50"/>
      <c r="BG874" s="50"/>
      <c r="BH874" s="50"/>
      <c r="BI874" s="50"/>
      <c r="BJ874" s="50"/>
      <c r="BK874" s="50"/>
      <c r="BL874" s="50"/>
      <c r="BM874" s="50"/>
      <c r="BN874" s="50"/>
    </row>
    <row r="875">
      <c r="A875" s="50"/>
      <c r="B875" s="50"/>
      <c r="C875" s="50"/>
      <c r="D875" s="50"/>
      <c r="E875" s="158"/>
      <c r="F875" s="175"/>
      <c r="G875" s="175"/>
      <c r="H875" s="175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168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0"/>
      <c r="BE875" s="50"/>
      <c r="BF875" s="50"/>
      <c r="BG875" s="50"/>
      <c r="BH875" s="50"/>
      <c r="BI875" s="50"/>
      <c r="BJ875" s="50"/>
      <c r="BK875" s="50"/>
      <c r="BL875" s="50"/>
      <c r="BM875" s="50"/>
      <c r="BN875" s="50"/>
    </row>
    <row r="876">
      <c r="A876" s="50"/>
      <c r="B876" s="50"/>
      <c r="C876" s="50"/>
      <c r="D876" s="50"/>
      <c r="E876" s="158"/>
      <c r="F876" s="175"/>
      <c r="G876" s="175"/>
      <c r="H876" s="175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168"/>
      <c r="AF876" s="50"/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50"/>
      <c r="AR876" s="50"/>
      <c r="AS876" s="50"/>
      <c r="AT876" s="50"/>
      <c r="AU876" s="50"/>
      <c r="AV876" s="50"/>
      <c r="AW876" s="50"/>
      <c r="AX876" s="50"/>
      <c r="AY876" s="50"/>
      <c r="AZ876" s="50"/>
      <c r="BA876" s="50"/>
      <c r="BB876" s="50"/>
      <c r="BC876" s="50"/>
      <c r="BD876" s="50"/>
      <c r="BE876" s="50"/>
      <c r="BF876" s="50"/>
      <c r="BG876" s="50"/>
      <c r="BH876" s="50"/>
      <c r="BI876" s="50"/>
      <c r="BJ876" s="50"/>
      <c r="BK876" s="50"/>
      <c r="BL876" s="50"/>
      <c r="BM876" s="50"/>
      <c r="BN876" s="50"/>
    </row>
    <row r="877">
      <c r="A877" s="50"/>
      <c r="B877" s="50"/>
      <c r="C877" s="50"/>
      <c r="D877" s="50"/>
      <c r="E877" s="158"/>
      <c r="F877" s="175"/>
      <c r="G877" s="175"/>
      <c r="H877" s="175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168"/>
      <c r="AF877" s="50"/>
      <c r="AG877" s="50"/>
      <c r="AH877" s="50"/>
      <c r="AI877" s="50"/>
      <c r="AJ877" s="50"/>
      <c r="AK877" s="50"/>
      <c r="AL877" s="50"/>
      <c r="AM877" s="50"/>
      <c r="AN877" s="50"/>
      <c r="AO877" s="50"/>
      <c r="AP877" s="50"/>
      <c r="AQ877" s="50"/>
      <c r="AR877" s="50"/>
      <c r="AS877" s="50"/>
      <c r="AT877" s="50"/>
      <c r="AU877" s="50"/>
      <c r="AV877" s="50"/>
      <c r="AW877" s="50"/>
      <c r="AX877" s="50"/>
      <c r="AY877" s="50"/>
      <c r="AZ877" s="50"/>
      <c r="BA877" s="50"/>
      <c r="BB877" s="50"/>
      <c r="BC877" s="50"/>
      <c r="BD877" s="50"/>
      <c r="BE877" s="50"/>
      <c r="BF877" s="50"/>
      <c r="BG877" s="50"/>
      <c r="BH877" s="50"/>
      <c r="BI877" s="50"/>
      <c r="BJ877" s="50"/>
      <c r="BK877" s="50"/>
      <c r="BL877" s="50"/>
      <c r="BM877" s="50"/>
      <c r="BN877" s="50"/>
    </row>
    <row r="878">
      <c r="A878" s="50"/>
      <c r="B878" s="50"/>
      <c r="C878" s="50"/>
      <c r="D878" s="50"/>
      <c r="E878" s="158"/>
      <c r="F878" s="175"/>
      <c r="G878" s="175"/>
      <c r="H878" s="175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168"/>
      <c r="AF878" s="50"/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0"/>
      <c r="BF878" s="50"/>
      <c r="BG878" s="50"/>
      <c r="BH878" s="50"/>
      <c r="BI878" s="50"/>
      <c r="BJ878" s="50"/>
      <c r="BK878" s="50"/>
      <c r="BL878" s="50"/>
      <c r="BM878" s="50"/>
      <c r="BN878" s="50"/>
    </row>
    <row r="879">
      <c r="A879" s="50"/>
      <c r="B879" s="50"/>
      <c r="C879" s="50"/>
      <c r="D879" s="50"/>
      <c r="E879" s="158"/>
      <c r="F879" s="175"/>
      <c r="G879" s="175"/>
      <c r="H879" s="175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168"/>
      <c r="AF879" s="50"/>
      <c r="AG879" s="50"/>
      <c r="AH879" s="50"/>
      <c r="AI879" s="50"/>
      <c r="AJ879" s="50"/>
      <c r="AK879" s="50"/>
      <c r="AL879" s="50"/>
      <c r="AM879" s="50"/>
      <c r="AN879" s="50"/>
      <c r="AO879" s="50"/>
      <c r="AP879" s="50"/>
      <c r="AQ879" s="50"/>
      <c r="AR879" s="50"/>
      <c r="AS879" s="50"/>
      <c r="AT879" s="50"/>
      <c r="AU879" s="50"/>
      <c r="AV879" s="50"/>
      <c r="AW879" s="50"/>
      <c r="AX879" s="50"/>
      <c r="AY879" s="50"/>
      <c r="AZ879" s="50"/>
      <c r="BA879" s="50"/>
      <c r="BB879" s="50"/>
      <c r="BC879" s="50"/>
      <c r="BD879" s="50"/>
      <c r="BE879" s="50"/>
      <c r="BF879" s="50"/>
      <c r="BG879" s="50"/>
      <c r="BH879" s="50"/>
      <c r="BI879" s="50"/>
      <c r="BJ879" s="50"/>
      <c r="BK879" s="50"/>
      <c r="BL879" s="50"/>
      <c r="BM879" s="50"/>
      <c r="BN879" s="50"/>
    </row>
    <row r="880">
      <c r="A880" s="50"/>
      <c r="B880" s="50"/>
      <c r="C880" s="50"/>
      <c r="D880" s="50"/>
      <c r="E880" s="158"/>
      <c r="F880" s="175"/>
      <c r="G880" s="175"/>
      <c r="H880" s="175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168"/>
      <c r="AF880" s="50"/>
      <c r="AG880" s="50"/>
      <c r="AH880" s="50"/>
      <c r="AI880" s="50"/>
      <c r="AJ880" s="50"/>
      <c r="AK880" s="50"/>
      <c r="AL880" s="50"/>
      <c r="AM880" s="50"/>
      <c r="AN880" s="50"/>
      <c r="AO880" s="50"/>
      <c r="AP880" s="50"/>
      <c r="AQ880" s="50"/>
      <c r="AR880" s="50"/>
      <c r="AS880" s="50"/>
      <c r="AT880" s="50"/>
      <c r="AU880" s="50"/>
      <c r="AV880" s="50"/>
      <c r="AW880" s="50"/>
      <c r="AX880" s="50"/>
      <c r="AY880" s="50"/>
      <c r="AZ880" s="50"/>
      <c r="BA880" s="50"/>
      <c r="BB880" s="50"/>
      <c r="BC880" s="50"/>
      <c r="BD880" s="50"/>
      <c r="BE880" s="50"/>
      <c r="BF880" s="50"/>
      <c r="BG880" s="50"/>
      <c r="BH880" s="50"/>
      <c r="BI880" s="50"/>
      <c r="BJ880" s="50"/>
      <c r="BK880" s="50"/>
      <c r="BL880" s="50"/>
      <c r="BM880" s="50"/>
      <c r="BN880" s="50"/>
    </row>
    <row r="881">
      <c r="A881" s="50"/>
      <c r="B881" s="50"/>
      <c r="C881" s="50"/>
      <c r="D881" s="50"/>
      <c r="E881" s="158"/>
      <c r="F881" s="175"/>
      <c r="G881" s="175"/>
      <c r="H881" s="175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168"/>
      <c r="AF881" s="50"/>
      <c r="AG881" s="50"/>
      <c r="AH881" s="50"/>
      <c r="AI881" s="50"/>
      <c r="AJ881" s="50"/>
      <c r="AK881" s="50"/>
      <c r="AL881" s="50"/>
      <c r="AM881" s="50"/>
      <c r="AN881" s="50"/>
      <c r="AO881" s="50"/>
      <c r="AP881" s="50"/>
      <c r="AQ881" s="50"/>
      <c r="AR881" s="50"/>
      <c r="AS881" s="50"/>
      <c r="AT881" s="50"/>
      <c r="AU881" s="50"/>
      <c r="AV881" s="50"/>
      <c r="AW881" s="50"/>
      <c r="AX881" s="50"/>
      <c r="AY881" s="50"/>
      <c r="AZ881" s="50"/>
      <c r="BA881" s="50"/>
      <c r="BB881" s="50"/>
      <c r="BC881" s="50"/>
      <c r="BD881" s="50"/>
      <c r="BE881" s="50"/>
      <c r="BF881" s="50"/>
      <c r="BG881" s="50"/>
      <c r="BH881" s="50"/>
      <c r="BI881" s="50"/>
      <c r="BJ881" s="50"/>
      <c r="BK881" s="50"/>
      <c r="BL881" s="50"/>
      <c r="BM881" s="50"/>
      <c r="BN881" s="50"/>
    </row>
    <row r="882">
      <c r="A882" s="50"/>
      <c r="B882" s="50"/>
      <c r="C882" s="50"/>
      <c r="D882" s="50"/>
      <c r="E882" s="158"/>
      <c r="F882" s="175"/>
      <c r="G882" s="175"/>
      <c r="H882" s="175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168"/>
      <c r="AF882" s="50"/>
      <c r="AG882" s="50"/>
      <c r="AH882" s="50"/>
      <c r="AI882" s="50"/>
      <c r="AJ882" s="50"/>
      <c r="AK882" s="50"/>
      <c r="AL882" s="50"/>
      <c r="AM882" s="50"/>
      <c r="AN882" s="50"/>
      <c r="AO882" s="50"/>
      <c r="AP882" s="50"/>
      <c r="AQ882" s="50"/>
      <c r="AR882" s="50"/>
      <c r="AS882" s="50"/>
      <c r="AT882" s="50"/>
      <c r="AU882" s="50"/>
      <c r="AV882" s="50"/>
      <c r="AW882" s="50"/>
      <c r="AX882" s="50"/>
      <c r="AY882" s="50"/>
      <c r="AZ882" s="50"/>
      <c r="BA882" s="50"/>
      <c r="BB882" s="50"/>
      <c r="BC882" s="50"/>
      <c r="BD882" s="50"/>
      <c r="BE882" s="50"/>
      <c r="BF882" s="50"/>
      <c r="BG882" s="50"/>
      <c r="BH882" s="50"/>
      <c r="BI882" s="50"/>
      <c r="BJ882" s="50"/>
      <c r="BK882" s="50"/>
      <c r="BL882" s="50"/>
      <c r="BM882" s="50"/>
      <c r="BN882" s="50"/>
    </row>
    <row r="883">
      <c r="A883" s="50"/>
      <c r="B883" s="50"/>
      <c r="C883" s="50"/>
      <c r="D883" s="50"/>
      <c r="E883" s="158"/>
      <c r="F883" s="175"/>
      <c r="G883" s="175"/>
      <c r="H883" s="175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168"/>
      <c r="AF883" s="50"/>
      <c r="AG883" s="50"/>
      <c r="AH883" s="50"/>
      <c r="AI883" s="50"/>
      <c r="AJ883" s="50"/>
      <c r="AK883" s="50"/>
      <c r="AL883" s="50"/>
      <c r="AM883" s="50"/>
      <c r="AN883" s="50"/>
      <c r="AO883" s="50"/>
      <c r="AP883" s="50"/>
      <c r="AQ883" s="50"/>
      <c r="AR883" s="50"/>
      <c r="AS883" s="50"/>
      <c r="AT883" s="50"/>
      <c r="AU883" s="50"/>
      <c r="AV883" s="50"/>
      <c r="AW883" s="50"/>
      <c r="AX883" s="50"/>
      <c r="AY883" s="50"/>
      <c r="AZ883" s="50"/>
      <c r="BA883" s="50"/>
      <c r="BB883" s="50"/>
      <c r="BC883" s="50"/>
      <c r="BD883" s="50"/>
      <c r="BE883" s="50"/>
      <c r="BF883" s="50"/>
      <c r="BG883" s="50"/>
      <c r="BH883" s="50"/>
      <c r="BI883" s="50"/>
      <c r="BJ883" s="50"/>
      <c r="BK883" s="50"/>
      <c r="BL883" s="50"/>
      <c r="BM883" s="50"/>
      <c r="BN883" s="50"/>
    </row>
    <row r="884">
      <c r="A884" s="50"/>
      <c r="B884" s="50"/>
      <c r="C884" s="50"/>
      <c r="D884" s="50"/>
      <c r="E884" s="158"/>
      <c r="F884" s="175"/>
      <c r="G884" s="175"/>
      <c r="H884" s="175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168"/>
      <c r="AF884" s="50"/>
      <c r="AG884" s="50"/>
      <c r="AH884" s="50"/>
      <c r="AI884" s="50"/>
      <c r="AJ884" s="50"/>
      <c r="AK884" s="50"/>
      <c r="AL884" s="50"/>
      <c r="AM884" s="50"/>
      <c r="AN884" s="50"/>
      <c r="AO884" s="50"/>
      <c r="AP884" s="50"/>
      <c r="AQ884" s="50"/>
      <c r="AR884" s="50"/>
      <c r="AS884" s="50"/>
      <c r="AT884" s="50"/>
      <c r="AU884" s="50"/>
      <c r="AV884" s="50"/>
      <c r="AW884" s="50"/>
      <c r="AX884" s="50"/>
      <c r="AY884" s="50"/>
      <c r="AZ884" s="50"/>
      <c r="BA884" s="50"/>
      <c r="BB884" s="50"/>
      <c r="BC884" s="50"/>
      <c r="BD884" s="50"/>
      <c r="BE884" s="50"/>
      <c r="BF884" s="50"/>
      <c r="BG884" s="50"/>
      <c r="BH884" s="50"/>
      <c r="BI884" s="50"/>
      <c r="BJ884" s="50"/>
      <c r="BK884" s="50"/>
      <c r="BL884" s="50"/>
      <c r="BM884" s="50"/>
      <c r="BN884" s="50"/>
    </row>
    <row r="885">
      <c r="A885" s="50"/>
      <c r="B885" s="50"/>
      <c r="C885" s="50"/>
      <c r="D885" s="50"/>
      <c r="E885" s="158"/>
      <c r="F885" s="175"/>
      <c r="G885" s="175"/>
      <c r="H885" s="175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168"/>
      <c r="AF885" s="50"/>
      <c r="AG885" s="50"/>
      <c r="AH885" s="50"/>
      <c r="AI885" s="50"/>
      <c r="AJ885" s="50"/>
      <c r="AK885" s="50"/>
      <c r="AL885" s="50"/>
      <c r="AM885" s="50"/>
      <c r="AN885" s="50"/>
      <c r="AO885" s="50"/>
      <c r="AP885" s="50"/>
      <c r="AQ885" s="50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0"/>
      <c r="BE885" s="50"/>
      <c r="BF885" s="50"/>
      <c r="BG885" s="50"/>
      <c r="BH885" s="50"/>
      <c r="BI885" s="50"/>
      <c r="BJ885" s="50"/>
      <c r="BK885" s="50"/>
      <c r="BL885" s="50"/>
      <c r="BM885" s="50"/>
      <c r="BN885" s="50"/>
    </row>
    <row r="886">
      <c r="A886" s="50"/>
      <c r="B886" s="50"/>
      <c r="C886" s="50"/>
      <c r="D886" s="50"/>
      <c r="E886" s="158"/>
      <c r="F886" s="175"/>
      <c r="G886" s="175"/>
      <c r="H886" s="175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168"/>
      <c r="AF886" s="50"/>
      <c r="AG886" s="50"/>
      <c r="AH886" s="50"/>
      <c r="AI886" s="50"/>
      <c r="AJ886" s="50"/>
      <c r="AK886" s="50"/>
      <c r="AL886" s="50"/>
      <c r="AM886" s="50"/>
      <c r="AN886" s="50"/>
      <c r="AO886" s="50"/>
      <c r="AP886" s="50"/>
      <c r="AQ886" s="50"/>
      <c r="AR886" s="50"/>
      <c r="AS886" s="50"/>
      <c r="AT886" s="50"/>
      <c r="AU886" s="50"/>
      <c r="AV886" s="50"/>
      <c r="AW886" s="50"/>
      <c r="AX886" s="50"/>
      <c r="AY886" s="50"/>
      <c r="AZ886" s="50"/>
      <c r="BA886" s="50"/>
      <c r="BB886" s="50"/>
      <c r="BC886" s="50"/>
      <c r="BD886" s="50"/>
      <c r="BE886" s="50"/>
      <c r="BF886" s="50"/>
      <c r="BG886" s="50"/>
      <c r="BH886" s="50"/>
      <c r="BI886" s="50"/>
      <c r="BJ886" s="50"/>
      <c r="BK886" s="50"/>
      <c r="BL886" s="50"/>
      <c r="BM886" s="50"/>
      <c r="BN886" s="50"/>
    </row>
    <row r="887">
      <c r="A887" s="50"/>
      <c r="B887" s="50"/>
      <c r="C887" s="50"/>
      <c r="D887" s="50"/>
      <c r="E887" s="158"/>
      <c r="F887" s="175"/>
      <c r="G887" s="175"/>
      <c r="H887" s="175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168"/>
      <c r="AF887" s="50"/>
      <c r="AG887" s="50"/>
      <c r="AH887" s="50"/>
      <c r="AI887" s="50"/>
      <c r="AJ887" s="50"/>
      <c r="AK887" s="50"/>
      <c r="AL887" s="50"/>
      <c r="AM887" s="50"/>
      <c r="AN887" s="50"/>
      <c r="AO887" s="50"/>
      <c r="AP887" s="50"/>
      <c r="AQ887" s="50"/>
      <c r="AR887" s="50"/>
      <c r="AS887" s="50"/>
      <c r="AT887" s="50"/>
      <c r="AU887" s="50"/>
      <c r="AV887" s="50"/>
      <c r="AW887" s="50"/>
      <c r="AX887" s="50"/>
      <c r="AY887" s="50"/>
      <c r="AZ887" s="50"/>
      <c r="BA887" s="50"/>
      <c r="BB887" s="50"/>
      <c r="BC887" s="50"/>
      <c r="BD887" s="50"/>
      <c r="BE887" s="50"/>
      <c r="BF887" s="50"/>
      <c r="BG887" s="50"/>
      <c r="BH887" s="50"/>
      <c r="BI887" s="50"/>
      <c r="BJ887" s="50"/>
      <c r="BK887" s="50"/>
      <c r="BL887" s="50"/>
      <c r="BM887" s="50"/>
      <c r="BN887" s="50"/>
    </row>
    <row r="888">
      <c r="A888" s="50"/>
      <c r="B888" s="50"/>
      <c r="C888" s="50"/>
      <c r="D888" s="50"/>
      <c r="E888" s="158"/>
      <c r="F888" s="175"/>
      <c r="G888" s="175"/>
      <c r="H888" s="175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168"/>
      <c r="AF888" s="50"/>
      <c r="AG888" s="50"/>
      <c r="AH888" s="50"/>
      <c r="AI888" s="50"/>
      <c r="AJ888" s="50"/>
      <c r="AK888" s="50"/>
      <c r="AL888" s="50"/>
      <c r="AM888" s="50"/>
      <c r="AN888" s="50"/>
      <c r="AO888" s="50"/>
      <c r="AP888" s="50"/>
      <c r="AQ888" s="50"/>
      <c r="AR888" s="50"/>
      <c r="AS888" s="50"/>
      <c r="AT888" s="50"/>
      <c r="AU888" s="50"/>
      <c r="AV888" s="50"/>
      <c r="AW888" s="50"/>
      <c r="AX888" s="50"/>
      <c r="AY888" s="50"/>
      <c r="AZ888" s="50"/>
      <c r="BA888" s="50"/>
      <c r="BB888" s="50"/>
      <c r="BC888" s="50"/>
      <c r="BD888" s="50"/>
      <c r="BE888" s="50"/>
      <c r="BF888" s="50"/>
      <c r="BG888" s="50"/>
      <c r="BH888" s="50"/>
      <c r="BI888" s="50"/>
      <c r="BJ888" s="50"/>
      <c r="BK888" s="50"/>
      <c r="BL888" s="50"/>
      <c r="BM888" s="50"/>
      <c r="BN888" s="50"/>
    </row>
    <row r="889">
      <c r="A889" s="50"/>
      <c r="B889" s="50"/>
      <c r="C889" s="50"/>
      <c r="D889" s="50"/>
      <c r="E889" s="158"/>
      <c r="F889" s="175"/>
      <c r="G889" s="175"/>
      <c r="H889" s="175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168"/>
      <c r="AF889" s="50"/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50"/>
      <c r="AR889" s="50"/>
      <c r="AS889" s="50"/>
      <c r="AT889" s="50"/>
      <c r="AU889" s="50"/>
      <c r="AV889" s="50"/>
      <c r="AW889" s="50"/>
      <c r="AX889" s="50"/>
      <c r="AY889" s="50"/>
      <c r="AZ889" s="50"/>
      <c r="BA889" s="50"/>
      <c r="BB889" s="50"/>
      <c r="BC889" s="50"/>
      <c r="BD889" s="50"/>
      <c r="BE889" s="50"/>
      <c r="BF889" s="50"/>
      <c r="BG889" s="50"/>
      <c r="BH889" s="50"/>
      <c r="BI889" s="50"/>
      <c r="BJ889" s="50"/>
      <c r="BK889" s="50"/>
      <c r="BL889" s="50"/>
      <c r="BM889" s="50"/>
      <c r="BN889" s="50"/>
    </row>
    <row r="890">
      <c r="A890" s="50"/>
      <c r="B890" s="50"/>
      <c r="C890" s="50"/>
      <c r="D890" s="50"/>
      <c r="E890" s="158"/>
      <c r="F890" s="175"/>
      <c r="G890" s="175"/>
      <c r="H890" s="175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168"/>
      <c r="AF890" s="50"/>
      <c r="AG890" s="50"/>
      <c r="AH890" s="50"/>
      <c r="AI890" s="50"/>
      <c r="AJ890" s="50"/>
      <c r="AK890" s="50"/>
      <c r="AL890" s="50"/>
      <c r="AM890" s="50"/>
      <c r="AN890" s="50"/>
      <c r="AO890" s="50"/>
      <c r="AP890" s="50"/>
      <c r="AQ890" s="50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/>
      <c r="BE890" s="50"/>
      <c r="BF890" s="50"/>
      <c r="BG890" s="50"/>
      <c r="BH890" s="50"/>
      <c r="BI890" s="50"/>
      <c r="BJ890" s="50"/>
      <c r="BK890" s="50"/>
      <c r="BL890" s="50"/>
      <c r="BM890" s="50"/>
      <c r="BN890" s="50"/>
    </row>
    <row r="891">
      <c r="A891" s="50"/>
      <c r="B891" s="50"/>
      <c r="C891" s="50"/>
      <c r="D891" s="50"/>
      <c r="E891" s="158"/>
      <c r="F891" s="175"/>
      <c r="G891" s="175"/>
      <c r="H891" s="175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168"/>
      <c r="AF891" s="50"/>
      <c r="AG891" s="50"/>
      <c r="AH891" s="50"/>
      <c r="AI891" s="50"/>
      <c r="AJ891" s="50"/>
      <c r="AK891" s="50"/>
      <c r="AL891" s="50"/>
      <c r="AM891" s="50"/>
      <c r="AN891" s="50"/>
      <c r="AO891" s="50"/>
      <c r="AP891" s="50"/>
      <c r="AQ891" s="50"/>
      <c r="AR891" s="50"/>
      <c r="AS891" s="50"/>
      <c r="AT891" s="50"/>
      <c r="AU891" s="50"/>
      <c r="AV891" s="50"/>
      <c r="AW891" s="50"/>
      <c r="AX891" s="50"/>
      <c r="AY891" s="50"/>
      <c r="AZ891" s="50"/>
      <c r="BA891" s="50"/>
      <c r="BB891" s="50"/>
      <c r="BC891" s="50"/>
      <c r="BD891" s="50"/>
      <c r="BE891" s="50"/>
      <c r="BF891" s="50"/>
      <c r="BG891" s="50"/>
      <c r="BH891" s="50"/>
      <c r="BI891" s="50"/>
      <c r="BJ891" s="50"/>
      <c r="BK891" s="50"/>
      <c r="BL891" s="50"/>
      <c r="BM891" s="50"/>
      <c r="BN891" s="50"/>
    </row>
    <row r="892">
      <c r="A892" s="50"/>
      <c r="B892" s="50"/>
      <c r="C892" s="50"/>
      <c r="D892" s="50"/>
      <c r="E892" s="158"/>
      <c r="F892" s="175"/>
      <c r="G892" s="175"/>
      <c r="H892" s="175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168"/>
      <c r="AF892" s="50"/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50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0"/>
      <c r="BE892" s="50"/>
      <c r="BF892" s="50"/>
      <c r="BG892" s="50"/>
      <c r="BH892" s="50"/>
      <c r="BI892" s="50"/>
      <c r="BJ892" s="50"/>
      <c r="BK892" s="50"/>
      <c r="BL892" s="50"/>
      <c r="BM892" s="50"/>
      <c r="BN892" s="50"/>
    </row>
    <row r="893">
      <c r="A893" s="50"/>
      <c r="B893" s="50"/>
      <c r="C893" s="50"/>
      <c r="D893" s="50"/>
      <c r="E893" s="158"/>
      <c r="F893" s="175"/>
      <c r="G893" s="175"/>
      <c r="H893" s="175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168"/>
      <c r="AF893" s="50"/>
      <c r="AG893" s="50"/>
      <c r="AH893" s="50"/>
      <c r="AI893" s="50"/>
      <c r="AJ893" s="50"/>
      <c r="AK893" s="50"/>
      <c r="AL893" s="50"/>
      <c r="AM893" s="50"/>
      <c r="AN893" s="50"/>
      <c r="AO893" s="50"/>
      <c r="AP893" s="50"/>
      <c r="AQ893" s="50"/>
      <c r="AR893" s="50"/>
      <c r="AS893" s="50"/>
      <c r="AT893" s="50"/>
      <c r="AU893" s="50"/>
      <c r="AV893" s="50"/>
      <c r="AW893" s="50"/>
      <c r="AX893" s="50"/>
      <c r="AY893" s="50"/>
      <c r="AZ893" s="50"/>
      <c r="BA893" s="50"/>
      <c r="BB893" s="50"/>
      <c r="BC893" s="50"/>
      <c r="BD893" s="50"/>
      <c r="BE893" s="50"/>
      <c r="BF893" s="50"/>
      <c r="BG893" s="50"/>
      <c r="BH893" s="50"/>
      <c r="BI893" s="50"/>
      <c r="BJ893" s="50"/>
      <c r="BK893" s="50"/>
      <c r="BL893" s="50"/>
      <c r="BM893" s="50"/>
      <c r="BN893" s="50"/>
    </row>
    <row r="894">
      <c r="A894" s="50"/>
      <c r="B894" s="50"/>
      <c r="C894" s="50"/>
      <c r="D894" s="50"/>
      <c r="E894" s="158"/>
      <c r="F894" s="175"/>
      <c r="G894" s="175"/>
      <c r="H894" s="175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168"/>
      <c r="AF894" s="50"/>
      <c r="AG894" s="50"/>
      <c r="AH894" s="50"/>
      <c r="AI894" s="50"/>
      <c r="AJ894" s="50"/>
      <c r="AK894" s="50"/>
      <c r="AL894" s="50"/>
      <c r="AM894" s="50"/>
      <c r="AN894" s="50"/>
      <c r="AO894" s="50"/>
      <c r="AP894" s="50"/>
      <c r="AQ894" s="50"/>
      <c r="AR894" s="50"/>
      <c r="AS894" s="50"/>
      <c r="AT894" s="50"/>
      <c r="AU894" s="50"/>
      <c r="AV894" s="50"/>
      <c r="AW894" s="50"/>
      <c r="AX894" s="50"/>
      <c r="AY894" s="50"/>
      <c r="AZ894" s="50"/>
      <c r="BA894" s="50"/>
      <c r="BB894" s="50"/>
      <c r="BC894" s="50"/>
      <c r="BD894" s="50"/>
      <c r="BE894" s="50"/>
      <c r="BF894" s="50"/>
      <c r="BG894" s="50"/>
      <c r="BH894" s="50"/>
      <c r="BI894" s="50"/>
      <c r="BJ894" s="50"/>
      <c r="BK894" s="50"/>
      <c r="BL894" s="50"/>
      <c r="BM894" s="50"/>
      <c r="BN894" s="50"/>
    </row>
    <row r="895">
      <c r="A895" s="50"/>
      <c r="B895" s="50"/>
      <c r="C895" s="50"/>
      <c r="D895" s="50"/>
      <c r="E895" s="158"/>
      <c r="F895" s="175"/>
      <c r="G895" s="175"/>
      <c r="H895" s="175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168"/>
      <c r="AF895" s="50"/>
      <c r="AG895" s="50"/>
      <c r="AH895" s="50"/>
      <c r="AI895" s="50"/>
      <c r="AJ895" s="50"/>
      <c r="AK895" s="50"/>
      <c r="AL895" s="50"/>
      <c r="AM895" s="50"/>
      <c r="AN895" s="50"/>
      <c r="AO895" s="50"/>
      <c r="AP895" s="50"/>
      <c r="AQ895" s="50"/>
      <c r="AR895" s="50"/>
      <c r="AS895" s="50"/>
      <c r="AT895" s="50"/>
      <c r="AU895" s="50"/>
      <c r="AV895" s="50"/>
      <c r="AW895" s="50"/>
      <c r="AX895" s="50"/>
      <c r="AY895" s="50"/>
      <c r="AZ895" s="50"/>
      <c r="BA895" s="50"/>
      <c r="BB895" s="50"/>
      <c r="BC895" s="50"/>
      <c r="BD895" s="50"/>
      <c r="BE895" s="50"/>
      <c r="BF895" s="50"/>
      <c r="BG895" s="50"/>
      <c r="BH895" s="50"/>
      <c r="BI895" s="50"/>
      <c r="BJ895" s="50"/>
      <c r="BK895" s="50"/>
      <c r="BL895" s="50"/>
      <c r="BM895" s="50"/>
      <c r="BN895" s="50"/>
    </row>
    <row r="896">
      <c r="A896" s="50"/>
      <c r="B896" s="50"/>
      <c r="C896" s="50"/>
      <c r="D896" s="50"/>
      <c r="E896" s="158"/>
      <c r="F896" s="175"/>
      <c r="G896" s="175"/>
      <c r="H896" s="175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168"/>
      <c r="AF896" s="50"/>
      <c r="AG896" s="50"/>
      <c r="AH896" s="50"/>
      <c r="AI896" s="50"/>
      <c r="AJ896" s="50"/>
      <c r="AK896" s="50"/>
      <c r="AL896" s="50"/>
      <c r="AM896" s="50"/>
      <c r="AN896" s="50"/>
      <c r="AO896" s="50"/>
      <c r="AP896" s="50"/>
      <c r="AQ896" s="50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0"/>
      <c r="BE896" s="50"/>
      <c r="BF896" s="50"/>
      <c r="BG896" s="50"/>
      <c r="BH896" s="50"/>
      <c r="BI896" s="50"/>
      <c r="BJ896" s="50"/>
      <c r="BK896" s="50"/>
      <c r="BL896" s="50"/>
      <c r="BM896" s="50"/>
      <c r="BN896" s="50"/>
    </row>
    <row r="897">
      <c r="A897" s="50"/>
      <c r="B897" s="50"/>
      <c r="C897" s="50"/>
      <c r="D897" s="50"/>
      <c r="E897" s="158"/>
      <c r="F897" s="175"/>
      <c r="G897" s="175"/>
      <c r="H897" s="175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168"/>
      <c r="AF897" s="50"/>
      <c r="AG897" s="50"/>
      <c r="AH897" s="50"/>
      <c r="AI897" s="50"/>
      <c r="AJ897" s="50"/>
      <c r="AK897" s="50"/>
      <c r="AL897" s="50"/>
      <c r="AM897" s="50"/>
      <c r="AN897" s="50"/>
      <c r="AO897" s="50"/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/>
      <c r="BE897" s="50"/>
      <c r="BF897" s="50"/>
      <c r="BG897" s="50"/>
      <c r="BH897" s="50"/>
      <c r="BI897" s="50"/>
      <c r="BJ897" s="50"/>
      <c r="BK897" s="50"/>
      <c r="BL897" s="50"/>
      <c r="BM897" s="50"/>
      <c r="BN897" s="50"/>
    </row>
    <row r="898">
      <c r="A898" s="50"/>
      <c r="B898" s="50"/>
      <c r="C898" s="50"/>
      <c r="D898" s="50"/>
      <c r="E898" s="158"/>
      <c r="F898" s="175"/>
      <c r="G898" s="175"/>
      <c r="H898" s="175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168"/>
      <c r="AF898" s="50"/>
      <c r="AG898" s="50"/>
      <c r="AH898" s="50"/>
      <c r="AI898" s="50"/>
      <c r="AJ898" s="50"/>
      <c r="AK898" s="50"/>
      <c r="AL898" s="50"/>
      <c r="AM898" s="50"/>
      <c r="AN898" s="50"/>
      <c r="AO898" s="50"/>
      <c r="AP898" s="50"/>
      <c r="AQ898" s="50"/>
      <c r="AR898" s="50"/>
      <c r="AS898" s="50"/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0"/>
      <c r="BE898" s="50"/>
      <c r="BF898" s="50"/>
      <c r="BG898" s="50"/>
      <c r="BH898" s="50"/>
      <c r="BI898" s="50"/>
      <c r="BJ898" s="50"/>
      <c r="BK898" s="50"/>
      <c r="BL898" s="50"/>
      <c r="BM898" s="50"/>
      <c r="BN898" s="50"/>
    </row>
    <row r="899">
      <c r="A899" s="50"/>
      <c r="B899" s="50"/>
      <c r="C899" s="50"/>
      <c r="D899" s="50"/>
      <c r="E899" s="158"/>
      <c r="F899" s="175"/>
      <c r="G899" s="175"/>
      <c r="H899" s="175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168"/>
      <c r="AF899" s="50"/>
      <c r="AG899" s="50"/>
      <c r="AH899" s="50"/>
      <c r="AI899" s="50"/>
      <c r="AJ899" s="50"/>
      <c r="AK899" s="50"/>
      <c r="AL899" s="50"/>
      <c r="AM899" s="50"/>
      <c r="AN899" s="50"/>
      <c r="AO899" s="50"/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/>
      <c r="BE899" s="50"/>
      <c r="BF899" s="50"/>
      <c r="BG899" s="50"/>
      <c r="BH899" s="50"/>
      <c r="BI899" s="50"/>
      <c r="BJ899" s="50"/>
      <c r="BK899" s="50"/>
      <c r="BL899" s="50"/>
      <c r="BM899" s="50"/>
      <c r="BN899" s="50"/>
    </row>
    <row r="900">
      <c r="A900" s="50"/>
      <c r="B900" s="50"/>
      <c r="C900" s="50"/>
      <c r="D900" s="50"/>
      <c r="E900" s="158"/>
      <c r="F900" s="175"/>
      <c r="G900" s="175"/>
      <c r="H900" s="175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168"/>
      <c r="AF900" s="50"/>
      <c r="AG900" s="50"/>
      <c r="AH900" s="50"/>
      <c r="AI900" s="50"/>
      <c r="AJ900" s="50"/>
      <c r="AK900" s="50"/>
      <c r="AL900" s="50"/>
      <c r="AM900" s="50"/>
      <c r="AN900" s="50"/>
      <c r="AO900" s="50"/>
      <c r="AP900" s="50"/>
      <c r="AQ900" s="50"/>
      <c r="AR900" s="50"/>
      <c r="AS900" s="50"/>
      <c r="AT900" s="50"/>
      <c r="AU900" s="50"/>
      <c r="AV900" s="50"/>
      <c r="AW900" s="50"/>
      <c r="AX900" s="50"/>
      <c r="AY900" s="50"/>
      <c r="AZ900" s="50"/>
      <c r="BA900" s="50"/>
      <c r="BB900" s="50"/>
      <c r="BC900" s="50"/>
      <c r="BD900" s="50"/>
      <c r="BE900" s="50"/>
      <c r="BF900" s="50"/>
      <c r="BG900" s="50"/>
      <c r="BH900" s="50"/>
      <c r="BI900" s="50"/>
      <c r="BJ900" s="50"/>
      <c r="BK900" s="50"/>
      <c r="BL900" s="50"/>
      <c r="BM900" s="50"/>
      <c r="BN900" s="50"/>
    </row>
    <row r="901">
      <c r="A901" s="50"/>
      <c r="B901" s="50"/>
      <c r="C901" s="50"/>
      <c r="D901" s="50"/>
      <c r="E901" s="158"/>
      <c r="F901" s="175"/>
      <c r="G901" s="175"/>
      <c r="H901" s="175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168"/>
      <c r="AF901" s="50"/>
      <c r="AG901" s="50"/>
      <c r="AH901" s="50"/>
      <c r="AI901" s="50"/>
      <c r="AJ901" s="50"/>
      <c r="AK901" s="50"/>
      <c r="AL901" s="50"/>
      <c r="AM901" s="50"/>
      <c r="AN901" s="50"/>
      <c r="AO901" s="50"/>
      <c r="AP901" s="50"/>
      <c r="AQ901" s="50"/>
      <c r="AR901" s="50"/>
      <c r="AS901" s="50"/>
      <c r="AT901" s="50"/>
      <c r="AU901" s="50"/>
      <c r="AV901" s="50"/>
      <c r="AW901" s="50"/>
      <c r="AX901" s="50"/>
      <c r="AY901" s="50"/>
      <c r="AZ901" s="50"/>
      <c r="BA901" s="50"/>
      <c r="BB901" s="50"/>
      <c r="BC901" s="50"/>
      <c r="BD901" s="50"/>
      <c r="BE901" s="50"/>
      <c r="BF901" s="50"/>
      <c r="BG901" s="50"/>
      <c r="BH901" s="50"/>
      <c r="BI901" s="50"/>
      <c r="BJ901" s="50"/>
      <c r="BK901" s="50"/>
      <c r="BL901" s="50"/>
      <c r="BM901" s="50"/>
      <c r="BN901" s="50"/>
    </row>
    <row r="902">
      <c r="A902" s="50"/>
      <c r="B902" s="50"/>
      <c r="C902" s="50"/>
      <c r="D902" s="50"/>
      <c r="E902" s="158"/>
      <c r="F902" s="175"/>
      <c r="G902" s="175"/>
      <c r="H902" s="175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168"/>
      <c r="AF902" s="50"/>
      <c r="AG902" s="50"/>
      <c r="AH902" s="50"/>
      <c r="AI902" s="50"/>
      <c r="AJ902" s="50"/>
      <c r="AK902" s="50"/>
      <c r="AL902" s="50"/>
      <c r="AM902" s="50"/>
      <c r="AN902" s="50"/>
      <c r="AO902" s="50"/>
      <c r="AP902" s="50"/>
      <c r="AQ902" s="50"/>
      <c r="AR902" s="50"/>
      <c r="AS902" s="50"/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0"/>
      <c r="BE902" s="50"/>
      <c r="BF902" s="50"/>
      <c r="BG902" s="50"/>
      <c r="BH902" s="50"/>
      <c r="BI902" s="50"/>
      <c r="BJ902" s="50"/>
      <c r="BK902" s="50"/>
      <c r="BL902" s="50"/>
      <c r="BM902" s="50"/>
      <c r="BN902" s="50"/>
    </row>
    <row r="903">
      <c r="A903" s="50"/>
      <c r="B903" s="50"/>
      <c r="C903" s="50"/>
      <c r="D903" s="50"/>
      <c r="E903" s="158"/>
      <c r="F903" s="175"/>
      <c r="G903" s="175"/>
      <c r="H903" s="175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168"/>
      <c r="AF903" s="50"/>
      <c r="AG903" s="50"/>
      <c r="AH903" s="50"/>
      <c r="AI903" s="50"/>
      <c r="AJ903" s="50"/>
      <c r="AK903" s="50"/>
      <c r="AL903" s="50"/>
      <c r="AM903" s="50"/>
      <c r="AN903" s="50"/>
      <c r="AO903" s="50"/>
      <c r="AP903" s="50"/>
      <c r="AQ903" s="50"/>
      <c r="AR903" s="50"/>
      <c r="AS903" s="50"/>
      <c r="AT903" s="50"/>
      <c r="AU903" s="50"/>
      <c r="AV903" s="50"/>
      <c r="AW903" s="50"/>
      <c r="AX903" s="50"/>
      <c r="AY903" s="50"/>
      <c r="AZ903" s="50"/>
      <c r="BA903" s="50"/>
      <c r="BB903" s="50"/>
      <c r="BC903" s="50"/>
      <c r="BD903" s="50"/>
      <c r="BE903" s="50"/>
      <c r="BF903" s="50"/>
      <c r="BG903" s="50"/>
      <c r="BH903" s="50"/>
      <c r="BI903" s="50"/>
      <c r="BJ903" s="50"/>
      <c r="BK903" s="50"/>
      <c r="BL903" s="50"/>
      <c r="BM903" s="50"/>
      <c r="BN903" s="50"/>
    </row>
    <row r="904">
      <c r="A904" s="50"/>
      <c r="B904" s="50"/>
      <c r="C904" s="50"/>
      <c r="D904" s="50"/>
      <c r="E904" s="158"/>
      <c r="F904" s="175"/>
      <c r="G904" s="175"/>
      <c r="H904" s="175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168"/>
      <c r="AF904" s="50"/>
      <c r="AG904" s="50"/>
      <c r="AH904" s="50"/>
      <c r="AI904" s="50"/>
      <c r="AJ904" s="50"/>
      <c r="AK904" s="50"/>
      <c r="AL904" s="50"/>
      <c r="AM904" s="50"/>
      <c r="AN904" s="50"/>
      <c r="AO904" s="50"/>
      <c r="AP904" s="50"/>
      <c r="AQ904" s="50"/>
      <c r="AR904" s="50"/>
      <c r="AS904" s="50"/>
      <c r="AT904" s="50"/>
      <c r="AU904" s="50"/>
      <c r="AV904" s="50"/>
      <c r="AW904" s="50"/>
      <c r="AX904" s="50"/>
      <c r="AY904" s="50"/>
      <c r="AZ904" s="50"/>
      <c r="BA904" s="50"/>
      <c r="BB904" s="50"/>
      <c r="BC904" s="50"/>
      <c r="BD904" s="50"/>
      <c r="BE904" s="50"/>
      <c r="BF904" s="50"/>
      <c r="BG904" s="50"/>
      <c r="BH904" s="50"/>
      <c r="BI904" s="50"/>
      <c r="BJ904" s="50"/>
      <c r="BK904" s="50"/>
      <c r="BL904" s="50"/>
      <c r="BM904" s="50"/>
      <c r="BN904" s="50"/>
    </row>
    <row r="905">
      <c r="A905" s="50"/>
      <c r="B905" s="50"/>
      <c r="C905" s="50"/>
      <c r="D905" s="50"/>
      <c r="E905" s="158"/>
      <c r="F905" s="175"/>
      <c r="G905" s="175"/>
      <c r="H905" s="175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168"/>
      <c r="AF905" s="50"/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/>
      <c r="BE905" s="50"/>
      <c r="BF905" s="50"/>
      <c r="BG905" s="50"/>
      <c r="BH905" s="50"/>
      <c r="BI905" s="50"/>
      <c r="BJ905" s="50"/>
      <c r="BK905" s="50"/>
      <c r="BL905" s="50"/>
      <c r="BM905" s="50"/>
      <c r="BN905" s="50"/>
    </row>
    <row r="906">
      <c r="A906" s="50"/>
      <c r="B906" s="50"/>
      <c r="C906" s="50"/>
      <c r="D906" s="50"/>
      <c r="E906" s="158"/>
      <c r="F906" s="175"/>
      <c r="G906" s="175"/>
      <c r="H906" s="175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168"/>
      <c r="AF906" s="50"/>
      <c r="AG906" s="50"/>
      <c r="AH906" s="50"/>
      <c r="AI906" s="50"/>
      <c r="AJ906" s="50"/>
      <c r="AK906" s="50"/>
      <c r="AL906" s="50"/>
      <c r="AM906" s="50"/>
      <c r="AN906" s="50"/>
      <c r="AO906" s="50"/>
      <c r="AP906" s="50"/>
      <c r="AQ906" s="50"/>
      <c r="AR906" s="50"/>
      <c r="AS906" s="50"/>
      <c r="AT906" s="50"/>
      <c r="AU906" s="50"/>
      <c r="AV906" s="50"/>
      <c r="AW906" s="50"/>
      <c r="AX906" s="50"/>
      <c r="AY906" s="50"/>
      <c r="AZ906" s="50"/>
      <c r="BA906" s="50"/>
      <c r="BB906" s="50"/>
      <c r="BC906" s="50"/>
      <c r="BD906" s="50"/>
      <c r="BE906" s="50"/>
      <c r="BF906" s="50"/>
      <c r="BG906" s="50"/>
      <c r="BH906" s="50"/>
      <c r="BI906" s="50"/>
      <c r="BJ906" s="50"/>
      <c r="BK906" s="50"/>
      <c r="BL906" s="50"/>
      <c r="BM906" s="50"/>
      <c r="BN906" s="50"/>
    </row>
    <row r="907">
      <c r="A907" s="50"/>
      <c r="B907" s="50"/>
      <c r="C907" s="50"/>
      <c r="D907" s="50"/>
      <c r="E907" s="158"/>
      <c r="F907" s="175"/>
      <c r="G907" s="175"/>
      <c r="H907" s="175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168"/>
      <c r="AF907" s="50"/>
      <c r="AG907" s="50"/>
      <c r="AH907" s="50"/>
      <c r="AI907" s="50"/>
      <c r="AJ907" s="50"/>
      <c r="AK907" s="50"/>
      <c r="AL907" s="50"/>
      <c r="AM907" s="50"/>
      <c r="AN907" s="50"/>
      <c r="AO907" s="50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/>
      <c r="BB907" s="50"/>
      <c r="BC907" s="50"/>
      <c r="BD907" s="50"/>
      <c r="BE907" s="50"/>
      <c r="BF907" s="50"/>
      <c r="BG907" s="50"/>
      <c r="BH907" s="50"/>
      <c r="BI907" s="50"/>
      <c r="BJ907" s="50"/>
      <c r="BK907" s="50"/>
      <c r="BL907" s="50"/>
      <c r="BM907" s="50"/>
      <c r="BN907" s="50"/>
    </row>
    <row r="908">
      <c r="A908" s="50"/>
      <c r="B908" s="50"/>
      <c r="C908" s="50"/>
      <c r="D908" s="50"/>
      <c r="E908" s="158"/>
      <c r="F908" s="175"/>
      <c r="G908" s="175"/>
      <c r="H908" s="175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168"/>
      <c r="AF908" s="50"/>
      <c r="AG908" s="50"/>
      <c r="AH908" s="50"/>
      <c r="AI908" s="50"/>
      <c r="AJ908" s="50"/>
      <c r="AK908" s="50"/>
      <c r="AL908" s="50"/>
      <c r="AM908" s="50"/>
      <c r="AN908" s="50"/>
      <c r="AO908" s="50"/>
      <c r="AP908" s="50"/>
      <c r="AQ908" s="50"/>
      <c r="AR908" s="50"/>
      <c r="AS908" s="50"/>
      <c r="AT908" s="50"/>
      <c r="AU908" s="50"/>
      <c r="AV908" s="50"/>
      <c r="AW908" s="50"/>
      <c r="AX908" s="50"/>
      <c r="AY908" s="50"/>
      <c r="AZ908" s="50"/>
      <c r="BA908" s="50"/>
      <c r="BB908" s="50"/>
      <c r="BC908" s="50"/>
      <c r="BD908" s="50"/>
      <c r="BE908" s="50"/>
      <c r="BF908" s="50"/>
      <c r="BG908" s="50"/>
      <c r="BH908" s="50"/>
      <c r="BI908" s="50"/>
      <c r="BJ908" s="50"/>
      <c r="BK908" s="50"/>
      <c r="BL908" s="50"/>
      <c r="BM908" s="50"/>
      <c r="BN908" s="50"/>
    </row>
    <row r="909">
      <c r="A909" s="50"/>
      <c r="B909" s="50"/>
      <c r="C909" s="50"/>
      <c r="D909" s="50"/>
      <c r="E909" s="158"/>
      <c r="F909" s="175"/>
      <c r="G909" s="175"/>
      <c r="H909" s="175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168"/>
      <c r="AF909" s="50"/>
      <c r="AG909" s="50"/>
      <c r="AH909" s="50"/>
      <c r="AI909" s="50"/>
      <c r="AJ909" s="50"/>
      <c r="AK909" s="50"/>
      <c r="AL909" s="50"/>
      <c r="AM909" s="50"/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/>
      <c r="BB909" s="50"/>
      <c r="BC909" s="50"/>
      <c r="BD909" s="50"/>
      <c r="BE909" s="50"/>
      <c r="BF909" s="50"/>
      <c r="BG909" s="50"/>
      <c r="BH909" s="50"/>
      <c r="BI909" s="50"/>
      <c r="BJ909" s="50"/>
      <c r="BK909" s="50"/>
      <c r="BL909" s="50"/>
      <c r="BM909" s="50"/>
      <c r="BN909" s="50"/>
    </row>
    <row r="910">
      <c r="A910" s="50"/>
      <c r="B910" s="50"/>
      <c r="C910" s="50"/>
      <c r="D910" s="50"/>
      <c r="E910" s="158"/>
      <c r="F910" s="175"/>
      <c r="G910" s="175"/>
      <c r="H910" s="175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168"/>
      <c r="AF910" s="50"/>
      <c r="AG910" s="50"/>
      <c r="AH910" s="50"/>
      <c r="AI910" s="50"/>
      <c r="AJ910" s="50"/>
      <c r="AK910" s="50"/>
      <c r="AL910" s="50"/>
      <c r="AM910" s="50"/>
      <c r="AN910" s="50"/>
      <c r="AO910" s="50"/>
      <c r="AP910" s="50"/>
      <c r="AQ910" s="50"/>
      <c r="AR910" s="50"/>
      <c r="AS910" s="50"/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0"/>
      <c r="BE910" s="50"/>
      <c r="BF910" s="50"/>
      <c r="BG910" s="50"/>
      <c r="BH910" s="50"/>
      <c r="BI910" s="50"/>
      <c r="BJ910" s="50"/>
      <c r="BK910" s="50"/>
      <c r="BL910" s="50"/>
      <c r="BM910" s="50"/>
      <c r="BN910" s="50"/>
    </row>
    <row r="911">
      <c r="A911" s="50"/>
      <c r="B911" s="50"/>
      <c r="C911" s="50"/>
      <c r="D911" s="50"/>
      <c r="E911" s="158"/>
      <c r="F911" s="175"/>
      <c r="G911" s="175"/>
      <c r="H911" s="175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168"/>
      <c r="AF911" s="50"/>
      <c r="AG911" s="50"/>
      <c r="AH911" s="50"/>
      <c r="AI911" s="50"/>
      <c r="AJ911" s="50"/>
      <c r="AK911" s="50"/>
      <c r="AL911" s="50"/>
      <c r="AM911" s="50"/>
      <c r="AN911" s="50"/>
      <c r="AO911" s="50"/>
      <c r="AP911" s="50"/>
      <c r="AQ911" s="50"/>
      <c r="AR911" s="50"/>
      <c r="AS911" s="50"/>
      <c r="AT911" s="50"/>
      <c r="AU911" s="50"/>
      <c r="AV911" s="50"/>
      <c r="AW911" s="50"/>
      <c r="AX911" s="50"/>
      <c r="AY911" s="50"/>
      <c r="AZ911" s="50"/>
      <c r="BA911" s="50"/>
      <c r="BB911" s="50"/>
      <c r="BC911" s="50"/>
      <c r="BD911" s="50"/>
      <c r="BE911" s="50"/>
      <c r="BF911" s="50"/>
      <c r="BG911" s="50"/>
      <c r="BH911" s="50"/>
      <c r="BI911" s="50"/>
      <c r="BJ911" s="50"/>
      <c r="BK911" s="50"/>
      <c r="BL911" s="50"/>
      <c r="BM911" s="50"/>
      <c r="BN911" s="50"/>
    </row>
    <row r="912">
      <c r="A912" s="50"/>
      <c r="B912" s="50"/>
      <c r="C912" s="50"/>
      <c r="D912" s="50"/>
      <c r="E912" s="158"/>
      <c r="F912" s="175"/>
      <c r="G912" s="175"/>
      <c r="H912" s="175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168"/>
      <c r="AF912" s="50"/>
      <c r="AG912" s="50"/>
      <c r="AH912" s="50"/>
      <c r="AI912" s="50"/>
      <c r="AJ912" s="50"/>
      <c r="AK912" s="50"/>
      <c r="AL912" s="50"/>
      <c r="AM912" s="50"/>
      <c r="AN912" s="50"/>
      <c r="AO912" s="50"/>
      <c r="AP912" s="50"/>
      <c r="AQ912" s="50"/>
      <c r="AR912" s="50"/>
      <c r="AS912" s="50"/>
      <c r="AT912" s="50"/>
      <c r="AU912" s="50"/>
      <c r="AV912" s="50"/>
      <c r="AW912" s="50"/>
      <c r="AX912" s="50"/>
      <c r="AY912" s="50"/>
      <c r="AZ912" s="50"/>
      <c r="BA912" s="50"/>
      <c r="BB912" s="50"/>
      <c r="BC912" s="50"/>
      <c r="BD912" s="50"/>
      <c r="BE912" s="50"/>
      <c r="BF912" s="50"/>
      <c r="BG912" s="50"/>
      <c r="BH912" s="50"/>
      <c r="BI912" s="50"/>
      <c r="BJ912" s="50"/>
      <c r="BK912" s="50"/>
      <c r="BL912" s="50"/>
      <c r="BM912" s="50"/>
      <c r="BN912" s="50"/>
    </row>
    <row r="913">
      <c r="A913" s="50"/>
      <c r="B913" s="50"/>
      <c r="C913" s="50"/>
      <c r="D913" s="50"/>
      <c r="E913" s="158"/>
      <c r="F913" s="175"/>
      <c r="G913" s="175"/>
      <c r="H913" s="175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168"/>
      <c r="AF913" s="50"/>
      <c r="AG913" s="50"/>
      <c r="AH913" s="50"/>
      <c r="AI913" s="50"/>
      <c r="AJ913" s="50"/>
      <c r="AK913" s="50"/>
      <c r="AL913" s="50"/>
      <c r="AM913" s="50"/>
      <c r="AN913" s="50"/>
      <c r="AO913" s="50"/>
      <c r="AP913" s="50"/>
      <c r="AQ913" s="50"/>
      <c r="AR913" s="50"/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/>
      <c r="BE913" s="50"/>
      <c r="BF913" s="50"/>
      <c r="BG913" s="50"/>
      <c r="BH913" s="50"/>
      <c r="BI913" s="50"/>
      <c r="BJ913" s="50"/>
      <c r="BK913" s="50"/>
      <c r="BL913" s="50"/>
      <c r="BM913" s="50"/>
      <c r="BN913" s="50"/>
    </row>
    <row r="914">
      <c r="A914" s="50"/>
      <c r="B914" s="50"/>
      <c r="C914" s="50"/>
      <c r="D914" s="50"/>
      <c r="E914" s="158"/>
      <c r="F914" s="175"/>
      <c r="G914" s="175"/>
      <c r="H914" s="175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168"/>
      <c r="AF914" s="50"/>
      <c r="AG914" s="50"/>
      <c r="AH914" s="50"/>
      <c r="AI914" s="50"/>
      <c r="AJ914" s="50"/>
      <c r="AK914" s="50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/>
      <c r="BE914" s="50"/>
      <c r="BF914" s="50"/>
      <c r="BG914" s="50"/>
      <c r="BH914" s="50"/>
      <c r="BI914" s="50"/>
      <c r="BJ914" s="50"/>
      <c r="BK914" s="50"/>
      <c r="BL914" s="50"/>
      <c r="BM914" s="50"/>
      <c r="BN914" s="50"/>
    </row>
    <row r="915">
      <c r="A915" s="50"/>
      <c r="B915" s="50"/>
      <c r="C915" s="50"/>
      <c r="D915" s="50"/>
      <c r="E915" s="158"/>
      <c r="F915" s="175"/>
      <c r="G915" s="175"/>
      <c r="H915" s="175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168"/>
      <c r="AF915" s="50"/>
      <c r="AG915" s="50"/>
      <c r="AH915" s="50"/>
      <c r="AI915" s="50"/>
      <c r="AJ915" s="50"/>
      <c r="AK915" s="50"/>
      <c r="AL915" s="50"/>
      <c r="AM915" s="50"/>
      <c r="AN915" s="50"/>
      <c r="AO915" s="50"/>
      <c r="AP915" s="50"/>
      <c r="AQ915" s="50"/>
      <c r="AR915" s="50"/>
      <c r="AS915" s="50"/>
      <c r="AT915" s="50"/>
      <c r="AU915" s="50"/>
      <c r="AV915" s="50"/>
      <c r="AW915" s="50"/>
      <c r="AX915" s="50"/>
      <c r="AY915" s="50"/>
      <c r="AZ915" s="50"/>
      <c r="BA915" s="50"/>
      <c r="BB915" s="50"/>
      <c r="BC915" s="50"/>
      <c r="BD915" s="50"/>
      <c r="BE915" s="50"/>
      <c r="BF915" s="50"/>
      <c r="BG915" s="50"/>
      <c r="BH915" s="50"/>
      <c r="BI915" s="50"/>
      <c r="BJ915" s="50"/>
      <c r="BK915" s="50"/>
      <c r="BL915" s="50"/>
      <c r="BM915" s="50"/>
      <c r="BN915" s="50"/>
    </row>
    <row r="916">
      <c r="A916" s="50"/>
      <c r="B916" s="50"/>
      <c r="C916" s="50"/>
      <c r="D916" s="50"/>
      <c r="E916" s="158"/>
      <c r="F916" s="175"/>
      <c r="G916" s="175"/>
      <c r="H916" s="175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168"/>
      <c r="AF916" s="50"/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/>
      <c r="BE916" s="50"/>
      <c r="BF916" s="50"/>
      <c r="BG916" s="50"/>
      <c r="BH916" s="50"/>
      <c r="BI916" s="50"/>
      <c r="BJ916" s="50"/>
      <c r="BK916" s="50"/>
      <c r="BL916" s="50"/>
      <c r="BM916" s="50"/>
      <c r="BN916" s="50"/>
    </row>
    <row r="917">
      <c r="A917" s="50"/>
      <c r="B917" s="50"/>
      <c r="C917" s="50"/>
      <c r="D917" s="50"/>
      <c r="E917" s="158"/>
      <c r="F917" s="175"/>
      <c r="G917" s="175"/>
      <c r="H917" s="175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168"/>
      <c r="AF917" s="50"/>
      <c r="AG917" s="50"/>
      <c r="AH917" s="50"/>
      <c r="AI917" s="50"/>
      <c r="AJ917" s="50"/>
      <c r="AK917" s="50"/>
      <c r="AL917" s="50"/>
      <c r="AM917" s="50"/>
      <c r="AN917" s="50"/>
      <c r="AO917" s="50"/>
      <c r="AP917" s="50"/>
      <c r="AQ917" s="50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0"/>
      <c r="BE917" s="50"/>
      <c r="BF917" s="50"/>
      <c r="BG917" s="50"/>
      <c r="BH917" s="50"/>
      <c r="BI917" s="50"/>
      <c r="BJ917" s="50"/>
      <c r="BK917" s="50"/>
      <c r="BL917" s="50"/>
      <c r="BM917" s="50"/>
      <c r="BN917" s="50"/>
    </row>
    <row r="918">
      <c r="A918" s="50"/>
      <c r="B918" s="50"/>
      <c r="C918" s="50"/>
      <c r="D918" s="50"/>
      <c r="E918" s="158"/>
      <c r="F918" s="175"/>
      <c r="G918" s="175"/>
      <c r="H918" s="175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168"/>
      <c r="AF918" s="50"/>
      <c r="AG918" s="50"/>
      <c r="AH918" s="50"/>
      <c r="AI918" s="50"/>
      <c r="AJ918" s="50"/>
      <c r="AK918" s="50"/>
      <c r="AL918" s="50"/>
      <c r="AM918" s="50"/>
      <c r="AN918" s="50"/>
      <c r="AO918" s="50"/>
      <c r="AP918" s="50"/>
      <c r="AQ918" s="50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0"/>
      <c r="BE918" s="50"/>
      <c r="BF918" s="50"/>
      <c r="BG918" s="50"/>
      <c r="BH918" s="50"/>
      <c r="BI918" s="50"/>
      <c r="BJ918" s="50"/>
      <c r="BK918" s="50"/>
      <c r="BL918" s="50"/>
      <c r="BM918" s="50"/>
      <c r="BN918" s="50"/>
    </row>
    <row r="919">
      <c r="A919" s="50"/>
      <c r="B919" s="50"/>
      <c r="C919" s="50"/>
      <c r="D919" s="50"/>
      <c r="E919" s="158"/>
      <c r="F919" s="175"/>
      <c r="G919" s="175"/>
      <c r="H919" s="175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168"/>
      <c r="AF919" s="50"/>
      <c r="AG919" s="50"/>
      <c r="AH919" s="50"/>
      <c r="AI919" s="50"/>
      <c r="AJ919" s="50"/>
      <c r="AK919" s="50"/>
      <c r="AL919" s="50"/>
      <c r="AM919" s="50"/>
      <c r="AN919" s="50"/>
      <c r="AO919" s="50"/>
      <c r="AP919" s="50"/>
      <c r="AQ919" s="50"/>
      <c r="AR919" s="50"/>
      <c r="AS919" s="50"/>
      <c r="AT919" s="50"/>
      <c r="AU919" s="50"/>
      <c r="AV919" s="50"/>
      <c r="AW919" s="50"/>
      <c r="AX919" s="50"/>
      <c r="AY919" s="50"/>
      <c r="AZ919" s="50"/>
      <c r="BA919" s="50"/>
      <c r="BB919" s="50"/>
      <c r="BC919" s="50"/>
      <c r="BD919" s="50"/>
      <c r="BE919" s="50"/>
      <c r="BF919" s="50"/>
      <c r="BG919" s="50"/>
      <c r="BH919" s="50"/>
      <c r="BI919" s="50"/>
      <c r="BJ919" s="50"/>
      <c r="BK919" s="50"/>
      <c r="BL919" s="50"/>
      <c r="BM919" s="50"/>
      <c r="BN919" s="50"/>
    </row>
    <row r="920">
      <c r="A920" s="50"/>
      <c r="B920" s="50"/>
      <c r="C920" s="50"/>
      <c r="D920" s="50"/>
      <c r="E920" s="158"/>
      <c r="F920" s="175"/>
      <c r="G920" s="175"/>
      <c r="H920" s="175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168"/>
      <c r="AF920" s="50"/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/>
      <c r="BE920" s="50"/>
      <c r="BF920" s="50"/>
      <c r="BG920" s="50"/>
      <c r="BH920" s="50"/>
      <c r="BI920" s="50"/>
      <c r="BJ920" s="50"/>
      <c r="BK920" s="50"/>
      <c r="BL920" s="50"/>
      <c r="BM920" s="50"/>
      <c r="BN920" s="50"/>
    </row>
    <row r="921">
      <c r="A921" s="50"/>
      <c r="B921" s="50"/>
      <c r="C921" s="50"/>
      <c r="D921" s="50"/>
      <c r="E921" s="158"/>
      <c r="F921" s="175"/>
      <c r="G921" s="175"/>
      <c r="H921" s="175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168"/>
      <c r="AF921" s="50"/>
      <c r="AG921" s="50"/>
      <c r="AH921" s="50"/>
      <c r="AI921" s="50"/>
      <c r="AJ921" s="50"/>
      <c r="AK921" s="50"/>
      <c r="AL921" s="50"/>
      <c r="AM921" s="50"/>
      <c r="AN921" s="50"/>
      <c r="AO921" s="50"/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/>
      <c r="BE921" s="50"/>
      <c r="BF921" s="50"/>
      <c r="BG921" s="50"/>
      <c r="BH921" s="50"/>
      <c r="BI921" s="50"/>
      <c r="BJ921" s="50"/>
      <c r="BK921" s="50"/>
      <c r="BL921" s="50"/>
      <c r="BM921" s="50"/>
      <c r="BN921" s="50"/>
    </row>
    <row r="922">
      <c r="A922" s="50"/>
      <c r="B922" s="50"/>
      <c r="C922" s="50"/>
      <c r="D922" s="50"/>
      <c r="E922" s="158"/>
      <c r="F922" s="175"/>
      <c r="G922" s="175"/>
      <c r="H922" s="175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168"/>
      <c r="AF922" s="50"/>
      <c r="AG922" s="50"/>
      <c r="AH922" s="50"/>
      <c r="AI922" s="50"/>
      <c r="AJ922" s="50"/>
      <c r="AK922" s="50"/>
      <c r="AL922" s="50"/>
      <c r="AM922" s="50"/>
      <c r="AN922" s="50"/>
      <c r="AO922" s="50"/>
      <c r="AP922" s="50"/>
      <c r="AQ922" s="50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/>
      <c r="BE922" s="50"/>
      <c r="BF922" s="50"/>
      <c r="BG922" s="50"/>
      <c r="BH922" s="50"/>
      <c r="BI922" s="50"/>
      <c r="BJ922" s="50"/>
      <c r="BK922" s="50"/>
      <c r="BL922" s="50"/>
      <c r="BM922" s="50"/>
      <c r="BN922" s="50"/>
    </row>
    <row r="923">
      <c r="A923" s="50"/>
      <c r="B923" s="50"/>
      <c r="C923" s="50"/>
      <c r="D923" s="50"/>
      <c r="E923" s="158"/>
      <c r="F923" s="175"/>
      <c r="G923" s="175"/>
      <c r="H923" s="175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168"/>
      <c r="AF923" s="50"/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/>
      <c r="BE923" s="50"/>
      <c r="BF923" s="50"/>
      <c r="BG923" s="50"/>
      <c r="BH923" s="50"/>
      <c r="BI923" s="50"/>
      <c r="BJ923" s="50"/>
      <c r="BK923" s="50"/>
      <c r="BL923" s="50"/>
      <c r="BM923" s="50"/>
      <c r="BN923" s="50"/>
    </row>
    <row r="924">
      <c r="A924" s="50"/>
      <c r="B924" s="50"/>
      <c r="C924" s="50"/>
      <c r="D924" s="50"/>
      <c r="E924" s="158"/>
      <c r="F924" s="175"/>
      <c r="G924" s="175"/>
      <c r="H924" s="175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168"/>
      <c r="AF924" s="50"/>
      <c r="AG924" s="50"/>
      <c r="AH924" s="50"/>
      <c r="AI924" s="50"/>
      <c r="AJ924" s="50"/>
      <c r="AK924" s="50"/>
      <c r="AL924" s="50"/>
      <c r="AM924" s="50"/>
      <c r="AN924" s="50"/>
      <c r="AO924" s="50"/>
      <c r="AP924" s="50"/>
      <c r="AQ924" s="50"/>
      <c r="AR924" s="50"/>
      <c r="AS924" s="50"/>
      <c r="AT924" s="50"/>
      <c r="AU924" s="50"/>
      <c r="AV924" s="50"/>
      <c r="AW924" s="50"/>
      <c r="AX924" s="50"/>
      <c r="AY924" s="50"/>
      <c r="AZ924" s="50"/>
      <c r="BA924" s="50"/>
      <c r="BB924" s="50"/>
      <c r="BC924" s="50"/>
      <c r="BD924" s="50"/>
      <c r="BE924" s="50"/>
      <c r="BF924" s="50"/>
      <c r="BG924" s="50"/>
      <c r="BH924" s="50"/>
      <c r="BI924" s="50"/>
      <c r="BJ924" s="50"/>
      <c r="BK924" s="50"/>
      <c r="BL924" s="50"/>
      <c r="BM924" s="50"/>
      <c r="BN924" s="50"/>
    </row>
    <row r="925">
      <c r="A925" s="50"/>
      <c r="B925" s="50"/>
      <c r="C925" s="50"/>
      <c r="D925" s="50"/>
      <c r="E925" s="158"/>
      <c r="F925" s="175"/>
      <c r="G925" s="175"/>
      <c r="H925" s="175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168"/>
      <c r="AF925" s="50"/>
      <c r="AG925" s="50"/>
      <c r="AH925" s="50"/>
      <c r="AI925" s="50"/>
      <c r="AJ925" s="50"/>
      <c r="AK925" s="50"/>
      <c r="AL925" s="50"/>
      <c r="AM925" s="50"/>
      <c r="AN925" s="50"/>
      <c r="AO925" s="50"/>
      <c r="AP925" s="50"/>
      <c r="AQ925" s="50"/>
      <c r="AR925" s="50"/>
      <c r="AS925" s="50"/>
      <c r="AT925" s="50"/>
      <c r="AU925" s="50"/>
      <c r="AV925" s="50"/>
      <c r="AW925" s="50"/>
      <c r="AX925" s="50"/>
      <c r="AY925" s="50"/>
      <c r="AZ925" s="50"/>
      <c r="BA925" s="50"/>
      <c r="BB925" s="50"/>
      <c r="BC925" s="50"/>
      <c r="BD925" s="50"/>
      <c r="BE925" s="50"/>
      <c r="BF925" s="50"/>
      <c r="BG925" s="50"/>
      <c r="BH925" s="50"/>
      <c r="BI925" s="50"/>
      <c r="BJ925" s="50"/>
      <c r="BK925" s="50"/>
      <c r="BL925" s="50"/>
      <c r="BM925" s="50"/>
      <c r="BN925" s="50"/>
    </row>
    <row r="926">
      <c r="A926" s="50"/>
      <c r="B926" s="50"/>
      <c r="C926" s="50"/>
      <c r="D926" s="50"/>
      <c r="E926" s="158"/>
      <c r="F926" s="175"/>
      <c r="G926" s="175"/>
      <c r="H926" s="175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168"/>
      <c r="AF926" s="50"/>
      <c r="AG926" s="50"/>
      <c r="AH926" s="50"/>
      <c r="AI926" s="50"/>
      <c r="AJ926" s="50"/>
      <c r="AK926" s="50"/>
      <c r="AL926" s="50"/>
      <c r="AM926" s="50"/>
      <c r="AN926" s="50"/>
      <c r="AO926" s="50"/>
      <c r="AP926" s="50"/>
      <c r="AQ926" s="50"/>
      <c r="AR926" s="50"/>
      <c r="AS926" s="50"/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0"/>
      <c r="BE926" s="50"/>
      <c r="BF926" s="50"/>
      <c r="BG926" s="50"/>
      <c r="BH926" s="50"/>
      <c r="BI926" s="50"/>
      <c r="BJ926" s="50"/>
      <c r="BK926" s="50"/>
      <c r="BL926" s="50"/>
      <c r="BM926" s="50"/>
      <c r="BN926" s="50"/>
    </row>
    <row r="927">
      <c r="A927" s="50"/>
      <c r="B927" s="50"/>
      <c r="C927" s="50"/>
      <c r="D927" s="50"/>
      <c r="E927" s="158"/>
      <c r="F927" s="175"/>
      <c r="G927" s="175"/>
      <c r="H927" s="175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168"/>
      <c r="AF927" s="50"/>
      <c r="AG927" s="50"/>
      <c r="AH927" s="50"/>
      <c r="AI927" s="50"/>
      <c r="AJ927" s="50"/>
      <c r="AK927" s="50"/>
      <c r="AL927" s="50"/>
      <c r="AM927" s="50"/>
      <c r="AN927" s="50"/>
      <c r="AO927" s="50"/>
      <c r="AP927" s="50"/>
      <c r="AQ927" s="50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0"/>
      <c r="BE927" s="50"/>
      <c r="BF927" s="50"/>
      <c r="BG927" s="50"/>
      <c r="BH927" s="50"/>
      <c r="BI927" s="50"/>
      <c r="BJ927" s="50"/>
      <c r="BK927" s="50"/>
      <c r="BL927" s="50"/>
      <c r="BM927" s="50"/>
      <c r="BN927" s="50"/>
    </row>
    <row r="928">
      <c r="A928" s="50"/>
      <c r="B928" s="50"/>
      <c r="C928" s="50"/>
      <c r="D928" s="50"/>
      <c r="E928" s="158"/>
      <c r="F928" s="175"/>
      <c r="G928" s="175"/>
      <c r="H928" s="175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168"/>
      <c r="AF928" s="50"/>
      <c r="AG928" s="50"/>
      <c r="AH928" s="50"/>
      <c r="AI928" s="50"/>
      <c r="AJ928" s="50"/>
      <c r="AK928" s="50"/>
      <c r="AL928" s="50"/>
      <c r="AM928" s="50"/>
      <c r="AN928" s="50"/>
      <c r="AO928" s="50"/>
      <c r="AP928" s="50"/>
      <c r="AQ928" s="50"/>
      <c r="AR928" s="50"/>
      <c r="AS928" s="50"/>
      <c r="AT928" s="50"/>
      <c r="AU928" s="50"/>
      <c r="AV928" s="50"/>
      <c r="AW928" s="50"/>
      <c r="AX928" s="50"/>
      <c r="AY928" s="50"/>
      <c r="AZ928" s="50"/>
      <c r="BA928" s="50"/>
      <c r="BB928" s="50"/>
      <c r="BC928" s="50"/>
      <c r="BD928" s="50"/>
      <c r="BE928" s="50"/>
      <c r="BF928" s="50"/>
      <c r="BG928" s="50"/>
      <c r="BH928" s="50"/>
      <c r="BI928" s="50"/>
      <c r="BJ928" s="50"/>
      <c r="BK928" s="50"/>
      <c r="BL928" s="50"/>
      <c r="BM928" s="50"/>
      <c r="BN928" s="50"/>
    </row>
    <row r="929">
      <c r="A929" s="50"/>
      <c r="B929" s="50"/>
      <c r="C929" s="50"/>
      <c r="D929" s="50"/>
      <c r="E929" s="158"/>
      <c r="F929" s="175"/>
      <c r="G929" s="175"/>
      <c r="H929" s="175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168"/>
      <c r="AF929" s="50"/>
      <c r="AG929" s="50"/>
      <c r="AH929" s="50"/>
      <c r="AI929" s="50"/>
      <c r="AJ929" s="50"/>
      <c r="AK929" s="50"/>
      <c r="AL929" s="50"/>
      <c r="AM929" s="50"/>
      <c r="AN929" s="50"/>
      <c r="AO929" s="50"/>
      <c r="AP929" s="50"/>
      <c r="AQ929" s="50"/>
      <c r="AR929" s="50"/>
      <c r="AS929" s="50"/>
      <c r="AT929" s="50"/>
      <c r="AU929" s="50"/>
      <c r="AV929" s="50"/>
      <c r="AW929" s="50"/>
      <c r="AX929" s="50"/>
      <c r="AY929" s="50"/>
      <c r="AZ929" s="50"/>
      <c r="BA929" s="50"/>
      <c r="BB929" s="50"/>
      <c r="BC929" s="50"/>
      <c r="BD929" s="50"/>
      <c r="BE929" s="50"/>
      <c r="BF929" s="50"/>
      <c r="BG929" s="50"/>
      <c r="BH929" s="50"/>
      <c r="BI929" s="50"/>
      <c r="BJ929" s="50"/>
      <c r="BK929" s="50"/>
      <c r="BL929" s="50"/>
      <c r="BM929" s="50"/>
      <c r="BN929" s="50"/>
    </row>
    <row r="930">
      <c r="A930" s="50"/>
      <c r="B930" s="50"/>
      <c r="C930" s="50"/>
      <c r="D930" s="50"/>
      <c r="E930" s="158"/>
      <c r="F930" s="175"/>
      <c r="G930" s="175"/>
      <c r="H930" s="175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168"/>
      <c r="AF930" s="50"/>
      <c r="AG930" s="50"/>
      <c r="AH930" s="50"/>
      <c r="AI930" s="50"/>
      <c r="AJ930" s="50"/>
      <c r="AK930" s="50"/>
      <c r="AL930" s="50"/>
      <c r="AM930" s="50"/>
      <c r="AN930" s="50"/>
      <c r="AO930" s="50"/>
      <c r="AP930" s="50"/>
      <c r="AQ930" s="50"/>
      <c r="AR930" s="50"/>
      <c r="AS930" s="50"/>
      <c r="AT930" s="50"/>
      <c r="AU930" s="50"/>
      <c r="AV930" s="50"/>
      <c r="AW930" s="50"/>
      <c r="AX930" s="50"/>
      <c r="AY930" s="50"/>
      <c r="AZ930" s="50"/>
      <c r="BA930" s="50"/>
      <c r="BB930" s="50"/>
      <c r="BC930" s="50"/>
      <c r="BD930" s="50"/>
      <c r="BE930" s="50"/>
      <c r="BF930" s="50"/>
      <c r="BG930" s="50"/>
      <c r="BH930" s="50"/>
      <c r="BI930" s="50"/>
      <c r="BJ930" s="50"/>
      <c r="BK930" s="50"/>
      <c r="BL930" s="50"/>
      <c r="BM930" s="50"/>
      <c r="BN930" s="50"/>
    </row>
    <row r="931">
      <c r="A931" s="50"/>
      <c r="B931" s="50"/>
      <c r="C931" s="50"/>
      <c r="D931" s="50"/>
      <c r="E931" s="158"/>
      <c r="F931" s="175"/>
      <c r="G931" s="175"/>
      <c r="H931" s="175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168"/>
      <c r="AF931" s="50"/>
      <c r="AG931" s="50"/>
      <c r="AH931" s="50"/>
      <c r="AI931" s="50"/>
      <c r="AJ931" s="50"/>
      <c r="AK931" s="50"/>
      <c r="AL931" s="50"/>
      <c r="AM931" s="50"/>
      <c r="AN931" s="50"/>
      <c r="AO931" s="50"/>
      <c r="AP931" s="50"/>
      <c r="AQ931" s="50"/>
      <c r="AR931" s="50"/>
      <c r="AS931" s="50"/>
      <c r="AT931" s="50"/>
      <c r="AU931" s="50"/>
      <c r="AV931" s="50"/>
      <c r="AW931" s="50"/>
      <c r="AX931" s="50"/>
      <c r="AY931" s="50"/>
      <c r="AZ931" s="50"/>
      <c r="BA931" s="50"/>
      <c r="BB931" s="50"/>
      <c r="BC931" s="50"/>
      <c r="BD931" s="50"/>
      <c r="BE931" s="50"/>
      <c r="BF931" s="50"/>
      <c r="BG931" s="50"/>
      <c r="BH931" s="50"/>
      <c r="BI931" s="50"/>
      <c r="BJ931" s="50"/>
      <c r="BK931" s="50"/>
      <c r="BL931" s="50"/>
      <c r="BM931" s="50"/>
      <c r="BN931" s="50"/>
    </row>
    <row r="932">
      <c r="A932" s="50"/>
      <c r="B932" s="50"/>
      <c r="C932" s="50"/>
      <c r="D932" s="50"/>
      <c r="E932" s="158"/>
      <c r="F932" s="175"/>
      <c r="G932" s="175"/>
      <c r="H932" s="175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168"/>
      <c r="AF932" s="50"/>
      <c r="AG932" s="50"/>
      <c r="AH932" s="50"/>
      <c r="AI932" s="50"/>
      <c r="AJ932" s="50"/>
      <c r="AK932" s="50"/>
      <c r="AL932" s="50"/>
      <c r="AM932" s="50"/>
      <c r="AN932" s="50"/>
      <c r="AO932" s="50"/>
      <c r="AP932" s="50"/>
      <c r="AQ932" s="50"/>
      <c r="AR932" s="50"/>
      <c r="AS932" s="50"/>
      <c r="AT932" s="50"/>
      <c r="AU932" s="50"/>
      <c r="AV932" s="50"/>
      <c r="AW932" s="50"/>
      <c r="AX932" s="50"/>
      <c r="AY932" s="50"/>
      <c r="AZ932" s="50"/>
      <c r="BA932" s="50"/>
      <c r="BB932" s="50"/>
      <c r="BC932" s="50"/>
      <c r="BD932" s="50"/>
      <c r="BE932" s="50"/>
      <c r="BF932" s="50"/>
      <c r="BG932" s="50"/>
      <c r="BH932" s="50"/>
      <c r="BI932" s="50"/>
      <c r="BJ932" s="50"/>
      <c r="BK932" s="50"/>
      <c r="BL932" s="50"/>
      <c r="BM932" s="50"/>
      <c r="BN932" s="50"/>
    </row>
    <row r="933">
      <c r="A933" s="50"/>
      <c r="B933" s="50"/>
      <c r="C933" s="50"/>
      <c r="D933" s="50"/>
      <c r="E933" s="158"/>
      <c r="F933" s="175"/>
      <c r="G933" s="175"/>
      <c r="H933" s="175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168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/>
      <c r="AR933" s="50"/>
      <c r="AS933" s="50"/>
      <c r="AT933" s="50"/>
      <c r="AU933" s="50"/>
      <c r="AV933" s="50"/>
      <c r="AW933" s="50"/>
      <c r="AX933" s="50"/>
      <c r="AY933" s="50"/>
      <c r="AZ933" s="50"/>
      <c r="BA933" s="50"/>
      <c r="BB933" s="50"/>
      <c r="BC933" s="50"/>
      <c r="BD933" s="50"/>
      <c r="BE933" s="50"/>
      <c r="BF933" s="50"/>
      <c r="BG933" s="50"/>
      <c r="BH933" s="50"/>
      <c r="BI933" s="50"/>
      <c r="BJ933" s="50"/>
      <c r="BK933" s="50"/>
      <c r="BL933" s="50"/>
      <c r="BM933" s="50"/>
      <c r="BN933" s="50"/>
    </row>
    <row r="934">
      <c r="A934" s="50"/>
      <c r="B934" s="50"/>
      <c r="C934" s="50"/>
      <c r="D934" s="50"/>
      <c r="E934" s="158"/>
      <c r="F934" s="175"/>
      <c r="G934" s="175"/>
      <c r="H934" s="175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168"/>
      <c r="AF934" s="50"/>
      <c r="AG934" s="50"/>
      <c r="AH934" s="50"/>
      <c r="AI934" s="50"/>
      <c r="AJ934" s="50"/>
      <c r="AK934" s="50"/>
      <c r="AL934" s="50"/>
      <c r="AM934" s="50"/>
      <c r="AN934" s="50"/>
      <c r="AO934" s="50"/>
      <c r="AP934" s="50"/>
      <c r="AQ934" s="50"/>
      <c r="AR934" s="50"/>
      <c r="AS934" s="50"/>
      <c r="AT934" s="50"/>
      <c r="AU934" s="50"/>
      <c r="AV934" s="50"/>
      <c r="AW934" s="50"/>
      <c r="AX934" s="50"/>
      <c r="AY934" s="50"/>
      <c r="AZ934" s="50"/>
      <c r="BA934" s="50"/>
      <c r="BB934" s="50"/>
      <c r="BC934" s="50"/>
      <c r="BD934" s="50"/>
      <c r="BE934" s="50"/>
      <c r="BF934" s="50"/>
      <c r="BG934" s="50"/>
      <c r="BH934" s="50"/>
      <c r="BI934" s="50"/>
      <c r="BJ934" s="50"/>
      <c r="BK934" s="50"/>
      <c r="BL934" s="50"/>
      <c r="BM934" s="50"/>
      <c r="BN934" s="50"/>
    </row>
    <row r="935">
      <c r="A935" s="50"/>
      <c r="B935" s="50"/>
      <c r="C935" s="50"/>
      <c r="D935" s="50"/>
      <c r="E935" s="158"/>
      <c r="F935" s="175"/>
      <c r="G935" s="175"/>
      <c r="H935" s="175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168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/>
      <c r="AR935" s="50"/>
      <c r="AS935" s="50"/>
      <c r="AT935" s="50"/>
      <c r="AU935" s="50"/>
      <c r="AV935" s="50"/>
      <c r="AW935" s="50"/>
      <c r="AX935" s="50"/>
      <c r="AY935" s="50"/>
      <c r="AZ935" s="50"/>
      <c r="BA935" s="50"/>
      <c r="BB935" s="50"/>
      <c r="BC935" s="50"/>
      <c r="BD935" s="50"/>
      <c r="BE935" s="50"/>
      <c r="BF935" s="50"/>
      <c r="BG935" s="50"/>
      <c r="BH935" s="50"/>
      <c r="BI935" s="50"/>
      <c r="BJ935" s="50"/>
      <c r="BK935" s="50"/>
      <c r="BL935" s="50"/>
      <c r="BM935" s="50"/>
      <c r="BN935" s="50"/>
    </row>
    <row r="936">
      <c r="A936" s="50"/>
      <c r="B936" s="50"/>
      <c r="C936" s="50"/>
      <c r="D936" s="50"/>
      <c r="E936" s="158"/>
      <c r="F936" s="175"/>
      <c r="G936" s="175"/>
      <c r="H936" s="175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168"/>
      <c r="AF936" s="50"/>
      <c r="AG936" s="50"/>
      <c r="AH936" s="50"/>
      <c r="AI936" s="50"/>
      <c r="AJ936" s="50"/>
      <c r="AK936" s="50"/>
      <c r="AL936" s="50"/>
      <c r="AM936" s="50"/>
      <c r="AN936" s="50"/>
      <c r="AO936" s="50"/>
      <c r="AP936" s="50"/>
      <c r="AQ936" s="50"/>
      <c r="AR936" s="50"/>
      <c r="AS936" s="50"/>
      <c r="AT936" s="50"/>
      <c r="AU936" s="50"/>
      <c r="AV936" s="50"/>
      <c r="AW936" s="50"/>
      <c r="AX936" s="50"/>
      <c r="AY936" s="50"/>
      <c r="AZ936" s="50"/>
      <c r="BA936" s="50"/>
      <c r="BB936" s="50"/>
      <c r="BC936" s="50"/>
      <c r="BD936" s="50"/>
      <c r="BE936" s="50"/>
      <c r="BF936" s="50"/>
      <c r="BG936" s="50"/>
      <c r="BH936" s="50"/>
      <c r="BI936" s="50"/>
      <c r="BJ936" s="50"/>
      <c r="BK936" s="50"/>
      <c r="BL936" s="50"/>
      <c r="BM936" s="50"/>
      <c r="BN936" s="50"/>
    </row>
    <row r="937">
      <c r="A937" s="50"/>
      <c r="B937" s="50"/>
      <c r="C937" s="50"/>
      <c r="D937" s="50"/>
      <c r="E937" s="158"/>
      <c r="F937" s="175"/>
      <c r="G937" s="175"/>
      <c r="H937" s="175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168"/>
      <c r="AF937" s="50"/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/>
      <c r="AR937" s="50"/>
      <c r="AS937" s="50"/>
      <c r="AT937" s="50"/>
      <c r="AU937" s="50"/>
      <c r="AV937" s="50"/>
      <c r="AW937" s="50"/>
      <c r="AX937" s="50"/>
      <c r="AY937" s="50"/>
      <c r="AZ937" s="50"/>
      <c r="BA937" s="50"/>
      <c r="BB937" s="50"/>
      <c r="BC937" s="50"/>
      <c r="BD937" s="50"/>
      <c r="BE937" s="50"/>
      <c r="BF937" s="50"/>
      <c r="BG937" s="50"/>
      <c r="BH937" s="50"/>
      <c r="BI937" s="50"/>
      <c r="BJ937" s="50"/>
      <c r="BK937" s="50"/>
      <c r="BL937" s="50"/>
      <c r="BM937" s="50"/>
      <c r="BN937" s="50"/>
    </row>
    <row r="938">
      <c r="A938" s="50"/>
      <c r="B938" s="50"/>
      <c r="C938" s="50"/>
      <c r="D938" s="50"/>
      <c r="E938" s="158"/>
      <c r="F938" s="175"/>
      <c r="G938" s="175"/>
      <c r="H938" s="175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168"/>
      <c r="AF938" s="50"/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0"/>
      <c r="BE938" s="50"/>
      <c r="BF938" s="50"/>
      <c r="BG938" s="50"/>
      <c r="BH938" s="50"/>
      <c r="BI938" s="50"/>
      <c r="BJ938" s="50"/>
      <c r="BK938" s="50"/>
      <c r="BL938" s="50"/>
      <c r="BM938" s="50"/>
      <c r="BN938" s="50"/>
    </row>
    <row r="939">
      <c r="A939" s="50"/>
      <c r="B939" s="50"/>
      <c r="C939" s="50"/>
      <c r="D939" s="50"/>
      <c r="E939" s="158"/>
      <c r="F939" s="175"/>
      <c r="G939" s="175"/>
      <c r="H939" s="175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168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/>
      <c r="AR939" s="50"/>
      <c r="AS939" s="50"/>
      <c r="AT939" s="50"/>
      <c r="AU939" s="50"/>
      <c r="AV939" s="50"/>
      <c r="AW939" s="50"/>
      <c r="AX939" s="50"/>
      <c r="AY939" s="50"/>
      <c r="AZ939" s="50"/>
      <c r="BA939" s="50"/>
      <c r="BB939" s="50"/>
      <c r="BC939" s="50"/>
      <c r="BD939" s="50"/>
      <c r="BE939" s="50"/>
      <c r="BF939" s="50"/>
      <c r="BG939" s="50"/>
      <c r="BH939" s="50"/>
      <c r="BI939" s="50"/>
      <c r="BJ939" s="50"/>
      <c r="BK939" s="50"/>
      <c r="BL939" s="50"/>
      <c r="BM939" s="50"/>
      <c r="BN939" s="50"/>
    </row>
    <row r="940">
      <c r="A940" s="50"/>
      <c r="B940" s="50"/>
      <c r="C940" s="50"/>
      <c r="D940" s="50"/>
      <c r="E940" s="158"/>
      <c r="F940" s="175"/>
      <c r="G940" s="175"/>
      <c r="H940" s="175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168"/>
      <c r="AF940" s="50"/>
      <c r="AG940" s="50"/>
      <c r="AH940" s="50"/>
      <c r="AI940" s="50"/>
      <c r="AJ940" s="50"/>
      <c r="AK940" s="50"/>
      <c r="AL940" s="50"/>
      <c r="AM940" s="50"/>
      <c r="AN940" s="50"/>
      <c r="AO940" s="50"/>
      <c r="AP940" s="50"/>
      <c r="AQ940" s="50"/>
      <c r="AR940" s="50"/>
      <c r="AS940" s="50"/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0"/>
      <c r="BE940" s="50"/>
      <c r="BF940" s="50"/>
      <c r="BG940" s="50"/>
      <c r="BH940" s="50"/>
      <c r="BI940" s="50"/>
      <c r="BJ940" s="50"/>
      <c r="BK940" s="50"/>
      <c r="BL940" s="50"/>
      <c r="BM940" s="50"/>
      <c r="BN940" s="50"/>
    </row>
    <row r="941">
      <c r="A941" s="50"/>
      <c r="B941" s="50"/>
      <c r="C941" s="50"/>
      <c r="D941" s="50"/>
      <c r="E941" s="158"/>
      <c r="F941" s="175"/>
      <c r="G941" s="175"/>
      <c r="H941" s="175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168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50"/>
      <c r="AU941" s="50"/>
      <c r="AV941" s="50"/>
      <c r="AW941" s="50"/>
      <c r="AX941" s="50"/>
      <c r="AY941" s="50"/>
      <c r="AZ941" s="50"/>
      <c r="BA941" s="50"/>
      <c r="BB941" s="50"/>
      <c r="BC941" s="50"/>
      <c r="BD941" s="50"/>
      <c r="BE941" s="50"/>
      <c r="BF941" s="50"/>
      <c r="BG941" s="50"/>
      <c r="BH941" s="50"/>
      <c r="BI941" s="50"/>
      <c r="BJ941" s="50"/>
      <c r="BK941" s="50"/>
      <c r="BL941" s="50"/>
      <c r="BM941" s="50"/>
      <c r="BN941" s="50"/>
    </row>
    <row r="942">
      <c r="A942" s="50"/>
      <c r="B942" s="50"/>
      <c r="C942" s="50"/>
      <c r="D942" s="50"/>
      <c r="E942" s="158"/>
      <c r="F942" s="175"/>
      <c r="G942" s="175"/>
      <c r="H942" s="175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168"/>
      <c r="AF942" s="50"/>
      <c r="AG942" s="50"/>
      <c r="AH942" s="50"/>
      <c r="AI942" s="50"/>
      <c r="AJ942" s="50"/>
      <c r="AK942" s="50"/>
      <c r="AL942" s="50"/>
      <c r="AM942" s="50"/>
      <c r="AN942" s="50"/>
      <c r="AO942" s="50"/>
      <c r="AP942" s="50"/>
      <c r="AQ942" s="50"/>
      <c r="AR942" s="50"/>
      <c r="AS942" s="50"/>
      <c r="AT942" s="50"/>
      <c r="AU942" s="50"/>
      <c r="AV942" s="50"/>
      <c r="AW942" s="50"/>
      <c r="AX942" s="50"/>
      <c r="AY942" s="50"/>
      <c r="AZ942" s="50"/>
      <c r="BA942" s="50"/>
      <c r="BB942" s="50"/>
      <c r="BC942" s="50"/>
      <c r="BD942" s="50"/>
      <c r="BE942" s="50"/>
      <c r="BF942" s="50"/>
      <c r="BG942" s="50"/>
      <c r="BH942" s="50"/>
      <c r="BI942" s="50"/>
      <c r="BJ942" s="50"/>
      <c r="BK942" s="50"/>
      <c r="BL942" s="50"/>
      <c r="BM942" s="50"/>
      <c r="BN942" s="50"/>
    </row>
    <row r="943">
      <c r="A943" s="50"/>
      <c r="B943" s="50"/>
      <c r="C943" s="50"/>
      <c r="D943" s="50"/>
      <c r="E943" s="158"/>
      <c r="F943" s="175"/>
      <c r="G943" s="175"/>
      <c r="H943" s="175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168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50"/>
      <c r="AU943" s="50"/>
      <c r="AV943" s="50"/>
      <c r="AW943" s="50"/>
      <c r="AX943" s="50"/>
      <c r="AY943" s="50"/>
      <c r="AZ943" s="50"/>
      <c r="BA943" s="50"/>
      <c r="BB943" s="50"/>
      <c r="BC943" s="50"/>
      <c r="BD943" s="50"/>
      <c r="BE943" s="50"/>
      <c r="BF943" s="50"/>
      <c r="BG943" s="50"/>
      <c r="BH943" s="50"/>
      <c r="BI943" s="50"/>
      <c r="BJ943" s="50"/>
      <c r="BK943" s="50"/>
      <c r="BL943" s="50"/>
      <c r="BM943" s="50"/>
      <c r="BN943" s="50"/>
    </row>
    <row r="944">
      <c r="A944" s="50"/>
      <c r="B944" s="50"/>
      <c r="C944" s="50"/>
      <c r="D944" s="50"/>
      <c r="E944" s="158"/>
      <c r="F944" s="175"/>
      <c r="G944" s="175"/>
      <c r="H944" s="175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168"/>
      <c r="AF944" s="50"/>
      <c r="AG944" s="50"/>
      <c r="AH944" s="50"/>
      <c r="AI944" s="50"/>
      <c r="AJ944" s="50"/>
      <c r="AK944" s="50"/>
      <c r="AL944" s="50"/>
      <c r="AM944" s="50"/>
      <c r="AN944" s="50"/>
      <c r="AO944" s="50"/>
      <c r="AP944" s="50"/>
      <c r="AQ944" s="50"/>
      <c r="AR944" s="50"/>
      <c r="AS944" s="50"/>
      <c r="AT944" s="50"/>
      <c r="AU944" s="50"/>
      <c r="AV944" s="50"/>
      <c r="AW944" s="50"/>
      <c r="AX944" s="50"/>
      <c r="AY944" s="50"/>
      <c r="AZ944" s="50"/>
      <c r="BA944" s="50"/>
      <c r="BB944" s="50"/>
      <c r="BC944" s="50"/>
      <c r="BD944" s="50"/>
      <c r="BE944" s="50"/>
      <c r="BF944" s="50"/>
      <c r="BG944" s="50"/>
      <c r="BH944" s="50"/>
      <c r="BI944" s="50"/>
      <c r="BJ944" s="50"/>
      <c r="BK944" s="50"/>
      <c r="BL944" s="50"/>
      <c r="BM944" s="50"/>
      <c r="BN944" s="50"/>
    </row>
    <row r="945">
      <c r="A945" s="50"/>
      <c r="B945" s="50"/>
      <c r="C945" s="50"/>
      <c r="D945" s="50"/>
      <c r="E945" s="158"/>
      <c r="F945" s="175"/>
      <c r="G945" s="175"/>
      <c r="H945" s="175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168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/>
      <c r="BB945" s="50"/>
      <c r="BC945" s="50"/>
      <c r="BD945" s="50"/>
      <c r="BE945" s="50"/>
      <c r="BF945" s="50"/>
      <c r="BG945" s="50"/>
      <c r="BH945" s="50"/>
      <c r="BI945" s="50"/>
      <c r="BJ945" s="50"/>
      <c r="BK945" s="50"/>
      <c r="BL945" s="50"/>
      <c r="BM945" s="50"/>
      <c r="BN945" s="50"/>
    </row>
    <row r="946">
      <c r="A946" s="50"/>
      <c r="B946" s="50"/>
      <c r="C946" s="50"/>
      <c r="D946" s="50"/>
      <c r="E946" s="158"/>
      <c r="F946" s="175"/>
      <c r="G946" s="175"/>
      <c r="H946" s="175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168"/>
      <c r="AF946" s="50"/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/>
      <c r="AR946" s="50"/>
      <c r="AS946" s="50"/>
      <c r="AT946" s="50"/>
      <c r="AU946" s="50"/>
      <c r="AV946" s="50"/>
      <c r="AW946" s="50"/>
      <c r="AX946" s="50"/>
      <c r="AY946" s="50"/>
      <c r="AZ946" s="50"/>
      <c r="BA946" s="50"/>
      <c r="BB946" s="50"/>
      <c r="BC946" s="50"/>
      <c r="BD946" s="50"/>
      <c r="BE946" s="50"/>
      <c r="BF946" s="50"/>
      <c r="BG946" s="50"/>
      <c r="BH946" s="50"/>
      <c r="BI946" s="50"/>
      <c r="BJ946" s="50"/>
      <c r="BK946" s="50"/>
      <c r="BL946" s="50"/>
      <c r="BM946" s="50"/>
      <c r="BN946" s="50"/>
    </row>
    <row r="947">
      <c r="A947" s="50"/>
      <c r="B947" s="50"/>
      <c r="C947" s="50"/>
      <c r="D947" s="50"/>
      <c r="E947" s="158"/>
      <c r="F947" s="175"/>
      <c r="G947" s="175"/>
      <c r="H947" s="175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168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/>
      <c r="BB947" s="50"/>
      <c r="BC947" s="50"/>
      <c r="BD947" s="50"/>
      <c r="BE947" s="50"/>
      <c r="BF947" s="50"/>
      <c r="BG947" s="50"/>
      <c r="BH947" s="50"/>
      <c r="BI947" s="50"/>
      <c r="BJ947" s="50"/>
      <c r="BK947" s="50"/>
      <c r="BL947" s="50"/>
      <c r="BM947" s="50"/>
      <c r="BN947" s="50"/>
    </row>
    <row r="948">
      <c r="A948" s="50"/>
      <c r="B948" s="50"/>
      <c r="C948" s="50"/>
      <c r="D948" s="50"/>
      <c r="E948" s="158"/>
      <c r="F948" s="175"/>
      <c r="G948" s="175"/>
      <c r="H948" s="175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168"/>
      <c r="AF948" s="50"/>
      <c r="AG948" s="50"/>
      <c r="AH948" s="50"/>
      <c r="AI948" s="50"/>
      <c r="AJ948" s="50"/>
      <c r="AK948" s="50"/>
      <c r="AL948" s="50"/>
      <c r="AM948" s="50"/>
      <c r="AN948" s="50"/>
      <c r="AO948" s="50"/>
      <c r="AP948" s="50"/>
      <c r="AQ948" s="50"/>
      <c r="AR948" s="50"/>
      <c r="AS948" s="50"/>
      <c r="AT948" s="50"/>
      <c r="AU948" s="50"/>
      <c r="AV948" s="50"/>
      <c r="AW948" s="50"/>
      <c r="AX948" s="50"/>
      <c r="AY948" s="50"/>
      <c r="AZ948" s="50"/>
      <c r="BA948" s="50"/>
      <c r="BB948" s="50"/>
      <c r="BC948" s="50"/>
      <c r="BD948" s="50"/>
      <c r="BE948" s="50"/>
      <c r="BF948" s="50"/>
      <c r="BG948" s="50"/>
      <c r="BH948" s="50"/>
      <c r="BI948" s="50"/>
      <c r="BJ948" s="50"/>
      <c r="BK948" s="50"/>
      <c r="BL948" s="50"/>
      <c r="BM948" s="50"/>
      <c r="BN948" s="50"/>
    </row>
    <row r="949">
      <c r="A949" s="50"/>
      <c r="B949" s="50"/>
      <c r="C949" s="50"/>
      <c r="D949" s="50"/>
      <c r="E949" s="158"/>
      <c r="F949" s="175"/>
      <c r="G949" s="175"/>
      <c r="H949" s="175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168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/>
      <c r="BB949" s="50"/>
      <c r="BC949" s="50"/>
      <c r="BD949" s="50"/>
      <c r="BE949" s="50"/>
      <c r="BF949" s="50"/>
      <c r="BG949" s="50"/>
      <c r="BH949" s="50"/>
      <c r="BI949" s="50"/>
      <c r="BJ949" s="50"/>
      <c r="BK949" s="50"/>
      <c r="BL949" s="50"/>
      <c r="BM949" s="50"/>
      <c r="BN949" s="50"/>
    </row>
    <row r="950">
      <c r="A950" s="50"/>
      <c r="B950" s="50"/>
      <c r="C950" s="50"/>
      <c r="D950" s="50"/>
      <c r="E950" s="158"/>
      <c r="F950" s="175"/>
      <c r="G950" s="175"/>
      <c r="H950" s="175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168"/>
      <c r="AF950" s="50"/>
      <c r="AG950" s="50"/>
      <c r="AH950" s="50"/>
      <c r="AI950" s="50"/>
      <c r="AJ950" s="50"/>
      <c r="AK950" s="50"/>
      <c r="AL950" s="50"/>
      <c r="AM950" s="50"/>
      <c r="AN950" s="50"/>
      <c r="AO950" s="50"/>
      <c r="AP950" s="50"/>
      <c r="AQ950" s="50"/>
      <c r="AR950" s="50"/>
      <c r="AS950" s="50"/>
      <c r="AT950" s="50"/>
      <c r="AU950" s="50"/>
      <c r="AV950" s="50"/>
      <c r="AW950" s="50"/>
      <c r="AX950" s="50"/>
      <c r="AY950" s="50"/>
      <c r="AZ950" s="50"/>
      <c r="BA950" s="50"/>
      <c r="BB950" s="50"/>
      <c r="BC950" s="50"/>
      <c r="BD950" s="50"/>
      <c r="BE950" s="50"/>
      <c r="BF950" s="50"/>
      <c r="BG950" s="50"/>
      <c r="BH950" s="50"/>
      <c r="BI950" s="50"/>
      <c r="BJ950" s="50"/>
      <c r="BK950" s="50"/>
      <c r="BL950" s="50"/>
      <c r="BM950" s="50"/>
      <c r="BN950" s="50"/>
    </row>
    <row r="951">
      <c r="A951" s="50"/>
      <c r="B951" s="50"/>
      <c r="C951" s="50"/>
      <c r="D951" s="50"/>
      <c r="E951" s="158"/>
      <c r="F951" s="175"/>
      <c r="G951" s="175"/>
      <c r="H951" s="175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168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0"/>
      <c r="BE951" s="50"/>
      <c r="BF951" s="50"/>
      <c r="BG951" s="50"/>
      <c r="BH951" s="50"/>
      <c r="BI951" s="50"/>
      <c r="BJ951" s="50"/>
      <c r="BK951" s="50"/>
      <c r="BL951" s="50"/>
      <c r="BM951" s="50"/>
      <c r="BN951" s="50"/>
    </row>
    <row r="952">
      <c r="A952" s="50"/>
      <c r="B952" s="50"/>
      <c r="C952" s="50"/>
      <c r="D952" s="50"/>
      <c r="E952" s="158"/>
      <c r="F952" s="175"/>
      <c r="G952" s="175"/>
      <c r="H952" s="175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168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0"/>
      <c r="BE952" s="50"/>
      <c r="BF952" s="50"/>
      <c r="BG952" s="50"/>
      <c r="BH952" s="50"/>
      <c r="BI952" s="50"/>
      <c r="BJ952" s="50"/>
      <c r="BK952" s="50"/>
      <c r="BL952" s="50"/>
      <c r="BM952" s="50"/>
      <c r="BN952" s="50"/>
    </row>
    <row r="953">
      <c r="A953" s="50"/>
      <c r="B953" s="50"/>
      <c r="C953" s="50"/>
      <c r="D953" s="50"/>
      <c r="E953" s="158"/>
      <c r="F953" s="175"/>
      <c r="G953" s="175"/>
      <c r="H953" s="175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168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0"/>
      <c r="BC953" s="50"/>
      <c r="BD953" s="50"/>
      <c r="BE953" s="50"/>
      <c r="BF953" s="50"/>
      <c r="BG953" s="50"/>
      <c r="BH953" s="50"/>
      <c r="BI953" s="50"/>
      <c r="BJ953" s="50"/>
      <c r="BK953" s="50"/>
      <c r="BL953" s="50"/>
      <c r="BM953" s="50"/>
      <c r="BN953" s="50"/>
    </row>
    <row r="954">
      <c r="A954" s="50"/>
      <c r="B954" s="50"/>
      <c r="C954" s="50"/>
      <c r="D954" s="50"/>
      <c r="E954" s="158"/>
      <c r="F954" s="175"/>
      <c r="G954" s="175"/>
      <c r="H954" s="175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168"/>
      <c r="AF954" s="50"/>
      <c r="AG954" s="50"/>
      <c r="AH954" s="50"/>
      <c r="AI954" s="50"/>
      <c r="AJ954" s="50"/>
      <c r="AK954" s="50"/>
      <c r="AL954" s="50"/>
      <c r="AM954" s="50"/>
      <c r="AN954" s="50"/>
      <c r="AO954" s="50"/>
      <c r="AP954" s="50"/>
      <c r="AQ954" s="50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0"/>
      <c r="BC954" s="50"/>
      <c r="BD954" s="50"/>
      <c r="BE954" s="50"/>
      <c r="BF954" s="50"/>
      <c r="BG954" s="50"/>
      <c r="BH954" s="50"/>
      <c r="BI954" s="50"/>
      <c r="BJ954" s="50"/>
      <c r="BK954" s="50"/>
      <c r="BL954" s="50"/>
      <c r="BM954" s="50"/>
      <c r="BN954" s="50"/>
    </row>
    <row r="955">
      <c r="A955" s="50"/>
      <c r="B955" s="50"/>
      <c r="C955" s="50"/>
      <c r="D955" s="50"/>
      <c r="E955" s="158"/>
      <c r="F955" s="175"/>
      <c r="G955" s="175"/>
      <c r="H955" s="175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168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/>
      <c r="AR955" s="50"/>
      <c r="AS955" s="50"/>
      <c r="AT955" s="50"/>
      <c r="AU955" s="50"/>
      <c r="AV955" s="50"/>
      <c r="AW955" s="50"/>
      <c r="AX955" s="50"/>
      <c r="AY955" s="50"/>
      <c r="AZ955" s="50"/>
      <c r="BA955" s="50"/>
      <c r="BB955" s="50"/>
      <c r="BC955" s="50"/>
      <c r="BD955" s="50"/>
      <c r="BE955" s="50"/>
      <c r="BF955" s="50"/>
      <c r="BG955" s="50"/>
      <c r="BH955" s="50"/>
      <c r="BI955" s="50"/>
      <c r="BJ955" s="50"/>
      <c r="BK955" s="50"/>
      <c r="BL955" s="50"/>
      <c r="BM955" s="50"/>
      <c r="BN955" s="50"/>
    </row>
    <row r="956">
      <c r="A956" s="50"/>
      <c r="B956" s="50"/>
      <c r="C956" s="50"/>
      <c r="D956" s="50"/>
      <c r="E956" s="158"/>
      <c r="F956" s="175"/>
      <c r="G956" s="175"/>
      <c r="H956" s="175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168"/>
      <c r="AF956" s="50"/>
      <c r="AG956" s="50"/>
      <c r="AH956" s="50"/>
      <c r="AI956" s="50"/>
      <c r="AJ956" s="50"/>
      <c r="AK956" s="50"/>
      <c r="AL956" s="50"/>
      <c r="AM956" s="50"/>
      <c r="AN956" s="50"/>
      <c r="AO956" s="50"/>
      <c r="AP956" s="50"/>
      <c r="AQ956" s="50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0"/>
      <c r="BC956" s="50"/>
      <c r="BD956" s="50"/>
      <c r="BE956" s="50"/>
      <c r="BF956" s="50"/>
      <c r="BG956" s="50"/>
      <c r="BH956" s="50"/>
      <c r="BI956" s="50"/>
      <c r="BJ956" s="50"/>
      <c r="BK956" s="50"/>
      <c r="BL956" s="50"/>
      <c r="BM956" s="50"/>
      <c r="BN956" s="50"/>
    </row>
    <row r="957">
      <c r="A957" s="50"/>
      <c r="B957" s="50"/>
      <c r="C957" s="50"/>
      <c r="D957" s="50"/>
      <c r="E957" s="158"/>
      <c r="F957" s="175"/>
      <c r="G957" s="175"/>
      <c r="H957" s="175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168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/>
      <c r="AR957" s="50"/>
      <c r="AS957" s="50"/>
      <c r="AT957" s="50"/>
      <c r="AU957" s="50"/>
      <c r="AV957" s="50"/>
      <c r="AW957" s="50"/>
      <c r="AX957" s="50"/>
      <c r="AY957" s="50"/>
      <c r="AZ957" s="50"/>
      <c r="BA957" s="50"/>
      <c r="BB957" s="50"/>
      <c r="BC957" s="50"/>
      <c r="BD957" s="50"/>
      <c r="BE957" s="50"/>
      <c r="BF957" s="50"/>
      <c r="BG957" s="50"/>
      <c r="BH957" s="50"/>
      <c r="BI957" s="50"/>
      <c r="BJ957" s="50"/>
      <c r="BK957" s="50"/>
      <c r="BL957" s="50"/>
      <c r="BM957" s="50"/>
      <c r="BN957" s="50"/>
    </row>
    <row r="958">
      <c r="A958" s="50"/>
      <c r="B958" s="50"/>
      <c r="C958" s="50"/>
      <c r="D958" s="50"/>
      <c r="E958" s="158"/>
      <c r="F958" s="175"/>
      <c r="G958" s="175"/>
      <c r="H958" s="175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168"/>
      <c r="AF958" s="50"/>
      <c r="AG958" s="50"/>
      <c r="AH958" s="50"/>
      <c r="AI958" s="50"/>
      <c r="AJ958" s="50"/>
      <c r="AK958" s="50"/>
      <c r="AL958" s="50"/>
      <c r="AM958" s="50"/>
      <c r="AN958" s="50"/>
      <c r="AO958" s="50"/>
      <c r="AP958" s="50"/>
      <c r="AQ958" s="50"/>
      <c r="AR958" s="50"/>
      <c r="AS958" s="50"/>
      <c r="AT958" s="50"/>
      <c r="AU958" s="50"/>
      <c r="AV958" s="50"/>
      <c r="AW958" s="50"/>
      <c r="AX958" s="50"/>
      <c r="AY958" s="50"/>
      <c r="AZ958" s="50"/>
      <c r="BA958" s="50"/>
      <c r="BB958" s="50"/>
      <c r="BC958" s="50"/>
      <c r="BD958" s="50"/>
      <c r="BE958" s="50"/>
      <c r="BF958" s="50"/>
      <c r="BG958" s="50"/>
      <c r="BH958" s="50"/>
      <c r="BI958" s="50"/>
      <c r="BJ958" s="50"/>
      <c r="BK958" s="50"/>
      <c r="BL958" s="50"/>
      <c r="BM958" s="50"/>
      <c r="BN958" s="50"/>
    </row>
    <row r="959">
      <c r="A959" s="50"/>
      <c r="B959" s="50"/>
      <c r="C959" s="50"/>
      <c r="D959" s="50"/>
      <c r="E959" s="158"/>
      <c r="F959" s="175"/>
      <c r="G959" s="175"/>
      <c r="H959" s="175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168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0"/>
      <c r="BD959" s="50"/>
      <c r="BE959" s="50"/>
      <c r="BF959" s="50"/>
      <c r="BG959" s="50"/>
      <c r="BH959" s="50"/>
      <c r="BI959" s="50"/>
      <c r="BJ959" s="50"/>
      <c r="BK959" s="50"/>
      <c r="BL959" s="50"/>
      <c r="BM959" s="50"/>
      <c r="BN959" s="50"/>
    </row>
    <row r="960">
      <c r="A960" s="50"/>
      <c r="B960" s="50"/>
      <c r="C960" s="50"/>
      <c r="D960" s="50"/>
      <c r="E960" s="158"/>
      <c r="F960" s="175"/>
      <c r="G960" s="175"/>
      <c r="H960" s="175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168"/>
      <c r="AF960" s="50"/>
      <c r="AG960" s="50"/>
      <c r="AH960" s="50"/>
      <c r="AI960" s="50"/>
      <c r="AJ960" s="50"/>
      <c r="AK960" s="50"/>
      <c r="AL960" s="50"/>
      <c r="AM960" s="50"/>
      <c r="AN960" s="50"/>
      <c r="AO960" s="50"/>
      <c r="AP960" s="50"/>
      <c r="AQ960" s="50"/>
      <c r="AR960" s="50"/>
      <c r="AS960" s="50"/>
      <c r="AT960" s="50"/>
      <c r="AU960" s="50"/>
      <c r="AV960" s="50"/>
      <c r="AW960" s="50"/>
      <c r="AX960" s="50"/>
      <c r="AY960" s="50"/>
      <c r="AZ960" s="50"/>
      <c r="BA960" s="50"/>
      <c r="BB960" s="50"/>
      <c r="BC960" s="50"/>
      <c r="BD960" s="50"/>
      <c r="BE960" s="50"/>
      <c r="BF960" s="50"/>
      <c r="BG960" s="50"/>
      <c r="BH960" s="50"/>
      <c r="BI960" s="50"/>
      <c r="BJ960" s="50"/>
      <c r="BK960" s="50"/>
      <c r="BL960" s="50"/>
      <c r="BM960" s="50"/>
      <c r="BN960" s="50"/>
    </row>
    <row r="961">
      <c r="A961" s="50"/>
      <c r="B961" s="50"/>
      <c r="C961" s="50"/>
      <c r="D961" s="50"/>
      <c r="E961" s="158"/>
      <c r="F961" s="175"/>
      <c r="G961" s="175"/>
      <c r="H961" s="175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168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0"/>
      <c r="BE961" s="50"/>
      <c r="BF961" s="50"/>
      <c r="BG961" s="50"/>
      <c r="BH961" s="50"/>
      <c r="BI961" s="50"/>
      <c r="BJ961" s="50"/>
      <c r="BK961" s="50"/>
      <c r="BL961" s="50"/>
      <c r="BM961" s="50"/>
      <c r="BN961" s="50"/>
    </row>
    <row r="962">
      <c r="A962" s="50"/>
      <c r="B962" s="50"/>
      <c r="C962" s="50"/>
      <c r="D962" s="50"/>
      <c r="E962" s="158"/>
      <c r="F962" s="175"/>
      <c r="G962" s="175"/>
      <c r="H962" s="175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168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0"/>
      <c r="BF962" s="50"/>
      <c r="BG962" s="50"/>
      <c r="BH962" s="50"/>
      <c r="BI962" s="50"/>
      <c r="BJ962" s="50"/>
      <c r="BK962" s="50"/>
      <c r="BL962" s="50"/>
      <c r="BM962" s="50"/>
      <c r="BN962" s="50"/>
    </row>
    <row r="963">
      <c r="A963" s="50"/>
      <c r="B963" s="50"/>
      <c r="C963" s="50"/>
      <c r="D963" s="50"/>
      <c r="E963" s="158"/>
      <c r="F963" s="175"/>
      <c r="G963" s="175"/>
      <c r="H963" s="175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168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/>
      <c r="AR963" s="50"/>
      <c r="AS963" s="50"/>
      <c r="AT963" s="50"/>
      <c r="AU963" s="50"/>
      <c r="AV963" s="50"/>
      <c r="AW963" s="50"/>
      <c r="AX963" s="50"/>
      <c r="AY963" s="50"/>
      <c r="AZ963" s="50"/>
      <c r="BA963" s="50"/>
      <c r="BB963" s="50"/>
      <c r="BC963" s="50"/>
      <c r="BD963" s="50"/>
      <c r="BE963" s="50"/>
      <c r="BF963" s="50"/>
      <c r="BG963" s="50"/>
      <c r="BH963" s="50"/>
      <c r="BI963" s="50"/>
      <c r="BJ963" s="50"/>
      <c r="BK963" s="50"/>
      <c r="BL963" s="50"/>
      <c r="BM963" s="50"/>
      <c r="BN963" s="50"/>
    </row>
    <row r="964">
      <c r="A964" s="50"/>
      <c r="B964" s="50"/>
      <c r="C964" s="50"/>
      <c r="D964" s="50"/>
      <c r="E964" s="158"/>
      <c r="F964" s="175"/>
      <c r="G964" s="175"/>
      <c r="H964" s="175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168"/>
      <c r="AF964" s="50"/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/>
      <c r="BE964" s="50"/>
      <c r="BF964" s="50"/>
      <c r="BG964" s="50"/>
      <c r="BH964" s="50"/>
      <c r="BI964" s="50"/>
      <c r="BJ964" s="50"/>
      <c r="BK964" s="50"/>
      <c r="BL964" s="50"/>
      <c r="BM964" s="50"/>
      <c r="BN964" s="50"/>
    </row>
    <row r="965">
      <c r="A965" s="50"/>
      <c r="B965" s="50"/>
      <c r="C965" s="50"/>
      <c r="D965" s="50"/>
      <c r="E965" s="158"/>
      <c r="F965" s="175"/>
      <c r="G965" s="175"/>
      <c r="H965" s="175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168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0"/>
      <c r="BF965" s="50"/>
      <c r="BG965" s="50"/>
      <c r="BH965" s="50"/>
      <c r="BI965" s="50"/>
      <c r="BJ965" s="50"/>
      <c r="BK965" s="50"/>
      <c r="BL965" s="50"/>
      <c r="BM965" s="50"/>
      <c r="BN965" s="50"/>
    </row>
    <row r="966">
      <c r="A966" s="50"/>
      <c r="B966" s="50"/>
      <c r="C966" s="50"/>
      <c r="D966" s="50"/>
      <c r="E966" s="158"/>
      <c r="F966" s="175"/>
      <c r="G966" s="175"/>
      <c r="H966" s="175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168"/>
      <c r="AF966" s="50"/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0"/>
      <c r="BE966" s="50"/>
      <c r="BF966" s="50"/>
      <c r="BG966" s="50"/>
      <c r="BH966" s="50"/>
      <c r="BI966" s="50"/>
      <c r="BJ966" s="50"/>
      <c r="BK966" s="50"/>
      <c r="BL966" s="50"/>
      <c r="BM966" s="50"/>
      <c r="BN966" s="50"/>
    </row>
    <row r="967">
      <c r="A967" s="50"/>
      <c r="B967" s="50"/>
      <c r="C967" s="50"/>
      <c r="D967" s="50"/>
      <c r="E967" s="158"/>
      <c r="F967" s="175"/>
      <c r="G967" s="175"/>
      <c r="H967" s="175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168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/>
      <c r="BE967" s="50"/>
      <c r="BF967" s="50"/>
      <c r="BG967" s="50"/>
      <c r="BH967" s="50"/>
      <c r="BI967" s="50"/>
      <c r="BJ967" s="50"/>
      <c r="BK967" s="50"/>
      <c r="BL967" s="50"/>
      <c r="BM967" s="50"/>
      <c r="BN967" s="50"/>
    </row>
    <row r="968">
      <c r="A968" s="50"/>
      <c r="B968" s="50"/>
      <c r="C968" s="50"/>
      <c r="D968" s="50"/>
      <c r="E968" s="158"/>
      <c r="F968" s="175"/>
      <c r="G968" s="175"/>
      <c r="H968" s="175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168"/>
      <c r="AF968" s="50"/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0"/>
      <c r="BE968" s="50"/>
      <c r="BF968" s="50"/>
      <c r="BG968" s="50"/>
      <c r="BH968" s="50"/>
      <c r="BI968" s="50"/>
      <c r="BJ968" s="50"/>
      <c r="BK968" s="50"/>
      <c r="BL968" s="50"/>
      <c r="BM968" s="50"/>
      <c r="BN968" s="50"/>
    </row>
    <row r="969">
      <c r="A969" s="50"/>
      <c r="B969" s="50"/>
      <c r="C969" s="50"/>
      <c r="D969" s="50"/>
      <c r="E969" s="158"/>
      <c r="F969" s="175"/>
      <c r="G969" s="175"/>
      <c r="H969" s="175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168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/>
      <c r="BE969" s="50"/>
      <c r="BF969" s="50"/>
      <c r="BG969" s="50"/>
      <c r="BH969" s="50"/>
      <c r="BI969" s="50"/>
      <c r="BJ969" s="50"/>
      <c r="BK969" s="50"/>
      <c r="BL969" s="50"/>
      <c r="BM969" s="50"/>
      <c r="BN969" s="50"/>
    </row>
    <row r="970">
      <c r="A970" s="50"/>
      <c r="B970" s="50"/>
      <c r="C970" s="50"/>
      <c r="D970" s="50"/>
      <c r="E970" s="158"/>
      <c r="F970" s="175"/>
      <c r="G970" s="175"/>
      <c r="H970" s="175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168"/>
      <c r="AF970" s="50"/>
      <c r="AG970" s="50"/>
      <c r="AH970" s="50"/>
      <c r="AI970" s="50"/>
      <c r="AJ970" s="50"/>
      <c r="AK970" s="50"/>
      <c r="AL970" s="50"/>
      <c r="AM970" s="50"/>
      <c r="AN970" s="50"/>
      <c r="AO970" s="50"/>
      <c r="AP970" s="50"/>
      <c r="AQ970" s="50"/>
      <c r="AR970" s="50"/>
      <c r="AS970" s="50"/>
      <c r="AT970" s="50"/>
      <c r="AU970" s="50"/>
      <c r="AV970" s="50"/>
      <c r="AW970" s="50"/>
      <c r="AX970" s="50"/>
      <c r="AY970" s="50"/>
      <c r="AZ970" s="50"/>
      <c r="BA970" s="50"/>
      <c r="BB970" s="50"/>
      <c r="BC970" s="50"/>
      <c r="BD970" s="50"/>
      <c r="BE970" s="50"/>
      <c r="BF970" s="50"/>
      <c r="BG970" s="50"/>
      <c r="BH970" s="50"/>
      <c r="BI970" s="50"/>
      <c r="BJ970" s="50"/>
      <c r="BK970" s="50"/>
      <c r="BL970" s="50"/>
      <c r="BM970" s="50"/>
      <c r="BN970" s="50"/>
    </row>
    <row r="971">
      <c r="A971" s="50"/>
      <c r="B971" s="50"/>
      <c r="C971" s="50"/>
      <c r="D971" s="50"/>
      <c r="E971" s="158"/>
      <c r="F971" s="175"/>
      <c r="G971" s="175"/>
      <c r="H971" s="175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168"/>
      <c r="AF971" s="50"/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50"/>
      <c r="AU971" s="50"/>
      <c r="AV971" s="50"/>
      <c r="AW971" s="50"/>
      <c r="AX971" s="50"/>
      <c r="AY971" s="50"/>
      <c r="AZ971" s="50"/>
      <c r="BA971" s="50"/>
      <c r="BB971" s="50"/>
      <c r="BC971" s="50"/>
      <c r="BD971" s="50"/>
      <c r="BE971" s="50"/>
      <c r="BF971" s="50"/>
      <c r="BG971" s="50"/>
      <c r="BH971" s="50"/>
      <c r="BI971" s="50"/>
      <c r="BJ971" s="50"/>
      <c r="BK971" s="50"/>
      <c r="BL971" s="50"/>
      <c r="BM971" s="50"/>
      <c r="BN971" s="50"/>
    </row>
    <row r="972">
      <c r="A972" s="50"/>
      <c r="B972" s="50"/>
      <c r="C972" s="50"/>
      <c r="D972" s="50"/>
      <c r="E972" s="158"/>
      <c r="F972" s="175"/>
      <c r="G972" s="175"/>
      <c r="H972" s="175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  <c r="AE972" s="168"/>
      <c r="AF972" s="50"/>
      <c r="AG972" s="50"/>
      <c r="AH972" s="50"/>
      <c r="AI972" s="50"/>
      <c r="AJ972" s="50"/>
      <c r="AK972" s="50"/>
      <c r="AL972" s="50"/>
      <c r="AM972" s="50"/>
      <c r="AN972" s="50"/>
      <c r="AO972" s="50"/>
      <c r="AP972" s="50"/>
      <c r="AQ972" s="50"/>
      <c r="AR972" s="50"/>
      <c r="AS972" s="50"/>
      <c r="AT972" s="50"/>
      <c r="AU972" s="50"/>
      <c r="AV972" s="50"/>
      <c r="AW972" s="50"/>
      <c r="AX972" s="50"/>
      <c r="AY972" s="50"/>
      <c r="AZ972" s="50"/>
      <c r="BA972" s="50"/>
      <c r="BB972" s="50"/>
      <c r="BC972" s="50"/>
      <c r="BD972" s="50"/>
      <c r="BE972" s="50"/>
      <c r="BF972" s="50"/>
      <c r="BG972" s="50"/>
      <c r="BH972" s="50"/>
      <c r="BI972" s="50"/>
      <c r="BJ972" s="50"/>
      <c r="BK972" s="50"/>
      <c r="BL972" s="50"/>
      <c r="BM972" s="50"/>
      <c r="BN972" s="50"/>
    </row>
    <row r="973">
      <c r="A973" s="50"/>
      <c r="B973" s="50"/>
      <c r="C973" s="50"/>
      <c r="D973" s="50"/>
      <c r="E973" s="158"/>
      <c r="F973" s="175"/>
      <c r="G973" s="175"/>
      <c r="H973" s="175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  <c r="AE973" s="168"/>
      <c r="AF973" s="50"/>
      <c r="AG973" s="50"/>
      <c r="AH973" s="50"/>
      <c r="AI973" s="50"/>
      <c r="AJ973" s="50"/>
      <c r="AK973" s="50"/>
      <c r="AL973" s="50"/>
      <c r="AM973" s="50"/>
      <c r="AN973" s="50"/>
      <c r="AO973" s="50"/>
      <c r="AP973" s="50"/>
      <c r="AQ973" s="50"/>
      <c r="AR973" s="50"/>
      <c r="AS973" s="50"/>
      <c r="AT973" s="50"/>
      <c r="AU973" s="50"/>
      <c r="AV973" s="50"/>
      <c r="AW973" s="50"/>
      <c r="AX973" s="50"/>
      <c r="AY973" s="50"/>
      <c r="AZ973" s="50"/>
      <c r="BA973" s="50"/>
      <c r="BB973" s="50"/>
      <c r="BC973" s="50"/>
      <c r="BD973" s="50"/>
      <c r="BE973" s="50"/>
      <c r="BF973" s="50"/>
      <c r="BG973" s="50"/>
      <c r="BH973" s="50"/>
      <c r="BI973" s="50"/>
      <c r="BJ973" s="50"/>
      <c r="BK973" s="50"/>
      <c r="BL973" s="50"/>
      <c r="BM973" s="50"/>
      <c r="BN973" s="50"/>
    </row>
    <row r="974">
      <c r="A974" s="50"/>
      <c r="B974" s="50"/>
      <c r="C974" s="50"/>
      <c r="D974" s="50"/>
      <c r="E974" s="158"/>
      <c r="F974" s="175"/>
      <c r="G974" s="175"/>
      <c r="H974" s="175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168"/>
      <c r="AF974" s="50"/>
      <c r="AG974" s="50"/>
      <c r="AH974" s="50"/>
      <c r="AI974" s="50"/>
      <c r="AJ974" s="50"/>
      <c r="AK974" s="50"/>
      <c r="AL974" s="50"/>
      <c r="AM974" s="50"/>
      <c r="AN974" s="50"/>
      <c r="AO974" s="50"/>
      <c r="AP974" s="50"/>
      <c r="AQ974" s="50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/>
      <c r="BE974" s="50"/>
      <c r="BF974" s="50"/>
      <c r="BG974" s="50"/>
      <c r="BH974" s="50"/>
      <c r="BI974" s="50"/>
      <c r="BJ974" s="50"/>
      <c r="BK974" s="50"/>
      <c r="BL974" s="50"/>
      <c r="BM974" s="50"/>
      <c r="BN974" s="50"/>
    </row>
    <row r="975">
      <c r="A975" s="50"/>
      <c r="B975" s="50"/>
      <c r="C975" s="50"/>
      <c r="D975" s="50"/>
      <c r="E975" s="158"/>
      <c r="F975" s="175"/>
      <c r="G975" s="175"/>
      <c r="H975" s="175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168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/>
      <c r="AR975" s="50"/>
      <c r="AS975" s="50"/>
      <c r="AT975" s="50"/>
      <c r="AU975" s="50"/>
      <c r="AV975" s="50"/>
      <c r="AW975" s="50"/>
      <c r="AX975" s="50"/>
      <c r="AY975" s="50"/>
      <c r="AZ975" s="50"/>
      <c r="BA975" s="50"/>
      <c r="BB975" s="50"/>
      <c r="BC975" s="50"/>
      <c r="BD975" s="50"/>
      <c r="BE975" s="50"/>
      <c r="BF975" s="50"/>
      <c r="BG975" s="50"/>
      <c r="BH975" s="50"/>
      <c r="BI975" s="50"/>
      <c r="BJ975" s="50"/>
      <c r="BK975" s="50"/>
      <c r="BL975" s="50"/>
      <c r="BM975" s="50"/>
      <c r="BN975" s="50"/>
    </row>
    <row r="976">
      <c r="A976" s="50"/>
      <c r="B976" s="50"/>
      <c r="C976" s="50"/>
      <c r="D976" s="50"/>
      <c r="E976" s="158"/>
      <c r="F976" s="175"/>
      <c r="G976" s="175"/>
      <c r="H976" s="175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168"/>
      <c r="AF976" s="50"/>
      <c r="AG976" s="50"/>
      <c r="AH976" s="50"/>
      <c r="AI976" s="50"/>
      <c r="AJ976" s="50"/>
      <c r="AK976" s="50"/>
      <c r="AL976" s="50"/>
      <c r="AM976" s="50"/>
      <c r="AN976" s="50"/>
      <c r="AO976" s="50"/>
      <c r="AP976" s="50"/>
      <c r="AQ976" s="50"/>
      <c r="AR976" s="50"/>
      <c r="AS976" s="50"/>
      <c r="AT976" s="50"/>
      <c r="AU976" s="50"/>
      <c r="AV976" s="50"/>
      <c r="AW976" s="50"/>
      <c r="AX976" s="50"/>
      <c r="AY976" s="50"/>
      <c r="AZ976" s="50"/>
      <c r="BA976" s="50"/>
      <c r="BB976" s="50"/>
      <c r="BC976" s="50"/>
      <c r="BD976" s="50"/>
      <c r="BE976" s="50"/>
      <c r="BF976" s="50"/>
      <c r="BG976" s="50"/>
      <c r="BH976" s="50"/>
      <c r="BI976" s="50"/>
      <c r="BJ976" s="50"/>
      <c r="BK976" s="50"/>
      <c r="BL976" s="50"/>
      <c r="BM976" s="50"/>
      <c r="BN976" s="50"/>
    </row>
    <row r="977">
      <c r="A977" s="50"/>
      <c r="B977" s="50"/>
      <c r="C977" s="50"/>
      <c r="D977" s="50"/>
      <c r="E977" s="158"/>
      <c r="F977" s="175"/>
      <c r="G977" s="175"/>
      <c r="H977" s="175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168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50"/>
      <c r="AU977" s="50"/>
      <c r="AV977" s="50"/>
      <c r="AW977" s="50"/>
      <c r="AX977" s="50"/>
      <c r="AY977" s="50"/>
      <c r="AZ977" s="50"/>
      <c r="BA977" s="50"/>
      <c r="BB977" s="50"/>
      <c r="BC977" s="50"/>
      <c r="BD977" s="50"/>
      <c r="BE977" s="50"/>
      <c r="BF977" s="50"/>
      <c r="BG977" s="50"/>
      <c r="BH977" s="50"/>
      <c r="BI977" s="50"/>
      <c r="BJ977" s="50"/>
      <c r="BK977" s="50"/>
      <c r="BL977" s="50"/>
      <c r="BM977" s="50"/>
      <c r="BN977" s="50"/>
    </row>
    <row r="978">
      <c r="A978" s="50"/>
      <c r="B978" s="50"/>
      <c r="C978" s="50"/>
      <c r="D978" s="50"/>
      <c r="E978" s="158"/>
      <c r="F978" s="175"/>
      <c r="G978" s="175"/>
      <c r="H978" s="175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168"/>
      <c r="AF978" s="50"/>
      <c r="AG978" s="50"/>
      <c r="AH978" s="50"/>
      <c r="AI978" s="50"/>
      <c r="AJ978" s="50"/>
      <c r="AK978" s="50"/>
      <c r="AL978" s="50"/>
      <c r="AM978" s="50"/>
      <c r="AN978" s="50"/>
      <c r="AO978" s="50"/>
      <c r="AP978" s="50"/>
      <c r="AQ978" s="50"/>
      <c r="AR978" s="50"/>
      <c r="AS978" s="50"/>
      <c r="AT978" s="50"/>
      <c r="AU978" s="50"/>
      <c r="AV978" s="50"/>
      <c r="AW978" s="50"/>
      <c r="AX978" s="50"/>
      <c r="AY978" s="50"/>
      <c r="AZ978" s="50"/>
      <c r="BA978" s="50"/>
      <c r="BB978" s="50"/>
      <c r="BC978" s="50"/>
      <c r="BD978" s="50"/>
      <c r="BE978" s="50"/>
      <c r="BF978" s="50"/>
      <c r="BG978" s="50"/>
      <c r="BH978" s="50"/>
      <c r="BI978" s="50"/>
      <c r="BJ978" s="50"/>
      <c r="BK978" s="50"/>
      <c r="BL978" s="50"/>
      <c r="BM978" s="50"/>
      <c r="BN978" s="50"/>
    </row>
    <row r="979">
      <c r="A979" s="50"/>
      <c r="B979" s="50"/>
      <c r="C979" s="50"/>
      <c r="D979" s="50"/>
      <c r="E979" s="158"/>
      <c r="F979" s="175"/>
      <c r="G979" s="175"/>
      <c r="H979" s="175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168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0"/>
      <c r="BE979" s="50"/>
      <c r="BF979" s="50"/>
      <c r="BG979" s="50"/>
      <c r="BH979" s="50"/>
      <c r="BI979" s="50"/>
      <c r="BJ979" s="50"/>
      <c r="BK979" s="50"/>
      <c r="BL979" s="50"/>
      <c r="BM979" s="50"/>
      <c r="BN979" s="50"/>
    </row>
    <row r="980">
      <c r="A980" s="50"/>
      <c r="B980" s="50"/>
      <c r="C980" s="50"/>
      <c r="D980" s="50"/>
      <c r="E980" s="158"/>
      <c r="F980" s="175"/>
      <c r="G980" s="175"/>
      <c r="H980" s="175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168"/>
      <c r="AF980" s="50"/>
      <c r="AG980" s="50"/>
      <c r="AH980" s="50"/>
      <c r="AI980" s="50"/>
      <c r="AJ980" s="50"/>
      <c r="AK980" s="50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  <c r="AV980" s="50"/>
      <c r="AW980" s="50"/>
      <c r="AX980" s="50"/>
      <c r="AY980" s="50"/>
      <c r="AZ980" s="50"/>
      <c r="BA980" s="50"/>
      <c r="BB980" s="50"/>
      <c r="BC980" s="50"/>
      <c r="BD980" s="50"/>
      <c r="BE980" s="50"/>
      <c r="BF980" s="50"/>
      <c r="BG980" s="50"/>
      <c r="BH980" s="50"/>
      <c r="BI980" s="50"/>
      <c r="BJ980" s="50"/>
      <c r="BK980" s="50"/>
      <c r="BL980" s="50"/>
      <c r="BM980" s="50"/>
      <c r="BN980" s="50"/>
    </row>
    <row r="981">
      <c r="A981" s="50"/>
      <c r="B981" s="50"/>
      <c r="C981" s="50"/>
      <c r="D981" s="50"/>
      <c r="E981" s="158"/>
      <c r="F981" s="175"/>
      <c r="G981" s="175"/>
      <c r="H981" s="175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168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0"/>
      <c r="BE981" s="50"/>
      <c r="BF981" s="50"/>
      <c r="BG981" s="50"/>
      <c r="BH981" s="50"/>
      <c r="BI981" s="50"/>
      <c r="BJ981" s="50"/>
      <c r="BK981" s="50"/>
      <c r="BL981" s="50"/>
      <c r="BM981" s="50"/>
      <c r="BN981" s="50"/>
    </row>
    <row r="982">
      <c r="A982" s="50"/>
      <c r="B982" s="50"/>
      <c r="C982" s="50"/>
      <c r="D982" s="50"/>
      <c r="E982" s="158"/>
      <c r="F982" s="175"/>
      <c r="G982" s="175"/>
      <c r="H982" s="175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168"/>
      <c r="AF982" s="50"/>
      <c r="AG982" s="50"/>
      <c r="AH982" s="50"/>
      <c r="AI982" s="50"/>
      <c r="AJ982" s="50"/>
      <c r="AK982" s="50"/>
      <c r="AL982" s="50"/>
      <c r="AM982" s="50"/>
      <c r="AN982" s="50"/>
      <c r="AO982" s="50"/>
      <c r="AP982" s="50"/>
      <c r="AQ982" s="50"/>
      <c r="AR982" s="50"/>
      <c r="AS982" s="50"/>
      <c r="AT982" s="50"/>
      <c r="AU982" s="50"/>
      <c r="AV982" s="50"/>
      <c r="AW982" s="50"/>
      <c r="AX982" s="50"/>
      <c r="AY982" s="50"/>
      <c r="AZ982" s="50"/>
      <c r="BA982" s="50"/>
      <c r="BB982" s="50"/>
      <c r="BC982" s="50"/>
      <c r="BD982" s="50"/>
      <c r="BE982" s="50"/>
      <c r="BF982" s="50"/>
      <c r="BG982" s="50"/>
      <c r="BH982" s="50"/>
      <c r="BI982" s="50"/>
      <c r="BJ982" s="50"/>
      <c r="BK982" s="50"/>
      <c r="BL982" s="50"/>
      <c r="BM982" s="50"/>
      <c r="BN982" s="50"/>
    </row>
    <row r="983">
      <c r="A983" s="50"/>
      <c r="B983" s="50"/>
      <c r="C983" s="50"/>
      <c r="D983" s="50"/>
      <c r="E983" s="158"/>
      <c r="F983" s="175"/>
      <c r="G983" s="175"/>
      <c r="H983" s="175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168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50"/>
      <c r="AU983" s="50"/>
      <c r="AV983" s="50"/>
      <c r="AW983" s="50"/>
      <c r="AX983" s="50"/>
      <c r="AY983" s="50"/>
      <c r="AZ983" s="50"/>
      <c r="BA983" s="50"/>
      <c r="BB983" s="50"/>
      <c r="BC983" s="50"/>
      <c r="BD983" s="50"/>
      <c r="BE983" s="50"/>
      <c r="BF983" s="50"/>
      <c r="BG983" s="50"/>
      <c r="BH983" s="50"/>
      <c r="BI983" s="50"/>
      <c r="BJ983" s="50"/>
      <c r="BK983" s="50"/>
      <c r="BL983" s="50"/>
      <c r="BM983" s="50"/>
      <c r="BN983" s="50"/>
    </row>
    <row r="984">
      <c r="A984" s="50"/>
      <c r="B984" s="50"/>
      <c r="C984" s="50"/>
      <c r="D984" s="50"/>
      <c r="E984" s="158"/>
      <c r="F984" s="175"/>
      <c r="G984" s="175"/>
      <c r="H984" s="175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168"/>
      <c r="AF984" s="50"/>
      <c r="AG984" s="50"/>
      <c r="AH984" s="50"/>
      <c r="AI984" s="50"/>
      <c r="AJ984" s="50"/>
      <c r="AK984" s="50"/>
      <c r="AL984" s="50"/>
      <c r="AM984" s="50"/>
      <c r="AN984" s="50"/>
      <c r="AO984" s="50"/>
      <c r="AP984" s="50"/>
      <c r="AQ984" s="50"/>
      <c r="AR984" s="50"/>
      <c r="AS984" s="50"/>
      <c r="AT984" s="50"/>
      <c r="AU984" s="50"/>
      <c r="AV984" s="50"/>
      <c r="AW984" s="50"/>
      <c r="AX984" s="50"/>
      <c r="AY984" s="50"/>
      <c r="AZ984" s="50"/>
      <c r="BA984" s="50"/>
      <c r="BB984" s="50"/>
      <c r="BC984" s="50"/>
      <c r="BD984" s="50"/>
      <c r="BE984" s="50"/>
      <c r="BF984" s="50"/>
      <c r="BG984" s="50"/>
      <c r="BH984" s="50"/>
      <c r="BI984" s="50"/>
      <c r="BJ984" s="50"/>
      <c r="BK984" s="50"/>
      <c r="BL984" s="50"/>
      <c r="BM984" s="50"/>
      <c r="BN984" s="50"/>
    </row>
    <row r="985">
      <c r="A985" s="50"/>
      <c r="B985" s="50"/>
      <c r="C985" s="50"/>
      <c r="D985" s="50"/>
      <c r="E985" s="158"/>
      <c r="F985" s="175"/>
      <c r="G985" s="175"/>
      <c r="H985" s="175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168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/>
      <c r="BB985" s="50"/>
      <c r="BC985" s="50"/>
      <c r="BD985" s="50"/>
      <c r="BE985" s="50"/>
      <c r="BF985" s="50"/>
      <c r="BG985" s="50"/>
      <c r="BH985" s="50"/>
      <c r="BI985" s="50"/>
      <c r="BJ985" s="50"/>
      <c r="BK985" s="50"/>
      <c r="BL985" s="50"/>
      <c r="BM985" s="50"/>
      <c r="BN985" s="50"/>
    </row>
    <row r="986">
      <c r="A986" s="50"/>
      <c r="B986" s="50"/>
      <c r="C986" s="50"/>
      <c r="D986" s="50"/>
      <c r="E986" s="158"/>
      <c r="F986" s="175"/>
      <c r="G986" s="175"/>
      <c r="H986" s="175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168"/>
      <c r="AF986" s="50"/>
      <c r="AG986" s="50"/>
      <c r="AH986" s="50"/>
      <c r="AI986" s="50"/>
      <c r="AJ986" s="50"/>
      <c r="AK986" s="50"/>
      <c r="AL986" s="50"/>
      <c r="AM986" s="50"/>
      <c r="AN986" s="50"/>
      <c r="AO986" s="50"/>
      <c r="AP986" s="50"/>
      <c r="AQ986" s="50"/>
      <c r="AR986" s="50"/>
      <c r="AS986" s="50"/>
      <c r="AT986" s="50"/>
      <c r="AU986" s="50"/>
      <c r="AV986" s="50"/>
      <c r="AW986" s="50"/>
      <c r="AX986" s="50"/>
      <c r="AY986" s="50"/>
      <c r="AZ986" s="50"/>
      <c r="BA986" s="50"/>
      <c r="BB986" s="50"/>
      <c r="BC986" s="50"/>
      <c r="BD986" s="50"/>
      <c r="BE986" s="50"/>
      <c r="BF986" s="50"/>
      <c r="BG986" s="50"/>
      <c r="BH986" s="50"/>
      <c r="BI986" s="50"/>
      <c r="BJ986" s="50"/>
      <c r="BK986" s="50"/>
      <c r="BL986" s="50"/>
      <c r="BM986" s="50"/>
      <c r="BN986" s="50"/>
    </row>
    <row r="987">
      <c r="A987" s="50"/>
      <c r="B987" s="50"/>
      <c r="C987" s="50"/>
      <c r="D987" s="50"/>
      <c r="E987" s="158"/>
      <c r="F987" s="175"/>
      <c r="G987" s="175"/>
      <c r="H987" s="175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168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0"/>
      <c r="BE987" s="50"/>
      <c r="BF987" s="50"/>
      <c r="BG987" s="50"/>
      <c r="BH987" s="50"/>
      <c r="BI987" s="50"/>
      <c r="BJ987" s="50"/>
      <c r="BK987" s="50"/>
      <c r="BL987" s="50"/>
      <c r="BM987" s="50"/>
      <c r="BN987" s="50"/>
    </row>
    <row r="988">
      <c r="A988" s="50"/>
      <c r="B988" s="50"/>
      <c r="C988" s="50"/>
      <c r="D988" s="50"/>
      <c r="E988" s="158"/>
      <c r="F988" s="175"/>
      <c r="G988" s="175"/>
      <c r="H988" s="175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168"/>
      <c r="AF988" s="50"/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50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0"/>
      <c r="BE988" s="50"/>
      <c r="BF988" s="50"/>
      <c r="BG988" s="50"/>
      <c r="BH988" s="50"/>
      <c r="BI988" s="50"/>
      <c r="BJ988" s="50"/>
      <c r="BK988" s="50"/>
      <c r="BL988" s="50"/>
      <c r="BM988" s="50"/>
      <c r="BN988" s="50"/>
    </row>
    <row r="989">
      <c r="A989" s="50"/>
      <c r="B989" s="50"/>
      <c r="C989" s="50"/>
      <c r="D989" s="50"/>
      <c r="E989" s="158"/>
      <c r="F989" s="175"/>
      <c r="G989" s="175"/>
      <c r="H989" s="175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168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0"/>
      <c r="BE989" s="50"/>
      <c r="BF989" s="50"/>
      <c r="BG989" s="50"/>
      <c r="BH989" s="50"/>
      <c r="BI989" s="50"/>
      <c r="BJ989" s="50"/>
      <c r="BK989" s="50"/>
      <c r="BL989" s="50"/>
      <c r="BM989" s="50"/>
      <c r="BN989" s="50"/>
    </row>
    <row r="990">
      <c r="A990" s="50"/>
      <c r="B990" s="50"/>
      <c r="C990" s="50"/>
      <c r="D990" s="50"/>
      <c r="E990" s="158"/>
      <c r="F990" s="175"/>
      <c r="G990" s="175"/>
      <c r="H990" s="175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168"/>
      <c r="AF990" s="50"/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/>
      <c r="BE990" s="50"/>
      <c r="BF990" s="50"/>
      <c r="BG990" s="50"/>
      <c r="BH990" s="50"/>
      <c r="BI990" s="50"/>
      <c r="BJ990" s="50"/>
      <c r="BK990" s="50"/>
      <c r="BL990" s="50"/>
      <c r="BM990" s="50"/>
      <c r="BN990" s="50"/>
    </row>
    <row r="991">
      <c r="A991" s="50"/>
      <c r="B991" s="50"/>
      <c r="C991" s="50"/>
      <c r="D991" s="50"/>
      <c r="E991" s="158"/>
      <c r="F991" s="175"/>
      <c r="G991" s="175"/>
      <c r="H991" s="175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168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0"/>
      <c r="BE991" s="50"/>
      <c r="BF991" s="50"/>
      <c r="BG991" s="50"/>
      <c r="BH991" s="50"/>
      <c r="BI991" s="50"/>
      <c r="BJ991" s="50"/>
      <c r="BK991" s="50"/>
      <c r="BL991" s="50"/>
      <c r="BM991" s="50"/>
      <c r="BN991" s="50"/>
    </row>
    <row r="992">
      <c r="A992" s="50"/>
      <c r="B992" s="50"/>
      <c r="C992" s="50"/>
      <c r="D992" s="50"/>
      <c r="E992" s="158"/>
      <c r="F992" s="175"/>
      <c r="G992" s="175"/>
      <c r="H992" s="175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168"/>
      <c r="AF992" s="50"/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50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0"/>
      <c r="BE992" s="50"/>
      <c r="BF992" s="50"/>
      <c r="BG992" s="50"/>
      <c r="BH992" s="50"/>
      <c r="BI992" s="50"/>
      <c r="BJ992" s="50"/>
      <c r="BK992" s="50"/>
      <c r="BL992" s="50"/>
      <c r="BM992" s="50"/>
      <c r="BN992" s="50"/>
    </row>
    <row r="993">
      <c r="A993" s="50"/>
      <c r="B993" s="50"/>
      <c r="C993" s="50"/>
      <c r="D993" s="50"/>
      <c r="E993" s="158"/>
      <c r="F993" s="175"/>
      <c r="G993" s="175"/>
      <c r="H993" s="175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168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0"/>
      <c r="BE993" s="50"/>
      <c r="BF993" s="50"/>
      <c r="BG993" s="50"/>
      <c r="BH993" s="50"/>
      <c r="BI993" s="50"/>
      <c r="BJ993" s="50"/>
      <c r="BK993" s="50"/>
      <c r="BL993" s="50"/>
      <c r="BM993" s="50"/>
      <c r="BN993" s="50"/>
    </row>
    <row r="994">
      <c r="A994" s="50"/>
      <c r="B994" s="50"/>
      <c r="C994" s="50"/>
      <c r="D994" s="50"/>
      <c r="E994" s="158"/>
      <c r="F994" s="175"/>
      <c r="G994" s="175"/>
      <c r="H994" s="175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168"/>
      <c r="AF994" s="50"/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50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/>
      <c r="BE994" s="50"/>
      <c r="BF994" s="50"/>
      <c r="BG994" s="50"/>
      <c r="BH994" s="50"/>
      <c r="BI994" s="50"/>
      <c r="BJ994" s="50"/>
      <c r="BK994" s="50"/>
      <c r="BL994" s="50"/>
      <c r="BM994" s="50"/>
      <c r="BN994" s="50"/>
    </row>
    <row r="995">
      <c r="A995" s="50"/>
      <c r="B995" s="50"/>
      <c r="C995" s="50"/>
      <c r="D995" s="50"/>
      <c r="E995" s="158"/>
      <c r="F995" s="175"/>
      <c r="G995" s="175"/>
      <c r="H995" s="175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168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/>
      <c r="AR995" s="50"/>
      <c r="AS995" s="50"/>
      <c r="AT995" s="50"/>
      <c r="AU995" s="50"/>
      <c r="AV995" s="50"/>
      <c r="AW995" s="50"/>
      <c r="AX995" s="50"/>
      <c r="AY995" s="50"/>
      <c r="AZ995" s="50"/>
      <c r="BA995" s="50"/>
      <c r="BB995" s="50"/>
      <c r="BC995" s="50"/>
      <c r="BD995" s="50"/>
      <c r="BE995" s="50"/>
      <c r="BF995" s="50"/>
      <c r="BG995" s="50"/>
      <c r="BH995" s="50"/>
      <c r="BI995" s="50"/>
      <c r="BJ995" s="50"/>
      <c r="BK995" s="50"/>
      <c r="BL995" s="50"/>
      <c r="BM995" s="50"/>
      <c r="BN995" s="50"/>
    </row>
    <row r="996">
      <c r="A996" s="50"/>
      <c r="B996" s="50"/>
      <c r="C996" s="50"/>
      <c r="D996" s="50"/>
      <c r="E996" s="158"/>
      <c r="F996" s="175"/>
      <c r="G996" s="175"/>
      <c r="H996" s="175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168"/>
      <c r="AF996" s="50"/>
      <c r="AG996" s="50"/>
      <c r="AH996" s="50"/>
      <c r="AI996" s="50"/>
      <c r="AJ996" s="50"/>
      <c r="AK996" s="50"/>
      <c r="AL996" s="50"/>
      <c r="AM996" s="50"/>
      <c r="AN996" s="50"/>
      <c r="AO996" s="50"/>
      <c r="AP996" s="50"/>
      <c r="AQ996" s="50"/>
      <c r="AR996" s="50"/>
      <c r="AS996" s="50"/>
      <c r="AT996" s="50"/>
      <c r="AU996" s="50"/>
      <c r="AV996" s="50"/>
      <c r="AW996" s="50"/>
      <c r="AX996" s="50"/>
      <c r="AY996" s="50"/>
      <c r="AZ996" s="50"/>
      <c r="BA996" s="50"/>
      <c r="BB996" s="50"/>
      <c r="BC996" s="50"/>
      <c r="BD996" s="50"/>
      <c r="BE996" s="50"/>
      <c r="BF996" s="50"/>
      <c r="BG996" s="50"/>
      <c r="BH996" s="50"/>
      <c r="BI996" s="50"/>
      <c r="BJ996" s="50"/>
      <c r="BK996" s="50"/>
      <c r="BL996" s="50"/>
      <c r="BM996" s="50"/>
      <c r="BN996" s="50"/>
    </row>
    <row r="997">
      <c r="A997" s="50"/>
      <c r="B997" s="50"/>
      <c r="C997" s="50"/>
      <c r="D997" s="50"/>
      <c r="E997" s="158"/>
      <c r="F997" s="175"/>
      <c r="G997" s="175"/>
      <c r="H997" s="175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168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/>
      <c r="AR997" s="50"/>
      <c r="AS997" s="50"/>
      <c r="AT997" s="50"/>
      <c r="AU997" s="50"/>
      <c r="AV997" s="50"/>
      <c r="AW997" s="50"/>
      <c r="AX997" s="50"/>
      <c r="AY997" s="50"/>
      <c r="AZ997" s="50"/>
      <c r="BA997" s="50"/>
      <c r="BB997" s="50"/>
      <c r="BC997" s="50"/>
      <c r="BD997" s="50"/>
      <c r="BE997" s="50"/>
      <c r="BF997" s="50"/>
      <c r="BG997" s="50"/>
      <c r="BH997" s="50"/>
      <c r="BI997" s="50"/>
      <c r="BJ997" s="50"/>
      <c r="BK997" s="50"/>
      <c r="BL997" s="50"/>
      <c r="BM997" s="50"/>
      <c r="BN997" s="50"/>
    </row>
    <row r="998">
      <c r="A998" s="50"/>
      <c r="B998" s="50"/>
      <c r="C998" s="50"/>
      <c r="D998" s="50"/>
      <c r="E998" s="158"/>
      <c r="F998" s="175"/>
      <c r="G998" s="175"/>
      <c r="H998" s="175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168"/>
      <c r="AF998" s="50"/>
      <c r="AG998" s="50"/>
      <c r="AH998" s="50"/>
      <c r="AI998" s="50"/>
      <c r="AJ998" s="50"/>
      <c r="AK998" s="50"/>
      <c r="AL998" s="50"/>
      <c r="AM998" s="50"/>
      <c r="AN998" s="50"/>
      <c r="AO998" s="50"/>
      <c r="AP998" s="50"/>
      <c r="AQ998" s="50"/>
      <c r="AR998" s="50"/>
      <c r="AS998" s="50"/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0"/>
      <c r="BE998" s="50"/>
      <c r="BF998" s="50"/>
      <c r="BG998" s="50"/>
      <c r="BH998" s="50"/>
      <c r="BI998" s="50"/>
      <c r="BJ998" s="50"/>
      <c r="BK998" s="50"/>
      <c r="BL998" s="50"/>
      <c r="BM998" s="50"/>
      <c r="BN998" s="50"/>
    </row>
    <row r="999">
      <c r="A999" s="50"/>
      <c r="B999" s="50"/>
      <c r="C999" s="50"/>
      <c r="D999" s="50"/>
      <c r="E999" s="158"/>
      <c r="F999" s="175"/>
      <c r="G999" s="175"/>
      <c r="H999" s="175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168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0"/>
      <c r="BE999" s="50"/>
      <c r="BF999" s="50"/>
      <c r="BG999" s="50"/>
      <c r="BH999" s="50"/>
      <c r="BI999" s="50"/>
      <c r="BJ999" s="50"/>
      <c r="BK999" s="50"/>
      <c r="BL999" s="50"/>
      <c r="BM999" s="50"/>
      <c r="BN999" s="50"/>
    </row>
    <row r="1000">
      <c r="A1000" s="50"/>
      <c r="B1000" s="50"/>
      <c r="C1000" s="50"/>
      <c r="D1000" s="50"/>
      <c r="E1000" s="158"/>
      <c r="F1000" s="175"/>
      <c r="G1000" s="175"/>
      <c r="H1000" s="175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168"/>
      <c r="AF1000" s="50"/>
      <c r="AG1000" s="50"/>
      <c r="AH1000" s="50"/>
      <c r="AI1000" s="50"/>
      <c r="AJ1000" s="50"/>
      <c r="AK1000" s="50"/>
      <c r="AL1000" s="50"/>
      <c r="AM1000" s="50"/>
      <c r="AN1000" s="50"/>
      <c r="AO1000" s="50"/>
      <c r="AP1000" s="50"/>
      <c r="AQ1000" s="50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0"/>
      <c r="BE1000" s="50"/>
      <c r="BF1000" s="50"/>
      <c r="BG1000" s="50"/>
      <c r="BH1000" s="50"/>
      <c r="BI1000" s="50"/>
      <c r="BJ1000" s="50"/>
      <c r="BK1000" s="50"/>
      <c r="BL1000" s="50"/>
      <c r="BM1000" s="50"/>
      <c r="BN1000" s="50"/>
    </row>
    <row r="1001">
      <c r="A1001" s="50"/>
      <c r="B1001" s="50"/>
      <c r="C1001" s="50"/>
      <c r="D1001" s="50"/>
      <c r="E1001" s="158"/>
      <c r="F1001" s="175"/>
      <c r="G1001" s="175"/>
      <c r="H1001" s="175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  <c r="AD1001" s="50"/>
      <c r="AE1001" s="168"/>
      <c r="AF1001" s="50"/>
      <c r="AG1001" s="50"/>
      <c r="AH1001" s="50"/>
      <c r="AI1001" s="50"/>
      <c r="AJ1001" s="50"/>
      <c r="AK1001" s="50"/>
      <c r="AL1001" s="50"/>
      <c r="AM1001" s="50"/>
      <c r="AN1001" s="50"/>
      <c r="AO1001" s="50"/>
      <c r="AP1001" s="50"/>
      <c r="AQ1001" s="50"/>
      <c r="AR1001" s="50"/>
      <c r="AS1001" s="50"/>
      <c r="AT1001" s="50"/>
      <c r="AU1001" s="50"/>
      <c r="AV1001" s="50"/>
      <c r="AW1001" s="50"/>
      <c r="AX1001" s="50"/>
      <c r="AY1001" s="50"/>
      <c r="AZ1001" s="50"/>
      <c r="BA1001" s="50"/>
      <c r="BB1001" s="50"/>
      <c r="BC1001" s="50"/>
      <c r="BD1001" s="50"/>
      <c r="BE1001" s="50"/>
      <c r="BF1001" s="50"/>
      <c r="BG1001" s="50"/>
      <c r="BH1001" s="50"/>
      <c r="BI1001" s="50"/>
      <c r="BJ1001" s="50"/>
      <c r="BK1001" s="50"/>
      <c r="BL1001" s="50"/>
      <c r="BM1001" s="50"/>
      <c r="BN1001" s="50"/>
    </row>
    <row r="1002">
      <c r="A1002" s="50"/>
      <c r="B1002" s="50"/>
      <c r="C1002" s="50"/>
      <c r="D1002" s="50"/>
      <c r="E1002" s="158"/>
      <c r="F1002" s="175"/>
      <c r="G1002" s="175"/>
      <c r="H1002" s="175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50"/>
      <c r="AD1002" s="50"/>
      <c r="AE1002" s="168"/>
      <c r="AF1002" s="50"/>
      <c r="AG1002" s="50"/>
      <c r="AH1002" s="50"/>
      <c r="AI1002" s="50"/>
      <c r="AJ1002" s="50"/>
      <c r="AK1002" s="50"/>
      <c r="AL1002" s="50"/>
      <c r="AM1002" s="50"/>
      <c r="AN1002" s="50"/>
      <c r="AO1002" s="50"/>
      <c r="AP1002" s="50"/>
      <c r="AQ1002" s="50"/>
      <c r="AR1002" s="50"/>
      <c r="AS1002" s="50"/>
      <c r="AT1002" s="50"/>
      <c r="AU1002" s="50"/>
      <c r="AV1002" s="50"/>
      <c r="AW1002" s="50"/>
      <c r="AX1002" s="50"/>
      <c r="AY1002" s="50"/>
      <c r="AZ1002" s="50"/>
      <c r="BA1002" s="50"/>
      <c r="BB1002" s="50"/>
      <c r="BC1002" s="50"/>
      <c r="BD1002" s="50"/>
      <c r="BE1002" s="50"/>
      <c r="BF1002" s="50"/>
      <c r="BG1002" s="50"/>
      <c r="BH1002" s="50"/>
      <c r="BI1002" s="50"/>
      <c r="BJ1002" s="50"/>
      <c r="BK1002" s="50"/>
      <c r="BL1002" s="50"/>
      <c r="BM1002" s="50"/>
      <c r="BN1002" s="50"/>
    </row>
    <row r="1003">
      <c r="A1003" s="50"/>
      <c r="B1003" s="50"/>
      <c r="C1003" s="50"/>
      <c r="D1003" s="50"/>
      <c r="E1003" s="158"/>
      <c r="F1003" s="175"/>
      <c r="G1003" s="175"/>
      <c r="H1003" s="175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50"/>
      <c r="AD1003" s="50"/>
      <c r="AE1003" s="168"/>
      <c r="AF1003" s="50"/>
      <c r="AG1003" s="50"/>
      <c r="AH1003" s="50"/>
      <c r="AI1003" s="50"/>
      <c r="AJ1003" s="50"/>
      <c r="AK1003" s="50"/>
      <c r="AL1003" s="50"/>
      <c r="AM1003" s="50"/>
      <c r="AN1003" s="50"/>
      <c r="AO1003" s="50"/>
      <c r="AP1003" s="50"/>
      <c r="AQ1003" s="50"/>
      <c r="AR1003" s="50"/>
      <c r="AS1003" s="50"/>
      <c r="AT1003" s="50"/>
      <c r="AU1003" s="50"/>
      <c r="AV1003" s="50"/>
      <c r="AW1003" s="50"/>
      <c r="AX1003" s="50"/>
      <c r="AY1003" s="50"/>
      <c r="AZ1003" s="50"/>
      <c r="BA1003" s="50"/>
      <c r="BB1003" s="50"/>
      <c r="BC1003" s="50"/>
      <c r="BD1003" s="50"/>
      <c r="BE1003" s="50"/>
      <c r="BF1003" s="50"/>
      <c r="BG1003" s="50"/>
      <c r="BH1003" s="50"/>
      <c r="BI1003" s="50"/>
      <c r="BJ1003" s="50"/>
      <c r="BK1003" s="50"/>
      <c r="BL1003" s="50"/>
      <c r="BM1003" s="50"/>
      <c r="BN1003" s="50"/>
    </row>
    <row r="1004">
      <c r="A1004" s="50"/>
      <c r="B1004" s="50"/>
      <c r="C1004" s="50"/>
      <c r="D1004" s="50"/>
      <c r="E1004" s="158"/>
      <c r="F1004" s="175"/>
      <c r="G1004" s="175"/>
      <c r="H1004" s="175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  <c r="AC1004" s="50"/>
      <c r="AD1004" s="50"/>
      <c r="AE1004" s="168"/>
      <c r="AF1004" s="50"/>
      <c r="AG1004" s="50"/>
      <c r="AH1004" s="50"/>
      <c r="AI1004" s="50"/>
      <c r="AJ1004" s="50"/>
      <c r="AK1004" s="50"/>
      <c r="AL1004" s="50"/>
      <c r="AM1004" s="50"/>
      <c r="AN1004" s="50"/>
      <c r="AO1004" s="50"/>
      <c r="AP1004" s="50"/>
      <c r="AQ1004" s="50"/>
      <c r="AR1004" s="50"/>
      <c r="AS1004" s="50"/>
      <c r="AT1004" s="50"/>
      <c r="AU1004" s="50"/>
      <c r="AV1004" s="50"/>
      <c r="AW1004" s="50"/>
      <c r="AX1004" s="50"/>
      <c r="AY1004" s="50"/>
      <c r="AZ1004" s="50"/>
      <c r="BA1004" s="50"/>
      <c r="BB1004" s="50"/>
      <c r="BC1004" s="50"/>
      <c r="BD1004" s="50"/>
      <c r="BE1004" s="50"/>
      <c r="BF1004" s="50"/>
      <c r="BG1004" s="50"/>
      <c r="BH1004" s="50"/>
      <c r="BI1004" s="50"/>
      <c r="BJ1004" s="50"/>
      <c r="BK1004" s="50"/>
      <c r="BL1004" s="50"/>
      <c r="BM1004" s="50"/>
      <c r="BN1004" s="50"/>
    </row>
    <row r="1005">
      <c r="A1005" s="50"/>
      <c r="B1005" s="50"/>
      <c r="C1005" s="50"/>
      <c r="D1005" s="50"/>
      <c r="E1005" s="158"/>
      <c r="F1005" s="175"/>
      <c r="G1005" s="175"/>
      <c r="H1005" s="175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168"/>
      <c r="AF1005" s="50"/>
      <c r="AG1005" s="50"/>
      <c r="AH1005" s="50"/>
      <c r="AI1005" s="50"/>
      <c r="AJ1005" s="50"/>
      <c r="AK1005" s="50"/>
      <c r="AL1005" s="50"/>
      <c r="AM1005" s="50"/>
      <c r="AN1005" s="50"/>
      <c r="AO1005" s="50"/>
      <c r="AP1005" s="50"/>
      <c r="AQ1005" s="50"/>
      <c r="AR1005" s="50"/>
      <c r="AS1005" s="50"/>
      <c r="AT1005" s="50"/>
      <c r="AU1005" s="50"/>
      <c r="AV1005" s="50"/>
      <c r="AW1005" s="50"/>
      <c r="AX1005" s="50"/>
      <c r="AY1005" s="50"/>
      <c r="AZ1005" s="50"/>
      <c r="BA1005" s="50"/>
      <c r="BB1005" s="50"/>
      <c r="BC1005" s="50"/>
      <c r="BD1005" s="50"/>
      <c r="BE1005" s="50"/>
      <c r="BF1005" s="50"/>
      <c r="BG1005" s="50"/>
      <c r="BH1005" s="50"/>
      <c r="BI1005" s="50"/>
      <c r="BJ1005" s="50"/>
      <c r="BK1005" s="50"/>
      <c r="BL1005" s="50"/>
      <c r="BM1005" s="50"/>
      <c r="BN1005" s="50"/>
    </row>
  </sheetData>
  <conditionalFormatting sqref="F16">
    <cfRule type="notContainsBlanks" dxfId="4" priority="1">
      <formula>LEN(TRIM(F16))&gt;0</formula>
    </cfRule>
  </conditionalFormatting>
  <conditionalFormatting sqref="D2:H33 J2:Y33 AE2:AE33 B33:C33">
    <cfRule type="expression" dxfId="7" priority="2">
      <formula> SUM($N2:$Y2) &gt;0</formula>
    </cfRule>
  </conditionalFormatting>
  <conditionalFormatting sqref="AD2:AD33">
    <cfRule type="colorScale" priority="3">
      <colorScale>
        <cfvo type="min"/>
        <cfvo type="max"/>
        <color rgb="FF999999"/>
        <color rgb="FFFFFFFF"/>
      </colorScale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88"/>
    <col customWidth="1" min="2" max="2" width="6.25"/>
    <col customWidth="1" min="3" max="3" width="6.88"/>
    <col customWidth="1" min="4" max="4" width="11.38"/>
    <col customWidth="1" min="5" max="5" width="8.5"/>
    <col customWidth="1" min="6" max="6" width="6.63"/>
    <col customWidth="1" hidden="1" min="7" max="7" width="7.88"/>
    <col customWidth="1" min="8" max="8" width="7.88"/>
    <col customWidth="1" min="9" max="9" width="10.0"/>
    <col customWidth="1" min="10" max="10" width="5.38"/>
    <col customWidth="1" min="11" max="11" width="5.63"/>
    <col customWidth="1" min="12" max="12" width="5.38"/>
    <col customWidth="1" min="13" max="13" width="17.5"/>
    <col customWidth="1" min="14" max="24" width="8.88"/>
    <col customWidth="1" min="25" max="25" width="7.75"/>
    <col customWidth="1" min="26" max="26" width="6.0"/>
    <col customWidth="1" min="27" max="27" width="6.38"/>
    <col customWidth="1" min="28" max="28" width="12.38"/>
    <col customWidth="1" min="29" max="29" width="9.75"/>
    <col customWidth="1" hidden="1" min="30" max="30" width="6.25"/>
    <col customWidth="1" min="31" max="31" width="54.0"/>
  </cols>
  <sheetData>
    <row r="1">
      <c r="A1" s="193" t="s">
        <v>74</v>
      </c>
      <c r="B1" s="2" t="s">
        <v>1</v>
      </c>
      <c r="C1" s="1" t="s">
        <v>2</v>
      </c>
      <c r="D1" s="156" t="s">
        <v>3</v>
      </c>
      <c r="E1" s="156" t="s">
        <v>4</v>
      </c>
      <c r="F1" s="155" t="s">
        <v>5</v>
      </c>
      <c r="G1" s="3" t="s">
        <v>6</v>
      </c>
      <c r="H1" s="3" t="s">
        <v>7</v>
      </c>
      <c r="I1" s="3" t="s">
        <v>138</v>
      </c>
      <c r="J1" s="156" t="s">
        <v>9</v>
      </c>
      <c r="K1" s="156" t="s">
        <v>139</v>
      </c>
      <c r="L1" s="156" t="s">
        <v>11</v>
      </c>
      <c r="M1" s="156" t="s">
        <v>12</v>
      </c>
      <c r="N1" s="194" t="s">
        <v>13</v>
      </c>
      <c r="O1" s="194" t="s">
        <v>14</v>
      </c>
      <c r="P1" s="194" t="s">
        <v>78</v>
      </c>
      <c r="Q1" s="194" t="s">
        <v>79</v>
      </c>
      <c r="R1" s="194" t="s">
        <v>140</v>
      </c>
      <c r="S1" s="194" t="s">
        <v>81</v>
      </c>
      <c r="T1" s="194" t="s">
        <v>82</v>
      </c>
      <c r="U1" s="194" t="s">
        <v>83</v>
      </c>
      <c r="V1" s="194" t="s">
        <v>141</v>
      </c>
      <c r="W1" s="194" t="s">
        <v>85</v>
      </c>
      <c r="X1" s="194" t="s">
        <v>142</v>
      </c>
      <c r="Y1" s="156" t="s">
        <v>87</v>
      </c>
      <c r="Z1" s="156" t="s">
        <v>143</v>
      </c>
      <c r="AA1" s="156" t="s">
        <v>89</v>
      </c>
      <c r="AB1" s="156" t="s">
        <v>27</v>
      </c>
      <c r="AC1" s="156" t="s">
        <v>28</v>
      </c>
      <c r="AD1" s="2" t="s">
        <v>29</v>
      </c>
      <c r="AE1" s="156" t="s">
        <v>30</v>
      </c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</row>
    <row r="2">
      <c r="A2" s="23">
        <v>43466.0</v>
      </c>
      <c r="B2" s="6">
        <v>1638.0</v>
      </c>
      <c r="C2" s="6">
        <v>1712.0</v>
      </c>
      <c r="D2" s="159" t="str">
        <f t="shared" ref="D2:D32" si="1">choose(weekday(A2),"Fred/Phil", "Jane/Murr", "Tom","Sue/Anne","Shawn/Orems","Jeff", "Rob")</f>
        <v>Tom</v>
      </c>
      <c r="E2" s="196" t="s">
        <v>33</v>
      </c>
      <c r="F2" s="162">
        <v>0.7083333333333334</v>
      </c>
      <c r="G2" s="163">
        <v>43466.0</v>
      </c>
      <c r="H2" s="162">
        <v>0.7083333333333334</v>
      </c>
      <c r="I2" s="11">
        <f t="shared" ref="I2:I22" si="2">iferror(24*( DATEDIF(A2,G2,"D")+TIMEVALUE(H2)-TIMEVALUE(F2)),0)</f>
        <v>0</v>
      </c>
      <c r="J2" s="197">
        <v>0.0</v>
      </c>
      <c r="K2" s="198">
        <v>44.0</v>
      </c>
      <c r="L2" s="198">
        <v>44.0</v>
      </c>
      <c r="M2" s="159" t="s">
        <v>144</v>
      </c>
      <c r="N2" s="165">
        <v>0.0</v>
      </c>
      <c r="O2" s="165">
        <v>0.0</v>
      </c>
      <c r="P2" s="165">
        <v>0.0</v>
      </c>
      <c r="Q2" s="165">
        <v>0.0</v>
      </c>
      <c r="R2" s="165">
        <v>0.0</v>
      </c>
      <c r="S2" s="165">
        <v>0.0</v>
      </c>
      <c r="T2" s="165">
        <v>0.0</v>
      </c>
      <c r="U2" s="165">
        <v>0.0</v>
      </c>
      <c r="V2" s="165">
        <v>0.0</v>
      </c>
      <c r="W2" s="165">
        <v>0.0</v>
      </c>
      <c r="X2" s="165">
        <v>0.0</v>
      </c>
      <c r="Y2" s="165">
        <v>0.0</v>
      </c>
      <c r="Z2" s="166">
        <f t="shared" ref="Z2:Z19" si="3">sum(N2:Q2)</f>
        <v>0</v>
      </c>
      <c r="AA2" s="166">
        <f t="shared" ref="AA2:AA32" si="4">sum(R2:V2)</f>
        <v>0</v>
      </c>
      <c r="AB2" s="167">
        <f t="shared" ref="AB2:AB32" si="5">sum(N2:O2)</f>
        <v>0</v>
      </c>
      <c r="AC2" s="167">
        <f t="shared" ref="AC2:AC32" si="6">sum(R2:S2,V2)</f>
        <v>0</v>
      </c>
      <c r="AD2" s="15">
        <v>0.21</v>
      </c>
      <c r="AE2" s="50"/>
    </row>
    <row r="3">
      <c r="A3" s="23">
        <v>43467.0</v>
      </c>
      <c r="B3" s="6">
        <v>1639.0</v>
      </c>
      <c r="C3" s="6">
        <v>1713.0</v>
      </c>
      <c r="D3" s="159" t="str">
        <f t="shared" si="1"/>
        <v>Sue/Anne</v>
      </c>
      <c r="E3" s="169" t="s">
        <v>33</v>
      </c>
      <c r="F3" s="183"/>
      <c r="G3" s="171">
        <v>43467.0</v>
      </c>
      <c r="H3" s="183"/>
      <c r="I3" s="11">
        <f t="shared" si="2"/>
        <v>0</v>
      </c>
      <c r="J3" s="197"/>
      <c r="K3" s="198"/>
      <c r="L3" s="198"/>
      <c r="M3" s="160" t="s">
        <v>145</v>
      </c>
      <c r="N3" s="160">
        <v>0.0</v>
      </c>
      <c r="O3" s="160">
        <v>0.0</v>
      </c>
      <c r="P3" s="160">
        <v>0.0</v>
      </c>
      <c r="Q3" s="160">
        <v>0.0</v>
      </c>
      <c r="R3" s="160">
        <v>0.0</v>
      </c>
      <c r="S3" s="160">
        <v>0.0</v>
      </c>
      <c r="T3" s="160">
        <v>0.0</v>
      </c>
      <c r="U3" s="160">
        <v>0.0</v>
      </c>
      <c r="V3" s="160">
        <v>0.0</v>
      </c>
      <c r="W3" s="160">
        <v>0.0</v>
      </c>
      <c r="X3" s="160">
        <v>0.0</v>
      </c>
      <c r="Y3" s="160">
        <v>0.0</v>
      </c>
      <c r="Z3" s="166">
        <f t="shared" si="3"/>
        <v>0</v>
      </c>
      <c r="AA3" s="166">
        <f t="shared" si="4"/>
        <v>0</v>
      </c>
      <c r="AB3" s="167">
        <f t="shared" si="5"/>
        <v>0</v>
      </c>
      <c r="AC3" s="167">
        <f t="shared" si="6"/>
        <v>0</v>
      </c>
      <c r="AD3" s="15">
        <v>0.13</v>
      </c>
      <c r="AE3" s="68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174"/>
      <c r="BA3" s="174"/>
      <c r="BB3" s="174"/>
      <c r="BC3" s="174"/>
      <c r="BD3" s="174"/>
      <c r="BE3" s="174"/>
      <c r="BF3" s="174"/>
      <c r="BG3" s="174"/>
      <c r="BH3" s="174"/>
      <c r="BI3" s="174"/>
      <c r="BJ3" s="174"/>
      <c r="BK3" s="174"/>
      <c r="BL3" s="174"/>
      <c r="BM3" s="174"/>
      <c r="BN3" s="174"/>
    </row>
    <row r="4">
      <c r="A4" s="23">
        <v>43468.0</v>
      </c>
      <c r="B4" s="6">
        <v>1640.0</v>
      </c>
      <c r="C4" s="6">
        <v>1714.0</v>
      </c>
      <c r="D4" s="159" t="str">
        <f t="shared" si="1"/>
        <v>Shawn/Orems</v>
      </c>
      <c r="E4" s="196" t="s">
        <v>40</v>
      </c>
      <c r="F4" s="184">
        <v>0.7083333333333334</v>
      </c>
      <c r="G4" s="163">
        <v>43468.0</v>
      </c>
      <c r="H4" s="184">
        <v>0.7604166666666666</v>
      </c>
      <c r="I4" s="11">
        <f t="shared" si="2"/>
        <v>1.25</v>
      </c>
      <c r="J4" s="197">
        <v>2.5</v>
      </c>
      <c r="K4" s="198">
        <v>49.0</v>
      </c>
      <c r="L4" s="198">
        <v>48.0</v>
      </c>
      <c r="M4" s="159" t="s">
        <v>146</v>
      </c>
      <c r="N4" s="165">
        <v>0.0</v>
      </c>
      <c r="O4" s="165">
        <v>0.0</v>
      </c>
      <c r="P4" s="165">
        <v>0.0</v>
      </c>
      <c r="Q4" s="165">
        <v>0.0</v>
      </c>
      <c r="R4" s="165">
        <v>0.0</v>
      </c>
      <c r="S4" s="165">
        <v>0.0</v>
      </c>
      <c r="T4" s="165">
        <v>0.0</v>
      </c>
      <c r="U4" s="165">
        <v>0.0</v>
      </c>
      <c r="V4" s="165">
        <v>0.0</v>
      </c>
      <c r="W4" s="165">
        <v>0.0</v>
      </c>
      <c r="X4" s="165">
        <v>0.0</v>
      </c>
      <c r="Y4" s="165">
        <v>0.0</v>
      </c>
      <c r="Z4" s="166">
        <f t="shared" si="3"/>
        <v>0</v>
      </c>
      <c r="AA4" s="166">
        <f t="shared" si="4"/>
        <v>0</v>
      </c>
      <c r="AB4" s="167">
        <f t="shared" si="5"/>
        <v>0</v>
      </c>
      <c r="AC4" s="167">
        <f t="shared" si="6"/>
        <v>0</v>
      </c>
      <c r="AD4" s="15">
        <v>0.07</v>
      </c>
      <c r="AE4" s="91"/>
    </row>
    <row r="5">
      <c r="A5" s="17">
        <v>43469.0</v>
      </c>
      <c r="B5" s="6">
        <v>1641.0</v>
      </c>
      <c r="C5" s="6">
        <v>1715.0</v>
      </c>
      <c r="D5" s="159" t="str">
        <f t="shared" si="1"/>
        <v>Jeff</v>
      </c>
      <c r="E5" s="169" t="s">
        <v>40</v>
      </c>
      <c r="F5" s="183">
        <v>0.7395833333333334</v>
      </c>
      <c r="G5" s="171">
        <v>43469.0</v>
      </c>
      <c r="H5" s="183">
        <v>0.7430555555555556</v>
      </c>
      <c r="I5" s="11">
        <f t="shared" si="2"/>
        <v>0.08333333333</v>
      </c>
      <c r="J5" s="197">
        <v>0.24</v>
      </c>
      <c r="K5" s="198">
        <v>50.0</v>
      </c>
      <c r="L5" s="198">
        <v>50.0</v>
      </c>
      <c r="M5" s="160" t="s">
        <v>147</v>
      </c>
      <c r="N5" s="160"/>
      <c r="O5" s="160">
        <v>0.0</v>
      </c>
      <c r="P5" s="160">
        <v>0.0</v>
      </c>
      <c r="Q5" s="160">
        <v>0.0</v>
      </c>
      <c r="R5" s="160">
        <v>0.0</v>
      </c>
      <c r="S5" s="160">
        <v>0.0</v>
      </c>
      <c r="T5" s="160">
        <v>0.0</v>
      </c>
      <c r="U5" s="160">
        <v>0.0</v>
      </c>
      <c r="V5" s="160">
        <v>0.0</v>
      </c>
      <c r="W5" s="160">
        <v>0.0</v>
      </c>
      <c r="X5" s="160">
        <v>0.0</v>
      </c>
      <c r="Y5" s="160">
        <v>0.0</v>
      </c>
      <c r="Z5" s="166">
        <f t="shared" si="3"/>
        <v>0</v>
      </c>
      <c r="AA5" s="166">
        <f t="shared" si="4"/>
        <v>0</v>
      </c>
      <c r="AB5" s="167">
        <f t="shared" si="5"/>
        <v>0</v>
      </c>
      <c r="AC5" s="167">
        <f t="shared" si="6"/>
        <v>0</v>
      </c>
      <c r="AD5" s="15">
        <v>0.03</v>
      </c>
      <c r="AE5" s="68" t="s">
        <v>148</v>
      </c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  <c r="BF5" s="174"/>
      <c r="BG5" s="174"/>
      <c r="BH5" s="174"/>
      <c r="BI5" s="174"/>
      <c r="BJ5" s="174"/>
      <c r="BK5" s="174"/>
      <c r="BL5" s="174"/>
      <c r="BM5" s="174"/>
      <c r="BN5" s="174"/>
    </row>
    <row r="6">
      <c r="A6" s="25">
        <v>43470.0</v>
      </c>
      <c r="B6" s="6">
        <v>1642.0</v>
      </c>
      <c r="C6" s="6">
        <v>1716.0</v>
      </c>
      <c r="D6" s="159" t="str">
        <f t="shared" si="1"/>
        <v>Rob</v>
      </c>
      <c r="E6" s="196" t="s">
        <v>46</v>
      </c>
      <c r="F6" s="184">
        <v>0.6875</v>
      </c>
      <c r="G6" s="163">
        <v>43470.0</v>
      </c>
      <c r="H6" s="184">
        <v>0.75</v>
      </c>
      <c r="I6" s="11">
        <f t="shared" si="2"/>
        <v>1.5</v>
      </c>
      <c r="J6" s="197">
        <v>10.5</v>
      </c>
      <c r="K6" s="198">
        <v>44.0</v>
      </c>
      <c r="L6" s="198">
        <v>42.0</v>
      </c>
      <c r="M6" s="159" t="s">
        <v>149</v>
      </c>
      <c r="N6" s="165">
        <v>0.0</v>
      </c>
      <c r="O6" s="165">
        <v>0.0</v>
      </c>
      <c r="P6" s="165">
        <v>0.0</v>
      </c>
      <c r="Q6" s="165">
        <v>0.0</v>
      </c>
      <c r="R6" s="165">
        <v>0.0</v>
      </c>
      <c r="S6" s="165">
        <v>0.0</v>
      </c>
      <c r="T6" s="165">
        <v>0.0</v>
      </c>
      <c r="U6" s="165">
        <v>0.0</v>
      </c>
      <c r="V6" s="165">
        <v>0.0</v>
      </c>
      <c r="W6" s="165">
        <v>0.0</v>
      </c>
      <c r="X6" s="165">
        <v>0.0</v>
      </c>
      <c r="Y6" s="165">
        <v>0.0</v>
      </c>
      <c r="Z6" s="166">
        <f t="shared" si="3"/>
        <v>0</v>
      </c>
      <c r="AA6" s="166">
        <f t="shared" si="4"/>
        <v>0</v>
      </c>
      <c r="AB6" s="167">
        <f t="shared" si="5"/>
        <v>0</v>
      </c>
      <c r="AC6" s="167">
        <f t="shared" si="6"/>
        <v>0</v>
      </c>
      <c r="AD6" s="15">
        <v>0.01</v>
      </c>
      <c r="AE6" s="68" t="s">
        <v>150</v>
      </c>
    </row>
    <row r="7">
      <c r="A7" s="25">
        <v>43471.0</v>
      </c>
      <c r="B7" s="6">
        <v>1643.0</v>
      </c>
      <c r="C7" s="6">
        <v>1717.0</v>
      </c>
      <c r="D7" s="159" t="str">
        <f t="shared" si="1"/>
        <v>Fred/Phil</v>
      </c>
      <c r="E7" s="169" t="s">
        <v>40</v>
      </c>
      <c r="F7" s="183">
        <v>0.7291666666666666</v>
      </c>
      <c r="G7" s="171">
        <v>43471.0</v>
      </c>
      <c r="H7" s="183">
        <v>0.75</v>
      </c>
      <c r="I7" s="11">
        <f t="shared" si="2"/>
        <v>0.5</v>
      </c>
      <c r="J7" s="197">
        <v>0.5</v>
      </c>
      <c r="K7" s="198">
        <v>42.0</v>
      </c>
      <c r="L7" s="198">
        <v>42.0</v>
      </c>
      <c r="M7" s="160" t="s">
        <v>48</v>
      </c>
      <c r="N7" s="160">
        <v>0.0</v>
      </c>
      <c r="O7" s="160">
        <v>0.0</v>
      </c>
      <c r="P7" s="160">
        <v>0.0</v>
      </c>
      <c r="Q7" s="160">
        <v>0.0</v>
      </c>
      <c r="R7" s="160">
        <v>0.0</v>
      </c>
      <c r="S7" s="160">
        <v>0.0</v>
      </c>
      <c r="T7" s="160">
        <v>0.0</v>
      </c>
      <c r="U7" s="160">
        <v>0.0</v>
      </c>
      <c r="V7" s="160">
        <v>0.0</v>
      </c>
      <c r="W7" s="160">
        <v>0.0</v>
      </c>
      <c r="X7" s="160">
        <v>0.0</v>
      </c>
      <c r="Y7" s="160">
        <v>0.0</v>
      </c>
      <c r="Z7" s="166">
        <f t="shared" si="3"/>
        <v>0</v>
      </c>
      <c r="AA7" s="166">
        <f t="shared" si="4"/>
        <v>0</v>
      </c>
      <c r="AB7" s="167">
        <f t="shared" si="5"/>
        <v>0</v>
      </c>
      <c r="AC7" s="167">
        <f t="shared" si="6"/>
        <v>0</v>
      </c>
      <c r="AD7" s="15">
        <v>0.0</v>
      </c>
      <c r="AE7" s="68" t="s">
        <v>151</v>
      </c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74"/>
      <c r="BL7" s="174"/>
      <c r="BM7" s="174"/>
      <c r="BN7" s="174"/>
    </row>
    <row r="8">
      <c r="A8" s="25">
        <v>43472.0</v>
      </c>
      <c r="B8" s="6">
        <v>1644.0</v>
      </c>
      <c r="C8" s="6">
        <v>1718.0</v>
      </c>
      <c r="D8" s="159" t="str">
        <f t="shared" si="1"/>
        <v>Jane/Murr</v>
      </c>
      <c r="E8" s="196" t="s">
        <v>33</v>
      </c>
      <c r="F8" s="162">
        <v>0.7291666666666666</v>
      </c>
      <c r="G8" s="163">
        <v>43472.0</v>
      </c>
      <c r="H8" s="184">
        <v>0.7291666666666666</v>
      </c>
      <c r="I8" s="11">
        <f t="shared" si="2"/>
        <v>0</v>
      </c>
      <c r="J8" s="199"/>
      <c r="K8" s="198">
        <v>43.0</v>
      </c>
      <c r="L8" s="198">
        <v>43.0</v>
      </c>
      <c r="M8" s="159" t="s">
        <v>35</v>
      </c>
      <c r="N8" s="165">
        <v>0.0</v>
      </c>
      <c r="O8" s="165">
        <v>0.0</v>
      </c>
      <c r="P8" s="165">
        <v>0.0</v>
      </c>
      <c r="Q8" s="165">
        <v>0.0</v>
      </c>
      <c r="R8" s="165">
        <v>0.0</v>
      </c>
      <c r="S8" s="165">
        <v>0.0</v>
      </c>
      <c r="T8" s="165">
        <v>0.0</v>
      </c>
      <c r="U8" s="165">
        <v>0.0</v>
      </c>
      <c r="V8" s="165">
        <v>0.0</v>
      </c>
      <c r="W8" s="165">
        <v>0.0</v>
      </c>
      <c r="X8" s="165">
        <v>0.0</v>
      </c>
      <c r="Y8" s="165">
        <v>0.0</v>
      </c>
      <c r="Z8" s="166">
        <f t="shared" si="3"/>
        <v>0</v>
      </c>
      <c r="AA8" s="166">
        <f t="shared" si="4"/>
        <v>0</v>
      </c>
      <c r="AB8" s="167">
        <f t="shared" si="5"/>
        <v>0</v>
      </c>
      <c r="AC8" s="167">
        <f t="shared" si="6"/>
        <v>0</v>
      </c>
      <c r="AD8" s="15">
        <v>0.01</v>
      </c>
      <c r="AE8" s="68"/>
    </row>
    <row r="9">
      <c r="A9" s="17">
        <v>43473.0</v>
      </c>
      <c r="B9" s="6">
        <v>1645.0</v>
      </c>
      <c r="C9" s="6">
        <v>1719.0</v>
      </c>
      <c r="D9" s="159" t="str">
        <f t="shared" si="1"/>
        <v>Tom</v>
      </c>
      <c r="E9" s="169" t="s">
        <v>40</v>
      </c>
      <c r="F9" s="183">
        <v>0.71875</v>
      </c>
      <c r="G9" s="171">
        <v>43473.0</v>
      </c>
      <c r="H9" s="183">
        <v>0.7291666666666666</v>
      </c>
      <c r="I9" s="11">
        <f t="shared" si="2"/>
        <v>0.25</v>
      </c>
      <c r="J9" s="197">
        <v>0.25</v>
      </c>
      <c r="K9" s="198">
        <v>45.0</v>
      </c>
      <c r="L9" s="198">
        <v>45.0</v>
      </c>
      <c r="M9" s="160" t="s">
        <v>48</v>
      </c>
      <c r="N9" s="160">
        <v>0.0</v>
      </c>
      <c r="O9" s="160">
        <v>0.0</v>
      </c>
      <c r="P9" s="160">
        <v>0.0</v>
      </c>
      <c r="Q9" s="160">
        <v>0.0</v>
      </c>
      <c r="R9" s="160">
        <v>0.0</v>
      </c>
      <c r="S9" s="160">
        <v>0.0</v>
      </c>
      <c r="T9" s="160">
        <v>0.0</v>
      </c>
      <c r="U9" s="160">
        <v>0.0</v>
      </c>
      <c r="V9" s="160">
        <v>0.0</v>
      </c>
      <c r="W9" s="160">
        <v>0.0</v>
      </c>
      <c r="X9" s="160">
        <v>0.0</v>
      </c>
      <c r="Y9" s="160">
        <v>0.0</v>
      </c>
      <c r="Z9" s="166">
        <f t="shared" si="3"/>
        <v>0</v>
      </c>
      <c r="AA9" s="166">
        <f t="shared" si="4"/>
        <v>0</v>
      </c>
      <c r="AB9" s="167">
        <f t="shared" si="5"/>
        <v>0</v>
      </c>
      <c r="AC9" s="167">
        <f t="shared" si="6"/>
        <v>0</v>
      </c>
      <c r="AD9" s="15">
        <v>0.05</v>
      </c>
      <c r="AE9" s="91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174"/>
      <c r="BH9" s="174"/>
      <c r="BI9" s="174"/>
      <c r="BJ9" s="174"/>
      <c r="BK9" s="174"/>
      <c r="BL9" s="174"/>
      <c r="BM9" s="174"/>
      <c r="BN9" s="174"/>
    </row>
    <row r="10">
      <c r="A10" s="17">
        <v>43474.0</v>
      </c>
      <c r="B10" s="6">
        <v>1646.0</v>
      </c>
      <c r="C10" s="6">
        <v>1720.0</v>
      </c>
      <c r="D10" s="159" t="str">
        <f t="shared" si="1"/>
        <v>Sue/Anne</v>
      </c>
      <c r="E10" s="196" t="s">
        <v>40</v>
      </c>
      <c r="F10" s="184">
        <v>0.6979166666666666</v>
      </c>
      <c r="G10" s="163">
        <v>43474.0</v>
      </c>
      <c r="H10" s="184">
        <v>0.78125</v>
      </c>
      <c r="I10" s="11">
        <f t="shared" si="2"/>
        <v>2</v>
      </c>
      <c r="J10" s="197">
        <v>10.0</v>
      </c>
      <c r="K10" s="198">
        <v>43.0</v>
      </c>
      <c r="L10" s="198">
        <v>43.3</v>
      </c>
      <c r="M10" s="159" t="s">
        <v>152</v>
      </c>
      <c r="N10" s="165">
        <v>0.0</v>
      </c>
      <c r="O10" s="165">
        <v>1.0</v>
      </c>
      <c r="P10" s="165">
        <v>0.0</v>
      </c>
      <c r="Q10" s="165">
        <v>0.0</v>
      </c>
      <c r="R10" s="165">
        <v>0.0</v>
      </c>
      <c r="S10" s="165">
        <v>0.0</v>
      </c>
      <c r="T10" s="165">
        <v>0.0</v>
      </c>
      <c r="U10" s="165">
        <v>0.0</v>
      </c>
      <c r="V10" s="165">
        <v>0.0</v>
      </c>
      <c r="W10" s="165">
        <v>0.0</v>
      </c>
      <c r="X10" s="165">
        <v>0.0</v>
      </c>
      <c r="Y10" s="165">
        <v>0.0</v>
      </c>
      <c r="Z10" s="166">
        <f t="shared" si="3"/>
        <v>1</v>
      </c>
      <c r="AA10" s="166">
        <f t="shared" si="4"/>
        <v>0</v>
      </c>
      <c r="AB10" s="167">
        <f t="shared" si="5"/>
        <v>1</v>
      </c>
      <c r="AC10" s="167">
        <f t="shared" si="6"/>
        <v>0</v>
      </c>
      <c r="AD10" s="15">
        <v>0.09</v>
      </c>
      <c r="AE10" s="68" t="s">
        <v>153</v>
      </c>
    </row>
    <row r="11">
      <c r="A11" s="17">
        <v>43475.0</v>
      </c>
      <c r="B11" s="6">
        <v>1647.0</v>
      </c>
      <c r="C11" s="6">
        <v>1721.0</v>
      </c>
      <c r="D11" s="159" t="str">
        <f t="shared" si="1"/>
        <v>Shawn/Orems</v>
      </c>
      <c r="E11" s="169" t="s">
        <v>40</v>
      </c>
      <c r="F11" s="200">
        <v>0.7013888888888888</v>
      </c>
      <c r="G11" s="171">
        <v>43475.0</v>
      </c>
      <c r="H11" s="183">
        <v>0.7847222222222222</v>
      </c>
      <c r="I11" s="11">
        <f t="shared" si="2"/>
        <v>2</v>
      </c>
      <c r="J11" s="197">
        <v>3.0</v>
      </c>
      <c r="K11" s="198">
        <v>49.0</v>
      </c>
      <c r="L11" s="198">
        <v>46.0</v>
      </c>
      <c r="M11" s="160" t="s">
        <v>154</v>
      </c>
      <c r="N11" s="160">
        <v>0.0</v>
      </c>
      <c r="O11" s="160">
        <v>2.0</v>
      </c>
      <c r="P11" s="160">
        <v>0.0</v>
      </c>
      <c r="Q11" s="160">
        <v>0.0</v>
      </c>
      <c r="R11" s="160">
        <v>0.0</v>
      </c>
      <c r="S11" s="160">
        <v>0.0</v>
      </c>
      <c r="T11" s="160">
        <v>0.0</v>
      </c>
      <c r="U11" s="160">
        <v>0.0</v>
      </c>
      <c r="V11" s="160">
        <v>0.0</v>
      </c>
      <c r="W11" s="160">
        <v>0.0</v>
      </c>
      <c r="X11" s="160">
        <v>0.0</v>
      </c>
      <c r="Y11" s="160">
        <v>0.0</v>
      </c>
      <c r="Z11" s="166">
        <f t="shared" si="3"/>
        <v>2</v>
      </c>
      <c r="AA11" s="166">
        <f t="shared" si="4"/>
        <v>0</v>
      </c>
      <c r="AB11" s="167">
        <f t="shared" si="5"/>
        <v>2</v>
      </c>
      <c r="AC11" s="167">
        <f t="shared" si="6"/>
        <v>0</v>
      </c>
      <c r="AD11" s="15">
        <v>0.16</v>
      </c>
      <c r="AE11" s="68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  <c r="BI11" s="174"/>
      <c r="BJ11" s="174"/>
      <c r="BK11" s="174"/>
      <c r="BL11" s="174"/>
      <c r="BM11" s="174"/>
      <c r="BN11" s="174"/>
    </row>
    <row r="12">
      <c r="A12" s="17">
        <v>43476.0</v>
      </c>
      <c r="B12" s="6">
        <v>1649.0</v>
      </c>
      <c r="C12" s="6">
        <v>1722.0</v>
      </c>
      <c r="D12" s="159" t="str">
        <f t="shared" si="1"/>
        <v>Jeff</v>
      </c>
      <c r="E12" s="161" t="s">
        <v>33</v>
      </c>
      <c r="F12" s="162">
        <v>0.75</v>
      </c>
      <c r="G12" s="163">
        <v>43476.0</v>
      </c>
      <c r="H12" s="184">
        <v>0.75</v>
      </c>
      <c r="I12" s="11">
        <f t="shared" si="2"/>
        <v>0</v>
      </c>
      <c r="J12" s="164">
        <v>0.0</v>
      </c>
      <c r="K12" s="7">
        <v>47.0</v>
      </c>
      <c r="L12" s="7">
        <v>47.0</v>
      </c>
      <c r="M12" s="165" t="s">
        <v>155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5">
        <v>0.0</v>
      </c>
      <c r="X12" s="165">
        <v>0.0</v>
      </c>
      <c r="Y12" s="165">
        <v>0.0</v>
      </c>
      <c r="Z12" s="166">
        <f t="shared" si="3"/>
        <v>0</v>
      </c>
      <c r="AA12" s="166">
        <f t="shared" si="4"/>
        <v>0</v>
      </c>
      <c r="AB12" s="167">
        <f t="shared" si="5"/>
        <v>0</v>
      </c>
      <c r="AC12" s="167">
        <f t="shared" si="6"/>
        <v>0</v>
      </c>
      <c r="AD12" s="15">
        <v>0.23</v>
      </c>
      <c r="AE12" s="68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</row>
    <row r="13" ht="16.5" customHeight="1">
      <c r="A13" s="5">
        <v>43477.0</v>
      </c>
      <c r="B13" s="6">
        <v>1650.0</v>
      </c>
      <c r="C13" s="6">
        <v>1723.0</v>
      </c>
      <c r="D13" s="159" t="str">
        <f t="shared" si="1"/>
        <v>Rob</v>
      </c>
      <c r="E13" s="169" t="s">
        <v>31</v>
      </c>
      <c r="F13" s="183"/>
      <c r="G13" s="171">
        <v>43477.0</v>
      </c>
      <c r="H13" s="183"/>
      <c r="I13" s="11">
        <f t="shared" si="2"/>
        <v>0</v>
      </c>
      <c r="J13" s="197"/>
      <c r="K13" s="198"/>
      <c r="L13" s="198"/>
      <c r="M13" s="201" t="s">
        <v>156</v>
      </c>
      <c r="N13" s="160">
        <v>0.0</v>
      </c>
      <c r="O13" s="160">
        <v>0.0</v>
      </c>
      <c r="P13" s="160">
        <v>0.0</v>
      </c>
      <c r="Q13" s="160">
        <v>0.0</v>
      </c>
      <c r="R13" s="160">
        <v>0.0</v>
      </c>
      <c r="S13" s="160">
        <v>0.0</v>
      </c>
      <c r="T13" s="160">
        <v>0.0</v>
      </c>
      <c r="U13" s="160">
        <v>0.0</v>
      </c>
      <c r="V13" s="160">
        <v>0.0</v>
      </c>
      <c r="W13" s="160">
        <v>0.0</v>
      </c>
      <c r="X13" s="160">
        <v>0.0</v>
      </c>
      <c r="Y13" s="160">
        <v>0.0</v>
      </c>
      <c r="Z13" s="166">
        <f t="shared" si="3"/>
        <v>0</v>
      </c>
      <c r="AA13" s="166">
        <f t="shared" si="4"/>
        <v>0</v>
      </c>
      <c r="AB13" s="167">
        <f t="shared" si="5"/>
        <v>0</v>
      </c>
      <c r="AC13" s="167">
        <f t="shared" si="6"/>
        <v>0</v>
      </c>
      <c r="AD13" s="15">
        <v>0.31</v>
      </c>
      <c r="AE13" s="68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  <c r="AX13" s="174"/>
      <c r="AY13" s="174"/>
      <c r="AZ13" s="174"/>
      <c r="BA13" s="174"/>
      <c r="BB13" s="174"/>
      <c r="BC13" s="174"/>
      <c r="BD13" s="174"/>
      <c r="BE13" s="174"/>
      <c r="BF13" s="174"/>
      <c r="BG13" s="174"/>
      <c r="BH13" s="174"/>
      <c r="BI13" s="174"/>
      <c r="BJ13" s="174"/>
      <c r="BK13" s="174"/>
      <c r="BL13" s="174"/>
      <c r="BM13" s="174"/>
      <c r="BN13" s="174"/>
    </row>
    <row r="14">
      <c r="A14" s="5">
        <v>43478.0</v>
      </c>
      <c r="B14" s="6">
        <v>1651.0</v>
      </c>
      <c r="C14" s="6">
        <v>1724.0</v>
      </c>
      <c r="D14" s="159" t="str">
        <f t="shared" si="1"/>
        <v>Fred/Phil</v>
      </c>
      <c r="E14" s="196" t="s">
        <v>40</v>
      </c>
      <c r="F14" s="184">
        <v>0.7083333333333334</v>
      </c>
      <c r="G14" s="163">
        <v>43478.0</v>
      </c>
      <c r="H14" s="184">
        <v>0.7291666666666666</v>
      </c>
      <c r="I14" s="11">
        <f t="shared" si="2"/>
        <v>0.5</v>
      </c>
      <c r="J14" s="197">
        <v>0.5</v>
      </c>
      <c r="K14" s="198">
        <v>44.0</v>
      </c>
      <c r="L14" s="198">
        <v>42.0</v>
      </c>
      <c r="M14" s="159" t="s">
        <v>35</v>
      </c>
      <c r="N14" s="165">
        <v>0.0</v>
      </c>
      <c r="O14" s="165">
        <v>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5">
        <v>0.0</v>
      </c>
      <c r="X14" s="165">
        <v>0.0</v>
      </c>
      <c r="Y14" s="165">
        <v>0.0</v>
      </c>
      <c r="Z14" s="166">
        <f t="shared" si="3"/>
        <v>0</v>
      </c>
      <c r="AA14" s="166">
        <f t="shared" si="4"/>
        <v>0</v>
      </c>
      <c r="AB14" s="167">
        <f t="shared" si="5"/>
        <v>0</v>
      </c>
      <c r="AC14" s="167">
        <f t="shared" si="6"/>
        <v>0</v>
      </c>
      <c r="AD14" s="15">
        <v>0.41</v>
      </c>
      <c r="AE14" s="68"/>
    </row>
    <row r="15">
      <c r="A15" s="5">
        <v>43479.0</v>
      </c>
      <c r="B15" s="6">
        <v>1652.0</v>
      </c>
      <c r="C15" s="6">
        <v>1725.0</v>
      </c>
      <c r="D15" s="159" t="str">
        <f t="shared" si="1"/>
        <v>Jane/Murr</v>
      </c>
      <c r="E15" s="169" t="s">
        <v>33</v>
      </c>
      <c r="F15" s="181">
        <v>0.7083333333333334</v>
      </c>
      <c r="G15" s="181">
        <v>0.75</v>
      </c>
      <c r="H15" s="181">
        <v>0.7083333333333334</v>
      </c>
      <c r="I15" s="11">
        <f t="shared" si="2"/>
        <v>0</v>
      </c>
      <c r="J15" s="198">
        <v>0.0</v>
      </c>
      <c r="K15" s="198">
        <v>40.0</v>
      </c>
      <c r="L15" s="198"/>
      <c r="M15" s="160" t="s">
        <v>35</v>
      </c>
      <c r="N15" s="160">
        <v>0.0</v>
      </c>
      <c r="O15" s="160">
        <v>0.0</v>
      </c>
      <c r="P15" s="160">
        <v>0.0</v>
      </c>
      <c r="Q15" s="160">
        <v>0.0</v>
      </c>
      <c r="R15" s="160">
        <v>0.0</v>
      </c>
      <c r="S15" s="160">
        <v>0.0</v>
      </c>
      <c r="T15" s="160">
        <v>0.0</v>
      </c>
      <c r="U15" s="160">
        <v>0.0</v>
      </c>
      <c r="V15" s="160">
        <v>0.0</v>
      </c>
      <c r="W15" s="160">
        <v>0.0</v>
      </c>
      <c r="X15" s="160">
        <v>0.0</v>
      </c>
      <c r="Y15" s="160">
        <v>0.0</v>
      </c>
      <c r="Z15" s="166">
        <f t="shared" si="3"/>
        <v>0</v>
      </c>
      <c r="AA15" s="166">
        <f t="shared" si="4"/>
        <v>0</v>
      </c>
      <c r="AB15" s="167">
        <f t="shared" si="5"/>
        <v>0</v>
      </c>
      <c r="AC15" s="167">
        <f t="shared" si="6"/>
        <v>0</v>
      </c>
      <c r="AD15" s="15">
        <v>0.51</v>
      </c>
      <c r="AE15" s="68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  <c r="BK15" s="174"/>
      <c r="BL15" s="174"/>
      <c r="BM15" s="174"/>
      <c r="BN15" s="174"/>
    </row>
    <row r="16">
      <c r="A16" s="26">
        <v>43480.0</v>
      </c>
      <c r="B16" s="6">
        <v>1654.0</v>
      </c>
      <c r="C16" s="6">
        <v>1727.0</v>
      </c>
      <c r="D16" s="159" t="str">
        <f t="shared" si="1"/>
        <v>Tom</v>
      </c>
      <c r="E16" s="202" t="s">
        <v>33</v>
      </c>
      <c r="F16" s="203">
        <v>0.7083333333333334</v>
      </c>
      <c r="G16" s="204">
        <v>43480.0</v>
      </c>
      <c r="H16" s="205">
        <v>0.7083333333333334</v>
      </c>
      <c r="I16" s="11">
        <f t="shared" si="2"/>
        <v>0</v>
      </c>
      <c r="J16" s="206">
        <v>0.0</v>
      </c>
      <c r="K16" s="207">
        <v>44.0</v>
      </c>
      <c r="L16" s="207">
        <v>44.0</v>
      </c>
      <c r="M16" s="206" t="s">
        <v>35</v>
      </c>
      <c r="N16" s="206">
        <v>0.0</v>
      </c>
      <c r="O16" s="206">
        <v>0.0</v>
      </c>
      <c r="P16" s="206">
        <v>0.0</v>
      </c>
      <c r="Q16" s="206">
        <v>0.0</v>
      </c>
      <c r="R16" s="206">
        <v>0.0</v>
      </c>
      <c r="S16" s="206">
        <v>0.0</v>
      </c>
      <c r="T16" s="206">
        <v>0.0</v>
      </c>
      <c r="U16" s="206">
        <v>0.0</v>
      </c>
      <c r="V16" s="206">
        <v>0.0</v>
      </c>
      <c r="W16" s="206">
        <v>0.0</v>
      </c>
      <c r="X16" s="206">
        <v>0.0</v>
      </c>
      <c r="Y16" s="206">
        <v>0.0</v>
      </c>
      <c r="Z16" s="208">
        <f t="shared" si="3"/>
        <v>0</v>
      </c>
      <c r="AA16" s="208">
        <f t="shared" si="4"/>
        <v>0</v>
      </c>
      <c r="AB16" s="209">
        <f t="shared" si="5"/>
        <v>0</v>
      </c>
      <c r="AC16" s="209">
        <f t="shared" si="6"/>
        <v>0</v>
      </c>
      <c r="AD16" s="15">
        <v>0.61</v>
      </c>
      <c r="AE16" s="210"/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1"/>
      <c r="AR16" s="211"/>
      <c r="AS16" s="211"/>
      <c r="AT16" s="211"/>
      <c r="AU16" s="211"/>
      <c r="AV16" s="211"/>
      <c r="AW16" s="211"/>
      <c r="AX16" s="211"/>
      <c r="AY16" s="211"/>
      <c r="AZ16" s="211"/>
      <c r="BA16" s="211"/>
      <c r="BB16" s="211"/>
      <c r="BC16" s="211"/>
      <c r="BD16" s="211"/>
      <c r="BE16" s="211"/>
      <c r="BF16" s="211"/>
      <c r="BG16" s="211"/>
      <c r="BH16" s="211"/>
      <c r="BI16" s="211"/>
      <c r="BJ16" s="211"/>
      <c r="BK16" s="211"/>
      <c r="BL16" s="211"/>
      <c r="BM16" s="211"/>
      <c r="BN16" s="211"/>
    </row>
    <row r="17">
      <c r="A17" s="27">
        <v>43481.0</v>
      </c>
      <c r="B17" s="6">
        <v>1655.0</v>
      </c>
      <c r="C17" s="6">
        <v>1728.0</v>
      </c>
      <c r="D17" s="159" t="str">
        <f t="shared" si="1"/>
        <v>Sue/Anne</v>
      </c>
      <c r="E17" s="169" t="s">
        <v>40</v>
      </c>
      <c r="F17" s="183">
        <v>0.7083333333333334</v>
      </c>
      <c r="G17" s="171">
        <v>43481.0</v>
      </c>
      <c r="H17" s="183">
        <v>0.71875</v>
      </c>
      <c r="I17" s="11">
        <f t="shared" si="2"/>
        <v>0.25</v>
      </c>
      <c r="J17" s="197">
        <v>0.25</v>
      </c>
      <c r="K17" s="212">
        <v>42.1</v>
      </c>
      <c r="L17" s="212">
        <v>42.0</v>
      </c>
      <c r="M17" s="160" t="s">
        <v>157</v>
      </c>
      <c r="N17" s="160">
        <v>0.0</v>
      </c>
      <c r="O17" s="160">
        <v>0.0</v>
      </c>
      <c r="P17" s="160">
        <v>0.0</v>
      </c>
      <c r="Q17" s="160">
        <v>0.0</v>
      </c>
      <c r="R17" s="160">
        <v>0.0</v>
      </c>
      <c r="S17" s="160">
        <v>0.0</v>
      </c>
      <c r="T17" s="160">
        <v>0.0</v>
      </c>
      <c r="U17" s="160">
        <v>0.0</v>
      </c>
      <c r="V17" s="160">
        <v>0.0</v>
      </c>
      <c r="W17" s="160">
        <v>0.0</v>
      </c>
      <c r="X17" s="160">
        <v>0.0</v>
      </c>
      <c r="Y17" s="160">
        <v>0.0</v>
      </c>
      <c r="Z17" s="166">
        <f t="shared" si="3"/>
        <v>0</v>
      </c>
      <c r="AA17" s="166">
        <f t="shared" si="4"/>
        <v>0</v>
      </c>
      <c r="AB17" s="167">
        <f t="shared" si="5"/>
        <v>0</v>
      </c>
      <c r="AC17" s="167">
        <f t="shared" si="6"/>
        <v>0</v>
      </c>
      <c r="AD17" s="15">
        <v>0.71</v>
      </c>
      <c r="AE17" s="68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74"/>
      <c r="BB17" s="174"/>
      <c r="BC17" s="174"/>
      <c r="BD17" s="174"/>
      <c r="BE17" s="174"/>
      <c r="BF17" s="174"/>
      <c r="BG17" s="174"/>
      <c r="BH17" s="174"/>
      <c r="BI17" s="174"/>
      <c r="BJ17" s="174"/>
      <c r="BK17" s="174"/>
      <c r="BL17" s="174"/>
      <c r="BM17" s="174"/>
      <c r="BN17" s="174"/>
    </row>
    <row r="18">
      <c r="A18" s="27">
        <v>43482.0</v>
      </c>
      <c r="B18" s="6">
        <v>1656.0</v>
      </c>
      <c r="C18" s="6">
        <v>1729.0</v>
      </c>
      <c r="D18" s="159" t="str">
        <f t="shared" si="1"/>
        <v>Shawn/Orems</v>
      </c>
      <c r="E18" s="196" t="s">
        <v>40</v>
      </c>
      <c r="F18" s="184">
        <v>0.6979166666666666</v>
      </c>
      <c r="G18" s="163">
        <v>43482.0</v>
      </c>
      <c r="H18" s="184">
        <v>0.90625</v>
      </c>
      <c r="I18" s="11">
        <f t="shared" si="2"/>
        <v>5</v>
      </c>
      <c r="J18" s="197">
        <v>21.0</v>
      </c>
      <c r="K18" s="212">
        <v>50.0</v>
      </c>
      <c r="L18" s="212">
        <v>48.0</v>
      </c>
      <c r="M18" s="159" t="s">
        <v>158</v>
      </c>
      <c r="N18" s="165">
        <v>3.0</v>
      </c>
      <c r="O18" s="165">
        <v>60.0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5">
        <v>0.0</v>
      </c>
      <c r="X18" s="165">
        <v>1.0</v>
      </c>
      <c r="Y18" s="165">
        <v>0.0</v>
      </c>
      <c r="Z18" s="166">
        <f t="shared" si="3"/>
        <v>63</v>
      </c>
      <c r="AA18" s="166">
        <f t="shared" si="4"/>
        <v>0</v>
      </c>
      <c r="AB18" s="167">
        <f t="shared" si="5"/>
        <v>63</v>
      </c>
      <c r="AC18" s="167">
        <f t="shared" si="6"/>
        <v>0</v>
      </c>
      <c r="AD18" s="15">
        <v>0.8</v>
      </c>
      <c r="AE18" s="68" t="s">
        <v>159</v>
      </c>
    </row>
    <row r="19">
      <c r="A19" s="27">
        <v>43483.0</v>
      </c>
      <c r="B19" s="6">
        <v>1657.0</v>
      </c>
      <c r="C19" s="6">
        <v>1730.0</v>
      </c>
      <c r="D19" s="159" t="str">
        <f t="shared" si="1"/>
        <v>Jeff</v>
      </c>
      <c r="E19" s="169" t="s">
        <v>40</v>
      </c>
      <c r="F19" s="183">
        <v>0.7083333333333334</v>
      </c>
      <c r="G19" s="213">
        <v>43484.0</v>
      </c>
      <c r="H19" s="183">
        <v>0.0625</v>
      </c>
      <c r="I19" s="11">
        <f t="shared" si="2"/>
        <v>8.5</v>
      </c>
      <c r="J19" s="197">
        <v>26.5</v>
      </c>
      <c r="K19" s="212">
        <v>45.0</v>
      </c>
      <c r="L19" s="212">
        <v>45.0</v>
      </c>
      <c r="M19" s="160" t="s">
        <v>160</v>
      </c>
      <c r="N19" s="160">
        <v>20.0</v>
      </c>
      <c r="O19" s="160">
        <v>297.0</v>
      </c>
      <c r="P19" s="160">
        <v>0.0</v>
      </c>
      <c r="Q19" s="160">
        <v>0.0</v>
      </c>
      <c r="R19" s="160">
        <v>0.0</v>
      </c>
      <c r="S19" s="160">
        <v>0.0</v>
      </c>
      <c r="T19" s="160">
        <v>0.0</v>
      </c>
      <c r="U19" s="160">
        <v>0.0</v>
      </c>
      <c r="V19" s="160">
        <v>0.0</v>
      </c>
      <c r="W19" s="160">
        <v>0.0</v>
      </c>
      <c r="X19" s="160">
        <v>5.0</v>
      </c>
      <c r="Y19" s="160">
        <v>0.0</v>
      </c>
      <c r="Z19" s="166">
        <f t="shared" si="3"/>
        <v>317</v>
      </c>
      <c r="AA19" s="166">
        <f t="shared" si="4"/>
        <v>0</v>
      </c>
      <c r="AB19" s="167">
        <f t="shared" si="5"/>
        <v>317</v>
      </c>
      <c r="AC19" s="167">
        <f t="shared" si="6"/>
        <v>0</v>
      </c>
      <c r="AD19" s="15">
        <v>0.88</v>
      </c>
      <c r="AE19" s="68" t="s">
        <v>161</v>
      </c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174"/>
      <c r="BB19" s="174"/>
      <c r="BC19" s="174"/>
      <c r="BD19" s="174"/>
      <c r="BE19" s="174"/>
      <c r="BF19" s="174"/>
      <c r="BG19" s="174"/>
      <c r="BH19" s="174"/>
      <c r="BI19" s="174"/>
      <c r="BJ19" s="174"/>
      <c r="BK19" s="174"/>
      <c r="BL19" s="174"/>
      <c r="BM19" s="174"/>
      <c r="BN19" s="174"/>
    </row>
    <row r="20">
      <c r="A20" s="27">
        <v>43484.0</v>
      </c>
      <c r="B20" s="6">
        <v>1659.0</v>
      </c>
      <c r="C20" s="6">
        <v>1732.0</v>
      </c>
      <c r="D20" s="159" t="str">
        <f t="shared" si="1"/>
        <v>Rob</v>
      </c>
      <c r="E20" s="196" t="s">
        <v>46</v>
      </c>
      <c r="F20" s="162">
        <v>0.7083333333333334</v>
      </c>
      <c r="G20" s="163">
        <v>43484.0</v>
      </c>
      <c r="H20" s="184">
        <v>0.8541666666666666</v>
      </c>
      <c r="I20" s="11">
        <f t="shared" si="2"/>
        <v>3.5</v>
      </c>
      <c r="J20" s="197">
        <v>11.5</v>
      </c>
      <c r="K20" s="212">
        <v>46.0</v>
      </c>
      <c r="L20" s="212">
        <v>44.0</v>
      </c>
      <c r="M20" s="159" t="s">
        <v>162</v>
      </c>
      <c r="N20" s="165">
        <v>4.0</v>
      </c>
      <c r="O20" s="165">
        <v>31.0</v>
      </c>
      <c r="P20" s="165">
        <v>0.0</v>
      </c>
      <c r="Q20" s="165">
        <v>0.0</v>
      </c>
      <c r="R20" s="165">
        <v>0.0</v>
      </c>
      <c r="S20" s="165">
        <v>0.0</v>
      </c>
      <c r="T20" s="165">
        <v>0.0</v>
      </c>
      <c r="U20" s="165">
        <v>0.0</v>
      </c>
      <c r="V20" s="165">
        <v>0.0</v>
      </c>
      <c r="W20" s="165">
        <v>0.0</v>
      </c>
      <c r="X20" s="165">
        <v>1.0</v>
      </c>
      <c r="Y20" s="165">
        <v>0.0</v>
      </c>
      <c r="Z20" s="166">
        <v>35.0</v>
      </c>
      <c r="AA20" s="166">
        <f t="shared" si="4"/>
        <v>0</v>
      </c>
      <c r="AB20" s="167">
        <f t="shared" si="5"/>
        <v>35</v>
      </c>
      <c r="AC20" s="167">
        <f t="shared" si="6"/>
        <v>0</v>
      </c>
      <c r="AD20" s="15">
        <v>0.95</v>
      </c>
      <c r="AE20" s="68" t="s">
        <v>163</v>
      </c>
    </row>
    <row r="21">
      <c r="A21" s="30">
        <v>43485.0</v>
      </c>
      <c r="B21" s="6">
        <v>1700.0</v>
      </c>
      <c r="C21" s="6">
        <v>1733.0</v>
      </c>
      <c r="D21" s="159" t="str">
        <f t="shared" si="1"/>
        <v>Fred/Phil</v>
      </c>
      <c r="E21" s="169" t="s">
        <v>40</v>
      </c>
      <c r="F21" s="183">
        <v>0.7083333333333334</v>
      </c>
      <c r="G21" s="171">
        <v>43485.0</v>
      </c>
      <c r="H21" s="181">
        <v>0.7604166666666666</v>
      </c>
      <c r="I21" s="11">
        <f t="shared" si="2"/>
        <v>1.25</v>
      </c>
      <c r="J21" s="199">
        <v>0.125</v>
      </c>
      <c r="K21" s="212">
        <v>44.0</v>
      </c>
      <c r="L21" s="212">
        <v>42.0</v>
      </c>
      <c r="M21" s="160" t="s">
        <v>164</v>
      </c>
      <c r="N21" s="160">
        <v>0.0</v>
      </c>
      <c r="O21" s="160">
        <v>0.0</v>
      </c>
      <c r="P21" s="160">
        <v>0.0</v>
      </c>
      <c r="Q21" s="160">
        <v>0.0</v>
      </c>
      <c r="R21" s="160">
        <v>0.0</v>
      </c>
      <c r="S21" s="160">
        <v>0.0</v>
      </c>
      <c r="T21" s="160">
        <v>0.0</v>
      </c>
      <c r="U21" s="160">
        <v>0.0</v>
      </c>
      <c r="V21" s="160">
        <v>0.0</v>
      </c>
      <c r="W21" s="160">
        <v>0.0</v>
      </c>
      <c r="X21" s="160">
        <v>3.0</v>
      </c>
      <c r="Y21" s="160"/>
      <c r="Z21" s="166">
        <f t="shared" ref="Z21:Z32" si="7">sum(N21:Q21)</f>
        <v>0</v>
      </c>
      <c r="AA21" s="166">
        <f t="shared" si="4"/>
        <v>0</v>
      </c>
      <c r="AB21" s="167">
        <f t="shared" si="5"/>
        <v>0</v>
      </c>
      <c r="AC21" s="167">
        <f t="shared" si="6"/>
        <v>0</v>
      </c>
      <c r="AD21" s="15">
        <v>0.99</v>
      </c>
      <c r="AE21" s="68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</row>
    <row r="22">
      <c r="A22" s="30">
        <v>43486.0</v>
      </c>
      <c r="B22" s="6">
        <v>1701.0</v>
      </c>
      <c r="C22" s="6">
        <v>1734.0</v>
      </c>
      <c r="D22" s="159" t="str">
        <f t="shared" si="1"/>
        <v>Jane/Murr</v>
      </c>
      <c r="E22" s="161" t="s">
        <v>40</v>
      </c>
      <c r="F22" s="184">
        <v>0.71875</v>
      </c>
      <c r="G22" s="163">
        <v>43486.0</v>
      </c>
      <c r="H22" s="184">
        <v>0.84375</v>
      </c>
      <c r="I22" s="11">
        <f t="shared" si="2"/>
        <v>3</v>
      </c>
      <c r="J22" s="198">
        <v>5.0</v>
      </c>
      <c r="K22" s="212">
        <v>44.0</v>
      </c>
      <c r="L22" s="212">
        <v>44.0</v>
      </c>
      <c r="M22" s="165" t="s">
        <v>165</v>
      </c>
      <c r="N22" s="165">
        <v>0.0</v>
      </c>
      <c r="O22" s="165">
        <v>3.0</v>
      </c>
      <c r="P22" s="165">
        <v>0.0</v>
      </c>
      <c r="Q22" s="165">
        <v>0.0</v>
      </c>
      <c r="R22" s="165">
        <v>0.0</v>
      </c>
      <c r="S22" s="165">
        <v>0.0</v>
      </c>
      <c r="T22" s="165">
        <v>0.0</v>
      </c>
      <c r="U22" s="165">
        <v>0.0</v>
      </c>
      <c r="V22" s="165">
        <v>0.0</v>
      </c>
      <c r="W22" s="165">
        <v>0.0</v>
      </c>
      <c r="X22" s="165">
        <v>0.0</v>
      </c>
      <c r="Y22" s="165">
        <v>0.0</v>
      </c>
      <c r="Z22" s="166">
        <f t="shared" si="7"/>
        <v>3</v>
      </c>
      <c r="AA22" s="166">
        <f t="shared" si="4"/>
        <v>0</v>
      </c>
      <c r="AB22" s="167">
        <f t="shared" si="5"/>
        <v>3</v>
      </c>
      <c r="AC22" s="167">
        <f t="shared" si="6"/>
        <v>0</v>
      </c>
      <c r="AD22" s="15">
        <v>1.0</v>
      </c>
      <c r="AE22" s="68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</row>
    <row r="23">
      <c r="A23" s="30">
        <v>43487.0</v>
      </c>
      <c r="B23" s="6">
        <v>1703.0</v>
      </c>
      <c r="C23" s="6">
        <v>1735.0</v>
      </c>
      <c r="D23" s="159" t="str">
        <f t="shared" si="1"/>
        <v>Tom</v>
      </c>
      <c r="E23" s="169" t="s">
        <v>40</v>
      </c>
      <c r="F23" s="183">
        <v>0.71875</v>
      </c>
      <c r="G23" s="171">
        <v>43487.0</v>
      </c>
      <c r="H23" s="183">
        <v>0.05555555555555555</v>
      </c>
      <c r="I23" s="214">
        <v>0.4236111111111111</v>
      </c>
      <c r="J23" s="197">
        <v>20.75</v>
      </c>
      <c r="K23" s="212">
        <v>45.0</v>
      </c>
      <c r="L23" s="212">
        <v>47.0</v>
      </c>
      <c r="M23" s="160" t="s">
        <v>166</v>
      </c>
      <c r="N23" s="160">
        <v>5.0</v>
      </c>
      <c r="O23" s="160">
        <v>138.0</v>
      </c>
      <c r="P23" s="160">
        <v>0.0</v>
      </c>
      <c r="Q23" s="160">
        <v>0.0</v>
      </c>
      <c r="R23" s="160">
        <v>0.0</v>
      </c>
      <c r="S23" s="160">
        <v>0.0</v>
      </c>
      <c r="T23" s="160">
        <v>0.0</v>
      </c>
      <c r="U23" s="160">
        <v>0.0</v>
      </c>
      <c r="V23" s="160">
        <v>0.0</v>
      </c>
      <c r="W23" s="160">
        <v>0.0</v>
      </c>
      <c r="X23" s="160">
        <v>0.0</v>
      </c>
      <c r="Y23" s="160">
        <v>0.0</v>
      </c>
      <c r="Z23" s="166">
        <f t="shared" si="7"/>
        <v>143</v>
      </c>
      <c r="AA23" s="166">
        <f t="shared" si="4"/>
        <v>0</v>
      </c>
      <c r="AB23" s="167">
        <f t="shared" si="5"/>
        <v>143</v>
      </c>
      <c r="AC23" s="167">
        <f t="shared" si="6"/>
        <v>0</v>
      </c>
      <c r="AD23" s="15">
        <v>0.98</v>
      </c>
      <c r="AE23" s="68" t="s">
        <v>167</v>
      </c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</row>
    <row r="24">
      <c r="A24" s="27">
        <v>43488.0</v>
      </c>
      <c r="B24" s="6">
        <v>1706.0</v>
      </c>
      <c r="C24" s="6">
        <v>1738.0</v>
      </c>
      <c r="D24" s="159" t="str">
        <f t="shared" si="1"/>
        <v>Sue/Anne</v>
      </c>
      <c r="E24" s="196" t="s">
        <v>40</v>
      </c>
      <c r="F24" s="184">
        <v>0.7083333333333334</v>
      </c>
      <c r="G24" s="163">
        <v>43488.0</v>
      </c>
      <c r="H24" s="184">
        <v>0.8541666666666666</v>
      </c>
      <c r="I24" s="11">
        <f t="shared" ref="I24:I32" si="8">iferror(24*( DATEDIF(A24,G24,"D")+TIMEVALUE(H24)-TIMEVALUE(F24)),0)</f>
        <v>3.5</v>
      </c>
      <c r="J24" s="197">
        <v>15.5</v>
      </c>
      <c r="K24" s="212">
        <v>49.4</v>
      </c>
      <c r="L24" s="212">
        <v>46.7</v>
      </c>
      <c r="M24" s="159" t="s">
        <v>168</v>
      </c>
      <c r="N24" s="165">
        <v>0.0</v>
      </c>
      <c r="O24" s="165">
        <v>92.0</v>
      </c>
      <c r="P24" s="165">
        <v>1.0</v>
      </c>
      <c r="Q24" s="165">
        <v>0.0</v>
      </c>
      <c r="R24" s="165">
        <v>0.0</v>
      </c>
      <c r="S24" s="165">
        <v>0.0</v>
      </c>
      <c r="T24" s="165">
        <v>0.0</v>
      </c>
      <c r="U24" s="165">
        <v>0.0</v>
      </c>
      <c r="V24" s="165">
        <v>0.0</v>
      </c>
      <c r="W24" s="165">
        <v>0.0</v>
      </c>
      <c r="X24" s="165">
        <v>2.0</v>
      </c>
      <c r="Y24" s="165">
        <v>1.0</v>
      </c>
      <c r="Z24" s="166">
        <f t="shared" si="7"/>
        <v>93</v>
      </c>
      <c r="AA24" s="166">
        <f t="shared" si="4"/>
        <v>0</v>
      </c>
      <c r="AB24" s="167">
        <f t="shared" si="5"/>
        <v>92</v>
      </c>
      <c r="AC24" s="167">
        <f t="shared" si="6"/>
        <v>0</v>
      </c>
      <c r="AD24" s="15">
        <v>0.86</v>
      </c>
      <c r="AE24" s="91"/>
    </row>
    <row r="25">
      <c r="A25" s="27">
        <v>43489.0</v>
      </c>
      <c r="B25" s="6">
        <v>1704.0</v>
      </c>
      <c r="C25" s="6">
        <v>1737.0</v>
      </c>
      <c r="D25" s="159" t="str">
        <f t="shared" si="1"/>
        <v>Shawn/Orems</v>
      </c>
      <c r="E25" s="169" t="s">
        <v>40</v>
      </c>
      <c r="F25" s="183">
        <v>0.7291666666666666</v>
      </c>
      <c r="G25" s="171">
        <v>43489.0</v>
      </c>
      <c r="H25" s="183">
        <v>0.75</v>
      </c>
      <c r="I25" s="11">
        <f t="shared" si="8"/>
        <v>0.5</v>
      </c>
      <c r="J25" s="197">
        <v>0.5</v>
      </c>
      <c r="K25" s="212">
        <v>47.0</v>
      </c>
      <c r="L25" s="212">
        <v>46.0</v>
      </c>
      <c r="M25" s="215" t="s">
        <v>169</v>
      </c>
      <c r="N25" s="160">
        <v>0.0</v>
      </c>
      <c r="O25" s="160">
        <v>0.0</v>
      </c>
      <c r="P25" s="160">
        <v>0.0</v>
      </c>
      <c r="Q25" s="160">
        <v>0.0</v>
      </c>
      <c r="R25" s="160">
        <v>0.0</v>
      </c>
      <c r="S25" s="160">
        <v>0.0</v>
      </c>
      <c r="T25" s="160">
        <v>0.0</v>
      </c>
      <c r="U25" s="160">
        <v>0.0</v>
      </c>
      <c r="V25" s="160">
        <v>0.0</v>
      </c>
      <c r="W25" s="160">
        <v>0.0</v>
      </c>
      <c r="X25" s="160">
        <v>0.0</v>
      </c>
      <c r="Y25" s="160">
        <v>0.0</v>
      </c>
      <c r="Z25" s="166">
        <f t="shared" si="7"/>
        <v>0</v>
      </c>
      <c r="AA25" s="166">
        <f t="shared" si="4"/>
        <v>0</v>
      </c>
      <c r="AB25" s="167">
        <f t="shared" si="5"/>
        <v>0</v>
      </c>
      <c r="AC25" s="167">
        <f t="shared" si="6"/>
        <v>0</v>
      </c>
      <c r="AD25" s="15">
        <v>0.93</v>
      </c>
      <c r="AE25" s="68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4"/>
      <c r="BA25" s="174"/>
      <c r="BB25" s="174"/>
      <c r="BC25" s="174"/>
      <c r="BD25" s="174"/>
      <c r="BE25" s="174"/>
      <c r="BF25" s="174"/>
      <c r="BG25" s="174"/>
      <c r="BH25" s="174"/>
      <c r="BI25" s="174"/>
      <c r="BJ25" s="174"/>
      <c r="BK25" s="174"/>
      <c r="BL25" s="174"/>
      <c r="BM25" s="174"/>
      <c r="BN25" s="174"/>
    </row>
    <row r="26">
      <c r="A26" s="26">
        <v>43490.0</v>
      </c>
      <c r="B26" s="6">
        <v>1707.0</v>
      </c>
      <c r="C26" s="6">
        <v>1739.0</v>
      </c>
      <c r="D26" s="159" t="str">
        <f t="shared" si="1"/>
        <v>Jeff</v>
      </c>
      <c r="E26" s="161" t="s">
        <v>40</v>
      </c>
      <c r="F26" s="184">
        <v>0.7604166666666666</v>
      </c>
      <c r="G26" s="163">
        <v>43490.0</v>
      </c>
      <c r="H26" s="184">
        <v>0.7638888888888888</v>
      </c>
      <c r="I26" s="11">
        <f t="shared" si="8"/>
        <v>0.08333333333</v>
      </c>
      <c r="J26" s="197">
        <f>5/60</f>
        <v>0.08333333333</v>
      </c>
      <c r="K26" s="212">
        <v>43.0</v>
      </c>
      <c r="L26" s="212">
        <v>43.0</v>
      </c>
      <c r="M26" s="165"/>
      <c r="N26" s="165">
        <v>0.0</v>
      </c>
      <c r="O26" s="165">
        <v>0.0</v>
      </c>
      <c r="P26" s="165">
        <v>0.0</v>
      </c>
      <c r="Q26" s="165">
        <v>0.0</v>
      </c>
      <c r="R26" s="165">
        <v>0.0</v>
      </c>
      <c r="S26" s="165">
        <v>0.0</v>
      </c>
      <c r="T26" s="165">
        <v>0.0</v>
      </c>
      <c r="U26" s="165">
        <v>0.0</v>
      </c>
      <c r="V26" s="165">
        <v>0.0</v>
      </c>
      <c r="W26" s="165">
        <v>0.0</v>
      </c>
      <c r="X26" s="165">
        <v>0.0</v>
      </c>
      <c r="Y26" s="165">
        <v>0.0</v>
      </c>
      <c r="Z26" s="166">
        <f t="shared" si="7"/>
        <v>0</v>
      </c>
      <c r="AA26" s="166">
        <f t="shared" si="4"/>
        <v>0</v>
      </c>
      <c r="AB26" s="167">
        <f t="shared" si="5"/>
        <v>0</v>
      </c>
      <c r="AC26" s="167">
        <f t="shared" si="6"/>
        <v>0</v>
      </c>
      <c r="AD26" s="15">
        <v>0.77</v>
      </c>
      <c r="AE26" s="68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</row>
    <row r="27">
      <c r="A27" s="26">
        <v>43491.0</v>
      </c>
      <c r="B27" s="6">
        <v>1708.0</v>
      </c>
      <c r="C27" s="6">
        <v>1741.0</v>
      </c>
      <c r="D27" s="159" t="str">
        <f t="shared" si="1"/>
        <v>Rob</v>
      </c>
      <c r="E27" s="169" t="s">
        <v>33</v>
      </c>
      <c r="F27" s="183">
        <v>0.7291666666666666</v>
      </c>
      <c r="G27" s="171">
        <v>43491.0</v>
      </c>
      <c r="H27" s="183">
        <v>0.7291666666666666</v>
      </c>
      <c r="I27" s="11">
        <f t="shared" si="8"/>
        <v>0</v>
      </c>
      <c r="J27" s="197"/>
      <c r="K27" s="212">
        <v>40.0</v>
      </c>
      <c r="L27" s="212"/>
      <c r="M27" s="160" t="s">
        <v>170</v>
      </c>
      <c r="N27" s="160">
        <v>0.0</v>
      </c>
      <c r="O27" s="160">
        <v>0.0</v>
      </c>
      <c r="P27" s="160">
        <v>0.0</v>
      </c>
      <c r="Q27" s="160">
        <v>0.0</v>
      </c>
      <c r="R27" s="160">
        <v>0.0</v>
      </c>
      <c r="S27" s="160">
        <v>0.0</v>
      </c>
      <c r="T27" s="160">
        <v>0.0</v>
      </c>
      <c r="U27" s="160">
        <v>0.0</v>
      </c>
      <c r="V27" s="160">
        <v>0.0</v>
      </c>
      <c r="W27" s="160">
        <v>0.0</v>
      </c>
      <c r="X27" s="160">
        <v>0.0</v>
      </c>
      <c r="Y27" s="160">
        <v>0.0</v>
      </c>
      <c r="Z27" s="166">
        <f t="shared" si="7"/>
        <v>0</v>
      </c>
      <c r="AA27" s="166">
        <f t="shared" si="4"/>
        <v>0</v>
      </c>
      <c r="AB27" s="167">
        <f t="shared" si="5"/>
        <v>0</v>
      </c>
      <c r="AC27" s="167">
        <f t="shared" si="6"/>
        <v>0</v>
      </c>
      <c r="AD27" s="15">
        <v>0.67</v>
      </c>
      <c r="AE27" s="68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74"/>
      <c r="BB27" s="174"/>
      <c r="BC27" s="174"/>
      <c r="BD27" s="174"/>
      <c r="BE27" s="174"/>
      <c r="BF27" s="174"/>
      <c r="BG27" s="174"/>
      <c r="BH27" s="174"/>
      <c r="BI27" s="174"/>
      <c r="BJ27" s="174"/>
      <c r="BK27" s="174"/>
      <c r="BL27" s="174"/>
      <c r="BM27" s="174"/>
      <c r="BN27" s="174"/>
    </row>
    <row r="28">
      <c r="A28" s="26">
        <v>43492.0</v>
      </c>
      <c r="B28" s="6">
        <v>1710.0</v>
      </c>
      <c r="C28" s="6">
        <v>1742.0</v>
      </c>
      <c r="D28" s="159" t="str">
        <f t="shared" si="1"/>
        <v>Fred/Phil</v>
      </c>
      <c r="E28" s="196" t="s">
        <v>40</v>
      </c>
      <c r="F28" s="184">
        <v>0.7083333333333334</v>
      </c>
      <c r="G28" s="163">
        <v>43492.0</v>
      </c>
      <c r="H28" s="184">
        <v>0.7291666666666666</v>
      </c>
      <c r="I28" s="11">
        <f t="shared" si="8"/>
        <v>0.5</v>
      </c>
      <c r="J28" s="199">
        <v>0.041666666666666664</v>
      </c>
      <c r="K28" s="212">
        <v>42.0</v>
      </c>
      <c r="L28" s="212">
        <v>41.0</v>
      </c>
      <c r="M28" s="159" t="s">
        <v>170</v>
      </c>
      <c r="N28" s="165">
        <v>0.0</v>
      </c>
      <c r="O28" s="165">
        <v>0.0</v>
      </c>
      <c r="P28" s="165">
        <v>0.0</v>
      </c>
      <c r="Q28" s="165">
        <v>0.0</v>
      </c>
      <c r="R28" s="165">
        <v>0.0</v>
      </c>
      <c r="S28" s="165">
        <v>0.0</v>
      </c>
      <c r="T28" s="165">
        <v>0.0</v>
      </c>
      <c r="U28" s="165">
        <v>0.0</v>
      </c>
      <c r="V28" s="165">
        <v>0.0</v>
      </c>
      <c r="W28" s="165">
        <v>0.0</v>
      </c>
      <c r="X28" s="165">
        <v>0.0</v>
      </c>
      <c r="Y28" s="165">
        <v>0.0</v>
      </c>
      <c r="Z28" s="166">
        <f t="shared" si="7"/>
        <v>0</v>
      </c>
      <c r="AA28" s="166">
        <f t="shared" si="4"/>
        <v>0</v>
      </c>
      <c r="AB28" s="167">
        <f t="shared" si="5"/>
        <v>0</v>
      </c>
      <c r="AC28" s="167">
        <f t="shared" si="6"/>
        <v>0</v>
      </c>
      <c r="AD28" s="15">
        <v>0.56</v>
      </c>
      <c r="AE28" s="68"/>
    </row>
    <row r="29">
      <c r="A29" s="26">
        <v>43493.0</v>
      </c>
      <c r="B29" s="6">
        <v>1711.0</v>
      </c>
      <c r="C29" s="6">
        <v>1743.0</v>
      </c>
      <c r="D29" s="159" t="str">
        <f t="shared" si="1"/>
        <v>Jane/Murr</v>
      </c>
      <c r="E29" s="169" t="s">
        <v>33</v>
      </c>
      <c r="F29" s="183"/>
      <c r="G29" s="171">
        <v>43493.0</v>
      </c>
      <c r="H29" s="183"/>
      <c r="I29" s="11">
        <f t="shared" si="8"/>
        <v>0</v>
      </c>
      <c r="J29" s="197"/>
      <c r="K29" s="212"/>
      <c r="L29" s="212"/>
      <c r="M29" s="160" t="s">
        <v>35</v>
      </c>
      <c r="N29" s="160">
        <v>0.0</v>
      </c>
      <c r="O29" s="160">
        <v>0.0</v>
      </c>
      <c r="P29" s="160">
        <v>0.0</v>
      </c>
      <c r="Q29" s="160">
        <v>0.0</v>
      </c>
      <c r="R29" s="160">
        <v>0.0</v>
      </c>
      <c r="S29" s="160">
        <v>0.0</v>
      </c>
      <c r="T29" s="160">
        <v>0.0</v>
      </c>
      <c r="U29" s="160">
        <v>0.0</v>
      </c>
      <c r="V29" s="160">
        <v>0.0</v>
      </c>
      <c r="W29" s="160">
        <v>0.0</v>
      </c>
      <c r="X29" s="160">
        <v>0.0</v>
      </c>
      <c r="Y29" s="160">
        <v>0.0</v>
      </c>
      <c r="Z29" s="166">
        <f t="shared" si="7"/>
        <v>0</v>
      </c>
      <c r="AA29" s="166">
        <f t="shared" si="4"/>
        <v>0</v>
      </c>
      <c r="AB29" s="167">
        <f t="shared" si="5"/>
        <v>0</v>
      </c>
      <c r="AC29" s="167">
        <f t="shared" si="6"/>
        <v>0</v>
      </c>
      <c r="AD29" s="15">
        <v>0.45</v>
      </c>
      <c r="AE29" s="68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  <c r="BA29" s="174"/>
      <c r="BB29" s="174"/>
      <c r="BC29" s="174"/>
      <c r="BD29" s="174"/>
      <c r="BE29" s="174"/>
      <c r="BF29" s="174"/>
      <c r="BG29" s="174"/>
      <c r="BH29" s="174"/>
      <c r="BI29" s="174"/>
      <c r="BJ29" s="174"/>
      <c r="BK29" s="174"/>
      <c r="BL29" s="174"/>
      <c r="BM29" s="174"/>
      <c r="BN29" s="174"/>
    </row>
    <row r="30">
      <c r="A30" s="26">
        <v>43494.0</v>
      </c>
      <c r="B30" s="6">
        <v>1713.0</v>
      </c>
      <c r="C30" s="6">
        <v>1745.0</v>
      </c>
      <c r="D30" s="159" t="str">
        <f t="shared" si="1"/>
        <v>Tom</v>
      </c>
      <c r="E30" s="196"/>
      <c r="F30" s="184"/>
      <c r="G30" s="163">
        <v>43494.0</v>
      </c>
      <c r="H30" s="162"/>
      <c r="I30" s="11">
        <f t="shared" si="8"/>
        <v>0</v>
      </c>
      <c r="J30" s="197"/>
      <c r="K30" s="212"/>
      <c r="L30" s="216"/>
      <c r="M30" s="159" t="s">
        <v>35</v>
      </c>
      <c r="N30" s="165">
        <v>0.0</v>
      </c>
      <c r="O30" s="165">
        <v>0.0</v>
      </c>
      <c r="P30" s="165">
        <v>0.0</v>
      </c>
      <c r="Q30" s="165">
        <v>0.0</v>
      </c>
      <c r="R30" s="165">
        <v>0.0</v>
      </c>
      <c r="S30" s="165">
        <v>0.0</v>
      </c>
      <c r="T30" s="165">
        <v>0.0</v>
      </c>
      <c r="U30" s="165">
        <v>0.0</v>
      </c>
      <c r="V30" s="165">
        <v>0.0</v>
      </c>
      <c r="W30" s="165">
        <v>0.0</v>
      </c>
      <c r="X30" s="165">
        <v>0.0</v>
      </c>
      <c r="Y30" s="165">
        <v>0.0</v>
      </c>
      <c r="Z30" s="166">
        <f t="shared" si="7"/>
        <v>0</v>
      </c>
      <c r="AA30" s="166">
        <f t="shared" si="4"/>
        <v>0</v>
      </c>
      <c r="AB30" s="167">
        <f t="shared" si="5"/>
        <v>0</v>
      </c>
      <c r="AC30" s="167">
        <f t="shared" si="6"/>
        <v>0</v>
      </c>
      <c r="AD30" s="15">
        <v>0.35</v>
      </c>
      <c r="AE30" s="68"/>
    </row>
    <row r="31">
      <c r="A31" s="5">
        <v>43495.0</v>
      </c>
      <c r="B31" s="6">
        <v>1714.0</v>
      </c>
      <c r="C31" s="6">
        <v>1746.0</v>
      </c>
      <c r="D31" s="159" t="str">
        <f t="shared" si="1"/>
        <v>Sue/Anne</v>
      </c>
      <c r="E31" s="169" t="s">
        <v>33</v>
      </c>
      <c r="F31" s="181">
        <v>0.7291666666666666</v>
      </c>
      <c r="G31" s="171">
        <v>43495.0</v>
      </c>
      <c r="H31" s="181">
        <v>0.7326388888888888</v>
      </c>
      <c r="I31" s="11">
        <f t="shared" si="8"/>
        <v>0.08333333333</v>
      </c>
      <c r="J31" s="197"/>
      <c r="K31" s="212">
        <v>44.0</v>
      </c>
      <c r="L31" s="212">
        <v>44.0</v>
      </c>
      <c r="M31" s="160" t="s">
        <v>35</v>
      </c>
      <c r="N31" s="160">
        <v>0.0</v>
      </c>
      <c r="O31" s="160">
        <v>0.0</v>
      </c>
      <c r="P31" s="160">
        <v>0.0</v>
      </c>
      <c r="Q31" s="160">
        <v>0.0</v>
      </c>
      <c r="R31" s="160">
        <v>0.0</v>
      </c>
      <c r="S31" s="160">
        <v>0.0</v>
      </c>
      <c r="T31" s="160">
        <v>0.0</v>
      </c>
      <c r="U31" s="160">
        <v>0.0</v>
      </c>
      <c r="V31" s="160">
        <v>0.0</v>
      </c>
      <c r="W31" s="160">
        <v>0.0</v>
      </c>
      <c r="X31" s="160">
        <v>0.0</v>
      </c>
      <c r="Y31" s="160">
        <v>0.0</v>
      </c>
      <c r="Z31" s="166">
        <f t="shared" si="7"/>
        <v>0</v>
      </c>
      <c r="AA31" s="166">
        <f t="shared" si="4"/>
        <v>0</v>
      </c>
      <c r="AB31" s="166">
        <f t="shared" si="5"/>
        <v>0</v>
      </c>
      <c r="AC31" s="167">
        <f t="shared" si="6"/>
        <v>0</v>
      </c>
      <c r="AD31" s="15">
        <v>0.26</v>
      </c>
      <c r="AE31" s="68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4"/>
      <c r="BD31" s="174"/>
      <c r="BE31" s="174"/>
      <c r="BF31" s="174"/>
      <c r="BG31" s="174"/>
      <c r="BH31" s="174"/>
      <c r="BI31" s="174"/>
      <c r="BJ31" s="174"/>
      <c r="BK31" s="174"/>
      <c r="BL31" s="174"/>
      <c r="BM31" s="174"/>
      <c r="BN31" s="174"/>
    </row>
    <row r="32">
      <c r="A32" s="17">
        <v>43496.0</v>
      </c>
      <c r="B32" s="6">
        <v>1716.0</v>
      </c>
      <c r="C32" s="6">
        <v>1747.0</v>
      </c>
      <c r="D32" s="159" t="str">
        <f t="shared" si="1"/>
        <v>Shawn/Orems</v>
      </c>
      <c r="E32" s="196" t="s">
        <v>33</v>
      </c>
      <c r="F32" s="184">
        <v>0.7395833333333334</v>
      </c>
      <c r="G32" s="163">
        <v>43496.0</v>
      </c>
      <c r="H32" s="184">
        <v>0.7395833333333334</v>
      </c>
      <c r="I32" s="11">
        <f t="shared" si="8"/>
        <v>0</v>
      </c>
      <c r="J32" s="197"/>
      <c r="K32" s="212">
        <v>45.0</v>
      </c>
      <c r="L32" s="216"/>
      <c r="M32" s="159" t="s">
        <v>171</v>
      </c>
      <c r="N32" s="165">
        <v>0.0</v>
      </c>
      <c r="O32" s="165">
        <v>0.0</v>
      </c>
      <c r="P32" s="165">
        <v>0.0</v>
      </c>
      <c r="Q32" s="165">
        <v>0.0</v>
      </c>
      <c r="R32" s="165">
        <v>0.0</v>
      </c>
      <c r="S32" s="165">
        <v>0.0</v>
      </c>
      <c r="T32" s="165">
        <v>0.0</v>
      </c>
      <c r="U32" s="165">
        <v>0.0</v>
      </c>
      <c r="V32" s="165">
        <v>0.0</v>
      </c>
      <c r="W32" s="165">
        <v>0.0</v>
      </c>
      <c r="X32" s="165">
        <v>0.0</v>
      </c>
      <c r="Y32" s="165">
        <v>0.0</v>
      </c>
      <c r="Z32" s="166">
        <f t="shared" si="7"/>
        <v>0</v>
      </c>
      <c r="AA32" s="166">
        <f t="shared" si="4"/>
        <v>0</v>
      </c>
      <c r="AB32" s="167">
        <f t="shared" si="5"/>
        <v>0</v>
      </c>
      <c r="AC32" s="167">
        <f t="shared" si="6"/>
        <v>0</v>
      </c>
      <c r="AD32" s="15">
        <v>0.18</v>
      </c>
      <c r="AE32" s="91"/>
    </row>
    <row r="33">
      <c r="B33" s="217"/>
      <c r="C33" s="32"/>
      <c r="D33" s="218"/>
      <c r="E33" s="33" t="s">
        <v>66</v>
      </c>
      <c r="F33" s="32"/>
      <c r="I33" s="35">
        <f>SUM(I3:I32)</f>
        <v>34.67361111</v>
      </c>
      <c r="J33" s="219">
        <f>SUM(J2:J32)</f>
        <v>128.74</v>
      </c>
      <c r="K33" s="32"/>
      <c r="L33" s="32"/>
      <c r="M33" s="32"/>
      <c r="N33" s="36">
        <f t="shared" ref="N33:Y33" si="9">sum(N2:N32)</f>
        <v>32</v>
      </c>
      <c r="O33" s="36">
        <f t="shared" si="9"/>
        <v>624</v>
      </c>
      <c r="P33" s="36">
        <f t="shared" si="9"/>
        <v>1</v>
      </c>
      <c r="Q33" s="36">
        <f t="shared" si="9"/>
        <v>0</v>
      </c>
      <c r="R33" s="36">
        <f t="shared" si="9"/>
        <v>0</v>
      </c>
      <c r="S33" s="36">
        <f t="shared" si="9"/>
        <v>0</v>
      </c>
      <c r="T33" s="36">
        <f t="shared" si="9"/>
        <v>0</v>
      </c>
      <c r="U33" s="36">
        <f t="shared" si="9"/>
        <v>0</v>
      </c>
      <c r="V33" s="36">
        <f t="shared" si="9"/>
        <v>0</v>
      </c>
      <c r="W33" s="36">
        <f t="shared" si="9"/>
        <v>0</v>
      </c>
      <c r="X33" s="36">
        <f t="shared" si="9"/>
        <v>12</v>
      </c>
      <c r="Y33" s="36">
        <f t="shared" si="9"/>
        <v>1</v>
      </c>
      <c r="Z33" s="220">
        <f t="shared" ref="Z33:AA33" si="10">SUM(Z2:Z32)</f>
        <v>657</v>
      </c>
      <c r="AA33" s="220">
        <f t="shared" si="10"/>
        <v>0</v>
      </c>
      <c r="AB33" s="36">
        <f t="shared" ref="AB33:AC33" si="11">sum(AB2:AB32)</f>
        <v>656</v>
      </c>
      <c r="AC33" s="36">
        <f t="shared" si="11"/>
        <v>0</v>
      </c>
    </row>
    <row r="34">
      <c r="B34" s="221"/>
      <c r="C34" s="32"/>
      <c r="D34" s="32"/>
      <c r="E34" s="37" t="s">
        <v>67</v>
      </c>
      <c r="F34" s="38"/>
      <c r="I34" s="39">
        <f>'November 2018'!I$34+'December 2018'!I$33+'January 2019'!I$33</f>
        <v>70.77361111</v>
      </c>
      <c r="J34" s="39">
        <f>'November 2018'!J$34+'December 2018'!J$33+'January 2019'!J$33</f>
        <v>217.91</v>
      </c>
      <c r="K34" s="40"/>
      <c r="L34" s="40"/>
      <c r="M34" s="40"/>
      <c r="N34" s="41">
        <f>'November 2018'!N$34+'December 2018'!N$33+'January 2019'!N$33</f>
        <v>52</v>
      </c>
      <c r="O34" s="41">
        <f>'November 2018'!O$34+'December 2018'!O$33+'January 2019'!O$33</f>
        <v>949</v>
      </c>
      <c r="P34" s="41">
        <f>'November 2018'!P$34+'December 2018'!P$33+'January 2019'!P$33</f>
        <v>1</v>
      </c>
      <c r="Q34" s="41">
        <f>'November 2018'!Q$34+'December 2018'!Q$33+'January 2019'!Q$33</f>
        <v>1</v>
      </c>
      <c r="R34" s="41">
        <f>'November 2018'!R$34+'December 2018'!R$33+'January 2019'!R$33</f>
        <v>0</v>
      </c>
      <c r="S34" s="41">
        <f>'November 2018'!S$34+'December 2018'!S$33+'January 2019'!S$33</f>
        <v>0</v>
      </c>
      <c r="T34" s="41">
        <f>'November 2018'!T$34+'December 2018'!T$33+'January 2019'!T$33</f>
        <v>0</v>
      </c>
      <c r="U34" s="41">
        <f>'November 2018'!U$34+'December 2018'!U$33+'January 2019'!U$33</f>
        <v>0</v>
      </c>
      <c r="V34" s="41">
        <f>'November 2018'!V$34+'December 2018'!V$33+'January 2019'!V$33</f>
        <v>0</v>
      </c>
      <c r="W34" s="41">
        <f>'November 2018'!W$34+'December 2018'!W$33+'January 2019'!W$33</f>
        <v>0</v>
      </c>
      <c r="X34" s="41">
        <f>'November 2018'!X$34+'December 2018'!X$33+'January 2019'!X$33</f>
        <v>14</v>
      </c>
      <c r="Y34" s="41">
        <f>'November 2018'!Y$34+'December 2018'!Y$33+'January 2019'!Y$33</f>
        <v>1</v>
      </c>
      <c r="Z34" s="41">
        <f>'November 2018'!Z$34+'December 2018'!Z$33+'January 2019'!Z$33</f>
        <v>1003</v>
      </c>
      <c r="AA34" s="41">
        <f>'November 2018'!AA$34+'December 2018'!AA$33+'January 2019'!AA$33</f>
        <v>0</v>
      </c>
      <c r="AB34" s="42">
        <f>'November 2018'!AB34+'December 2018'!AB33+'January 2019'!AB33</f>
        <v>1001</v>
      </c>
      <c r="AC34" s="42">
        <f>'November 2018'!AC34+'December 2018'!AC33+'January 2019'!AC33</f>
        <v>0</v>
      </c>
    </row>
    <row r="35">
      <c r="B35" s="222"/>
      <c r="C35" s="222"/>
      <c r="E35" s="37" t="s">
        <v>68</v>
      </c>
      <c r="F35" s="38"/>
      <c r="I35" s="39">
        <f>'November 2018'!I$34+'December 2018'!I$33+'January 2019'!I$33+'February 2019'!I$33+'March 2019'!I$33+'April 2019'!I$33</f>
        <v>145.8102778</v>
      </c>
      <c r="J35" s="39">
        <f>'November 2018'!J34+'December 2018'!J33+'January 2019'!J33+'February 2019'!J33+'March 2019'!J33+'April 2019'!J33</f>
        <v>558.9616667</v>
      </c>
      <c r="K35" s="40"/>
      <c r="L35" s="40"/>
      <c r="M35" s="40"/>
      <c r="N35" s="41">
        <f>'November 2018'!N34+'December 2018'!N33+'January 2019'!N33+'February 2019'!N33+'March 2019'!N33+'April 2019'!N33</f>
        <v>90</v>
      </c>
      <c r="O35" s="41">
        <f>'November 2018'!O34+'December 2018'!O33+'January 2019'!O33+'February 2019'!O33+'March 2019'!O33+'April 2019'!O33</f>
        <v>1134</v>
      </c>
      <c r="P35" s="41">
        <f>'November 2018'!P34+'December 2018'!P33+'January 2019'!P33+'February 2019'!P33+'March 2019'!P33+'April 2019'!P33</f>
        <v>3</v>
      </c>
      <c r="Q35" s="41">
        <f>'November 2018'!Q34+'December 2018'!Q33+'January 2019'!Q33+'February 2019'!Q33+'March 2019'!Q33+'April 2019'!Q33</f>
        <v>4</v>
      </c>
      <c r="R35" s="41">
        <f>'November 2018'!R34+'December 2018'!R33+'January 2019'!R33+'February 2019'!R33+'March 2019'!R33+'April 2019'!R33</f>
        <v>124</v>
      </c>
      <c r="S35" s="41">
        <f>'November 2018'!S34+'December 2018'!S33+'January 2019'!S33+'February 2019'!S33+'March 2019'!S33+'April 2019'!S33</f>
        <v>791</v>
      </c>
      <c r="T35" s="41">
        <f>'November 2018'!T34+'December 2018'!T33+'January 2019'!T33+'February 2019'!T33+'March 2019'!T33+'April 2019'!T33</f>
        <v>6</v>
      </c>
      <c r="U35" s="41">
        <f>'November 2018'!U34+'December 2018'!U33+'January 2019'!U33+'February 2019'!U33+'March 2019'!U33+'April 2019'!U33</f>
        <v>17</v>
      </c>
      <c r="V35" s="41">
        <f>'November 2018'!V34+'December 2018'!V33+'January 2019'!V33+'February 2019'!V33+'March 2019'!V33+'April 2019'!V33</f>
        <v>6</v>
      </c>
      <c r="W35" s="41">
        <f>'November 2018'!W34+'December 2018'!W33+'January 2019'!W33+'February 2019'!W33+'March 2019'!W33+'April 2019'!W33</f>
        <v>4</v>
      </c>
      <c r="X35" s="41">
        <f>'November 2018'!X34+'December 2018'!X33+'January 2019'!X33+'February 2019'!X33+'March 2019'!X33+'April 2019'!X33</f>
        <v>24</v>
      </c>
      <c r="Y35" s="41">
        <f>'November 2018'!Y34+'December 2018'!Y33+'January 2019'!Y33+'February 2019'!Y33+'March 2019'!Y33+'April 2019'!Y33</f>
        <v>7</v>
      </c>
      <c r="Z35" s="41">
        <f>'November 2018'!Z34+'December 2018'!Z33+'January 2019'!Z33+'February 2019'!Z33+'March 2019'!Z33+'April 2019'!Z33</f>
        <v>1231</v>
      </c>
      <c r="AA35" s="41">
        <f>'November 2018'!AA34+'December 2018'!AA33+'January 2019'!AA33+'February 2019'!AA33+'March 2019'!AA33+'April 2019'!AA33</f>
        <v>944</v>
      </c>
      <c r="AB35" s="41">
        <f>'November 2018'!AB34+'December 2018'!AB33+'January 2019'!AB33+'February 2019'!AB33+'March 2019'!AB33+'April 2019'!AB33</f>
        <v>1224</v>
      </c>
      <c r="AC35" s="41">
        <f>'November 2018'!AC34+'December 2018'!AC33+'January 2019'!AC33+'February 2019'!AC33+'March 2019'!AC33+'April 2019'!AC33</f>
        <v>921</v>
      </c>
    </row>
    <row r="36">
      <c r="A36" s="40"/>
      <c r="B36" s="40"/>
      <c r="C36" s="40"/>
      <c r="D36" s="40"/>
      <c r="E36" s="33" t="s">
        <v>69</v>
      </c>
      <c r="F36" s="40"/>
      <c r="G36" s="40"/>
      <c r="H36" s="40"/>
      <c r="I36" s="40"/>
      <c r="J36" s="40"/>
      <c r="K36" s="40"/>
      <c r="L36" s="40"/>
      <c r="M36" s="40"/>
      <c r="N36" s="118">
        <v>135.0</v>
      </c>
      <c r="O36" s="119">
        <v>281.0</v>
      </c>
      <c r="P36" s="119">
        <v>7.0</v>
      </c>
      <c r="Q36" s="118">
        <v>10.0</v>
      </c>
      <c r="R36" s="118">
        <v>104.0</v>
      </c>
      <c r="S36" s="118">
        <v>165.0</v>
      </c>
      <c r="T36" s="118">
        <v>9.0</v>
      </c>
      <c r="U36" s="120">
        <v>7.0</v>
      </c>
      <c r="V36" s="48"/>
      <c r="W36" s="47"/>
      <c r="X36" s="47"/>
      <c r="Y36" s="49"/>
      <c r="Z36" s="46">
        <v>433.0</v>
      </c>
      <c r="AA36" s="46">
        <v>297.0</v>
      </c>
      <c r="AB36" s="46"/>
      <c r="AC36" s="49"/>
      <c r="AD36" s="49"/>
      <c r="AE36" s="49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9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50"/>
      <c r="BM36" s="50"/>
      <c r="BN36" s="50"/>
    </row>
    <row r="37">
      <c r="A37" s="40"/>
      <c r="B37" s="40"/>
      <c r="C37" s="40"/>
      <c r="D37" s="40"/>
      <c r="E37" s="33" t="s">
        <v>70</v>
      </c>
      <c r="F37" s="40"/>
      <c r="G37" s="40"/>
      <c r="H37" s="40"/>
      <c r="I37" s="40"/>
      <c r="J37" s="40"/>
      <c r="K37" s="40"/>
      <c r="L37" s="40"/>
      <c r="M37" s="40"/>
      <c r="N37" s="44"/>
      <c r="O37" s="45"/>
      <c r="P37" s="45"/>
      <c r="Q37" s="46"/>
      <c r="R37" s="46"/>
      <c r="S37" s="46"/>
      <c r="T37" s="46"/>
      <c r="U37" s="47"/>
      <c r="V37" s="48"/>
      <c r="W37" s="47"/>
      <c r="X37" s="47"/>
      <c r="Y37" s="49"/>
      <c r="Z37" s="46">
        <v>834.0</v>
      </c>
      <c r="AA37" s="46">
        <v>751.0</v>
      </c>
      <c r="AB37" s="46"/>
      <c r="AC37" s="49"/>
      <c r="AD37" s="49"/>
      <c r="AE37" s="49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9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50"/>
      <c r="BM37" s="50"/>
      <c r="BN37" s="50"/>
    </row>
    <row r="38">
      <c r="A38" s="40"/>
      <c r="B38" s="40"/>
      <c r="C38" s="40"/>
      <c r="D38" s="40"/>
      <c r="E38" s="33" t="s">
        <v>71</v>
      </c>
      <c r="F38" s="40"/>
      <c r="G38" s="40"/>
      <c r="H38" s="40"/>
      <c r="I38" s="40"/>
      <c r="J38" s="40"/>
      <c r="K38" s="40"/>
      <c r="L38" s="40"/>
      <c r="M38" s="40"/>
      <c r="N38" s="44"/>
      <c r="O38" s="45"/>
      <c r="P38" s="45"/>
      <c r="Q38" s="46"/>
      <c r="R38" s="46"/>
      <c r="S38" s="46"/>
      <c r="T38" s="46"/>
      <c r="U38" s="47"/>
      <c r="V38" s="48"/>
      <c r="W38" s="47"/>
      <c r="X38" s="47"/>
      <c r="Y38" s="49"/>
      <c r="Z38" s="46">
        <v>688.0</v>
      </c>
      <c r="AA38" s="46">
        <v>1040.0</v>
      </c>
      <c r="AB38" s="46"/>
      <c r="AC38" s="49"/>
      <c r="AD38" s="49"/>
      <c r="AE38" s="49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9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50"/>
      <c r="BM38" s="50"/>
      <c r="BN38" s="50"/>
    </row>
    <row r="39">
      <c r="A39" s="40"/>
      <c r="B39" s="40"/>
      <c r="C39" s="40"/>
      <c r="D39" s="51"/>
      <c r="E39" s="33" t="s">
        <v>72</v>
      </c>
      <c r="F39" s="40"/>
      <c r="G39" s="40"/>
      <c r="H39" s="40"/>
      <c r="I39" s="40"/>
      <c r="J39" s="40"/>
      <c r="K39" s="40"/>
      <c r="L39" s="40"/>
      <c r="M39" s="51"/>
      <c r="N39" s="52"/>
      <c r="O39" s="53"/>
      <c r="P39" s="53"/>
      <c r="Q39" s="54"/>
      <c r="R39" s="54"/>
      <c r="S39" s="55"/>
      <c r="T39" s="55"/>
      <c r="U39" s="56"/>
      <c r="V39" s="57"/>
      <c r="W39" s="54"/>
      <c r="X39" s="54"/>
      <c r="Y39" s="58"/>
      <c r="Z39" s="54">
        <v>695.0</v>
      </c>
      <c r="AA39" s="54">
        <v>750.0</v>
      </c>
      <c r="AB39" s="54"/>
      <c r="AC39" s="58"/>
      <c r="AD39" s="58"/>
      <c r="AE39" s="58"/>
      <c r="AF39" s="33"/>
      <c r="AG39" s="33"/>
      <c r="AH39" s="33"/>
      <c r="AI39" s="33"/>
      <c r="AJ39" s="33"/>
      <c r="AK39" s="33"/>
      <c r="AL39" s="54"/>
      <c r="AM39" s="54"/>
      <c r="AN39" s="59"/>
      <c r="AO39" s="59"/>
      <c r="AP39" s="59"/>
      <c r="AQ39" s="58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50"/>
      <c r="BM39" s="50"/>
      <c r="BN39" s="50"/>
    </row>
    <row r="40">
      <c r="A40" s="40"/>
      <c r="B40" s="40"/>
      <c r="C40" s="40"/>
      <c r="D40" s="51"/>
      <c r="E40" s="33" t="s">
        <v>73</v>
      </c>
      <c r="F40" s="40"/>
      <c r="G40" s="40"/>
      <c r="H40" s="40"/>
      <c r="I40" s="40"/>
      <c r="J40" s="40"/>
      <c r="K40" s="40"/>
      <c r="L40" s="40"/>
      <c r="M40" s="51"/>
      <c r="N40" s="52"/>
      <c r="O40" s="53"/>
      <c r="P40" s="53"/>
      <c r="Q40" s="54"/>
      <c r="R40" s="54"/>
      <c r="S40" s="55"/>
      <c r="T40" s="55"/>
      <c r="U40" s="56"/>
      <c r="V40" s="57"/>
      <c r="W40" s="54"/>
      <c r="X40" s="54"/>
      <c r="Y40" s="58"/>
      <c r="Z40" s="54">
        <v>580.0</v>
      </c>
      <c r="AA40" s="54">
        <v>572.0</v>
      </c>
      <c r="AB40" s="54"/>
      <c r="AC40" s="58"/>
      <c r="AD40" s="58"/>
      <c r="AE40" s="58"/>
      <c r="AF40" s="33"/>
      <c r="AG40" s="33"/>
      <c r="AH40" s="33"/>
      <c r="AI40" s="33"/>
      <c r="AJ40" s="33"/>
      <c r="AK40" s="33"/>
      <c r="AL40" s="54"/>
      <c r="AM40" s="54"/>
      <c r="AN40" s="59"/>
      <c r="AO40" s="59"/>
      <c r="AP40" s="59"/>
      <c r="AQ40" s="58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50"/>
      <c r="BM40" s="50"/>
      <c r="BN40" s="50"/>
    </row>
    <row r="41">
      <c r="B41" s="222"/>
      <c r="C41" s="222"/>
      <c r="E41" s="222"/>
    </row>
    <row r="42">
      <c r="B42" s="222"/>
      <c r="C42" s="222"/>
      <c r="E42" s="222"/>
    </row>
    <row r="43">
      <c r="B43" s="222"/>
      <c r="C43" s="222"/>
      <c r="E43" s="222"/>
    </row>
    <row r="44">
      <c r="B44" s="222"/>
      <c r="C44" s="222"/>
      <c r="E44" s="222"/>
    </row>
    <row r="45">
      <c r="B45" s="222"/>
      <c r="C45" s="222"/>
      <c r="E45" s="222"/>
    </row>
    <row r="46">
      <c r="B46" s="222"/>
      <c r="C46" s="222"/>
      <c r="E46" s="222"/>
    </row>
    <row r="47">
      <c r="B47" s="222"/>
      <c r="C47" s="222"/>
      <c r="E47" s="222"/>
    </row>
    <row r="48">
      <c r="B48" s="222"/>
      <c r="C48" s="222"/>
      <c r="E48" s="222"/>
    </row>
    <row r="49">
      <c r="B49" s="222"/>
      <c r="C49" s="222"/>
      <c r="E49" s="222"/>
    </row>
    <row r="50">
      <c r="B50" s="222"/>
      <c r="C50" s="222"/>
      <c r="E50" s="222"/>
    </row>
    <row r="51">
      <c r="B51" s="222"/>
      <c r="C51" s="222"/>
      <c r="E51" s="222"/>
    </row>
    <row r="52">
      <c r="B52" s="222"/>
      <c r="C52" s="222"/>
      <c r="E52" s="222"/>
    </row>
    <row r="53">
      <c r="B53" s="222"/>
      <c r="C53" s="222"/>
      <c r="E53" s="222"/>
    </row>
    <row r="54">
      <c r="B54" s="222"/>
      <c r="C54" s="222"/>
      <c r="E54" s="222"/>
    </row>
    <row r="55">
      <c r="B55" s="222"/>
      <c r="C55" s="222"/>
      <c r="E55" s="222"/>
    </row>
    <row r="56">
      <c r="B56" s="222"/>
      <c r="C56" s="222"/>
      <c r="E56" s="222"/>
    </row>
    <row r="57">
      <c r="B57" s="222"/>
      <c r="C57" s="222"/>
      <c r="E57" s="222"/>
    </row>
    <row r="58">
      <c r="B58" s="222"/>
      <c r="C58" s="222"/>
      <c r="E58" s="222"/>
    </row>
    <row r="59">
      <c r="B59" s="222"/>
      <c r="C59" s="222"/>
      <c r="E59" s="222"/>
    </row>
    <row r="60">
      <c r="B60" s="222"/>
      <c r="C60" s="222"/>
      <c r="E60" s="222"/>
    </row>
    <row r="61">
      <c r="B61" s="222"/>
      <c r="C61" s="222"/>
      <c r="E61" s="222"/>
    </row>
    <row r="62">
      <c r="B62" s="222"/>
      <c r="C62" s="222"/>
      <c r="E62" s="222"/>
    </row>
    <row r="63">
      <c r="B63" s="222"/>
      <c r="C63" s="222"/>
      <c r="E63" s="222"/>
    </row>
    <row r="64">
      <c r="B64" s="222"/>
      <c r="C64" s="222"/>
      <c r="E64" s="222"/>
    </row>
    <row r="65">
      <c r="B65" s="222"/>
      <c r="C65" s="222"/>
      <c r="E65" s="222"/>
    </row>
    <row r="66">
      <c r="B66" s="222"/>
      <c r="C66" s="222"/>
      <c r="E66" s="222"/>
    </row>
    <row r="67">
      <c r="B67" s="222"/>
      <c r="C67" s="222"/>
      <c r="E67" s="222"/>
    </row>
    <row r="68">
      <c r="B68" s="222"/>
      <c r="C68" s="222"/>
      <c r="E68" s="222"/>
    </row>
    <row r="69">
      <c r="B69" s="222"/>
      <c r="C69" s="222"/>
      <c r="E69" s="222"/>
    </row>
    <row r="70">
      <c r="B70" s="222"/>
      <c r="C70" s="222"/>
      <c r="E70" s="222"/>
    </row>
    <row r="71">
      <c r="B71" s="222"/>
      <c r="C71" s="222"/>
      <c r="E71" s="222"/>
    </row>
    <row r="72">
      <c r="B72" s="222"/>
      <c r="C72" s="222"/>
      <c r="E72" s="222"/>
    </row>
    <row r="73">
      <c r="B73" s="222"/>
      <c r="C73" s="222"/>
      <c r="E73" s="222"/>
    </row>
    <row r="74">
      <c r="B74" s="222"/>
      <c r="C74" s="222"/>
      <c r="E74" s="222"/>
    </row>
    <row r="75">
      <c r="B75" s="222"/>
      <c r="C75" s="222"/>
      <c r="E75" s="222"/>
    </row>
    <row r="76">
      <c r="B76" s="222"/>
      <c r="C76" s="222"/>
      <c r="E76" s="222"/>
    </row>
    <row r="77">
      <c r="B77" s="222"/>
      <c r="C77" s="222"/>
      <c r="E77" s="222"/>
    </row>
    <row r="78">
      <c r="B78" s="222"/>
      <c r="C78" s="222"/>
      <c r="E78" s="222"/>
    </row>
    <row r="79">
      <c r="B79" s="222"/>
      <c r="C79" s="222"/>
      <c r="E79" s="222"/>
    </row>
    <row r="80">
      <c r="B80" s="222"/>
      <c r="C80" s="222"/>
      <c r="E80" s="222"/>
    </row>
    <row r="81">
      <c r="B81" s="222"/>
      <c r="C81" s="222"/>
      <c r="E81" s="222"/>
    </row>
    <row r="82">
      <c r="B82" s="222"/>
      <c r="C82" s="222"/>
      <c r="E82" s="222"/>
    </row>
    <row r="83">
      <c r="B83" s="222"/>
      <c r="C83" s="222"/>
      <c r="E83" s="222"/>
    </row>
    <row r="84">
      <c r="B84" s="222"/>
      <c r="C84" s="222"/>
      <c r="E84" s="222"/>
    </row>
    <row r="85">
      <c r="B85" s="222"/>
      <c r="C85" s="222"/>
      <c r="E85" s="222"/>
    </row>
    <row r="86">
      <c r="B86" s="222"/>
      <c r="C86" s="222"/>
      <c r="E86" s="222"/>
    </row>
    <row r="87">
      <c r="B87" s="222"/>
      <c r="C87" s="222"/>
      <c r="E87" s="222"/>
    </row>
    <row r="88">
      <c r="B88" s="222"/>
      <c r="C88" s="222"/>
      <c r="E88" s="222"/>
    </row>
    <row r="89">
      <c r="B89" s="222"/>
      <c r="C89" s="222"/>
      <c r="E89" s="222"/>
    </row>
    <row r="90">
      <c r="B90" s="222"/>
      <c r="C90" s="222"/>
      <c r="E90" s="222"/>
    </row>
    <row r="91">
      <c r="B91" s="222"/>
      <c r="C91" s="222"/>
      <c r="E91" s="222"/>
    </row>
    <row r="92">
      <c r="B92" s="222"/>
      <c r="C92" s="222"/>
      <c r="E92" s="222"/>
    </row>
    <row r="93">
      <c r="B93" s="222"/>
      <c r="C93" s="222"/>
      <c r="E93" s="222"/>
    </row>
    <row r="94">
      <c r="B94" s="222"/>
      <c r="C94" s="222"/>
      <c r="E94" s="222"/>
    </row>
    <row r="95">
      <c r="B95" s="222"/>
      <c r="C95" s="222"/>
      <c r="E95" s="222"/>
    </row>
    <row r="96">
      <c r="B96" s="222"/>
      <c r="C96" s="222"/>
      <c r="E96" s="222"/>
    </row>
    <row r="97">
      <c r="B97" s="222"/>
      <c r="C97" s="222"/>
      <c r="E97" s="222"/>
    </row>
    <row r="98">
      <c r="B98" s="222"/>
      <c r="C98" s="222"/>
      <c r="E98" s="222"/>
    </row>
    <row r="99">
      <c r="B99" s="222"/>
      <c r="C99" s="222"/>
      <c r="E99" s="222"/>
    </row>
    <row r="100">
      <c r="B100" s="222"/>
      <c r="C100" s="222"/>
      <c r="E100" s="222"/>
    </row>
    <row r="101">
      <c r="B101" s="222"/>
      <c r="C101" s="222"/>
      <c r="E101" s="222"/>
    </row>
    <row r="102">
      <c r="B102" s="222"/>
      <c r="C102" s="222"/>
      <c r="E102" s="222"/>
    </row>
    <row r="103">
      <c r="B103" s="222"/>
      <c r="C103" s="222"/>
      <c r="E103" s="222"/>
    </row>
    <row r="104">
      <c r="B104" s="222"/>
      <c r="C104" s="222"/>
      <c r="E104" s="222"/>
    </row>
    <row r="105">
      <c r="B105" s="222"/>
      <c r="C105" s="222"/>
      <c r="E105" s="222"/>
    </row>
    <row r="106">
      <c r="B106" s="222"/>
      <c r="C106" s="222"/>
      <c r="E106" s="222"/>
    </row>
    <row r="107">
      <c r="B107" s="222"/>
      <c r="C107" s="222"/>
      <c r="E107" s="222"/>
    </row>
    <row r="108">
      <c r="B108" s="222"/>
      <c r="C108" s="222"/>
      <c r="E108" s="222"/>
    </row>
    <row r="109">
      <c r="B109" s="222"/>
      <c r="C109" s="222"/>
      <c r="E109" s="222"/>
    </row>
    <row r="110">
      <c r="B110" s="222"/>
      <c r="C110" s="222"/>
      <c r="E110" s="222"/>
    </row>
    <row r="111">
      <c r="B111" s="222"/>
      <c r="C111" s="222"/>
      <c r="E111" s="222"/>
    </row>
    <row r="112">
      <c r="B112" s="222"/>
      <c r="C112" s="222"/>
      <c r="E112" s="222"/>
    </row>
    <row r="113">
      <c r="B113" s="222"/>
      <c r="C113" s="222"/>
      <c r="E113" s="222"/>
    </row>
    <row r="114">
      <c r="B114" s="222"/>
      <c r="C114" s="222"/>
      <c r="E114" s="222"/>
    </row>
    <row r="115">
      <c r="B115" s="222"/>
      <c r="C115" s="222"/>
      <c r="E115" s="222"/>
    </row>
    <row r="116">
      <c r="B116" s="222"/>
      <c r="C116" s="222"/>
      <c r="E116" s="222"/>
    </row>
    <row r="117">
      <c r="B117" s="222"/>
      <c r="C117" s="222"/>
      <c r="E117" s="222"/>
    </row>
    <row r="118">
      <c r="B118" s="222"/>
      <c r="C118" s="222"/>
      <c r="E118" s="222"/>
    </row>
    <row r="119">
      <c r="B119" s="222"/>
      <c r="C119" s="222"/>
      <c r="E119" s="222"/>
    </row>
    <row r="120">
      <c r="B120" s="222"/>
      <c r="C120" s="222"/>
      <c r="E120" s="222"/>
    </row>
    <row r="121">
      <c r="B121" s="222"/>
      <c r="C121" s="222"/>
      <c r="E121" s="222"/>
    </row>
    <row r="122">
      <c r="B122" s="222"/>
      <c r="C122" s="222"/>
      <c r="E122" s="222"/>
    </row>
    <row r="123">
      <c r="B123" s="222"/>
      <c r="C123" s="222"/>
      <c r="E123" s="222"/>
    </row>
    <row r="124">
      <c r="B124" s="222"/>
      <c r="C124" s="222"/>
      <c r="E124" s="222"/>
    </row>
    <row r="125">
      <c r="B125" s="222"/>
      <c r="C125" s="222"/>
      <c r="E125" s="222"/>
    </row>
    <row r="126">
      <c r="B126" s="222"/>
      <c r="C126" s="222"/>
      <c r="E126" s="222"/>
    </row>
    <row r="127">
      <c r="B127" s="222"/>
      <c r="C127" s="222"/>
      <c r="E127" s="222"/>
    </row>
    <row r="128">
      <c r="B128" s="222"/>
      <c r="C128" s="222"/>
      <c r="E128" s="222"/>
    </row>
    <row r="129">
      <c r="B129" s="222"/>
      <c r="C129" s="222"/>
      <c r="E129" s="222"/>
    </row>
    <row r="130">
      <c r="B130" s="222"/>
      <c r="C130" s="222"/>
      <c r="E130" s="222"/>
    </row>
    <row r="131">
      <c r="B131" s="222"/>
      <c r="C131" s="222"/>
      <c r="E131" s="222"/>
    </row>
    <row r="132">
      <c r="B132" s="222"/>
      <c r="C132" s="222"/>
      <c r="E132" s="222"/>
    </row>
    <row r="133">
      <c r="B133" s="222"/>
      <c r="C133" s="222"/>
      <c r="E133" s="222"/>
    </row>
    <row r="134">
      <c r="B134" s="222"/>
      <c r="C134" s="222"/>
      <c r="E134" s="222"/>
    </row>
    <row r="135">
      <c r="B135" s="222"/>
      <c r="C135" s="222"/>
      <c r="E135" s="222"/>
    </row>
    <row r="136">
      <c r="B136" s="222"/>
      <c r="C136" s="222"/>
      <c r="E136" s="222"/>
    </row>
    <row r="137">
      <c r="B137" s="222"/>
      <c r="C137" s="222"/>
      <c r="E137" s="222"/>
    </row>
    <row r="138">
      <c r="B138" s="222"/>
      <c r="C138" s="222"/>
      <c r="E138" s="222"/>
    </row>
    <row r="139">
      <c r="B139" s="222"/>
      <c r="C139" s="222"/>
      <c r="E139" s="222"/>
    </row>
    <row r="140">
      <c r="B140" s="222"/>
      <c r="C140" s="222"/>
      <c r="E140" s="222"/>
    </row>
    <row r="141">
      <c r="B141" s="222"/>
      <c r="C141" s="222"/>
      <c r="E141" s="222"/>
    </row>
    <row r="142">
      <c r="B142" s="222"/>
      <c r="C142" s="222"/>
      <c r="E142" s="222"/>
    </row>
    <row r="143">
      <c r="B143" s="222"/>
      <c r="C143" s="222"/>
      <c r="E143" s="222"/>
    </row>
    <row r="144">
      <c r="B144" s="222"/>
      <c r="C144" s="222"/>
      <c r="E144" s="222"/>
    </row>
    <row r="145">
      <c r="B145" s="222"/>
      <c r="C145" s="222"/>
      <c r="E145" s="222"/>
    </row>
    <row r="146">
      <c r="B146" s="222"/>
      <c r="C146" s="222"/>
      <c r="E146" s="222"/>
    </row>
    <row r="147">
      <c r="B147" s="222"/>
      <c r="C147" s="222"/>
      <c r="E147" s="222"/>
    </row>
    <row r="148">
      <c r="B148" s="222"/>
      <c r="C148" s="222"/>
      <c r="E148" s="222"/>
    </row>
    <row r="149">
      <c r="B149" s="222"/>
      <c r="C149" s="222"/>
      <c r="E149" s="222"/>
    </row>
    <row r="150">
      <c r="B150" s="222"/>
      <c r="C150" s="222"/>
      <c r="E150" s="222"/>
    </row>
    <row r="151">
      <c r="B151" s="222"/>
      <c r="C151" s="222"/>
      <c r="E151" s="222"/>
    </row>
    <row r="152">
      <c r="B152" s="222"/>
      <c r="C152" s="222"/>
      <c r="E152" s="222"/>
    </row>
    <row r="153">
      <c r="B153" s="222"/>
      <c r="C153" s="222"/>
      <c r="E153" s="222"/>
    </row>
    <row r="154">
      <c r="B154" s="222"/>
      <c r="C154" s="222"/>
      <c r="E154" s="222"/>
    </row>
    <row r="155">
      <c r="B155" s="222"/>
      <c r="C155" s="222"/>
      <c r="E155" s="222"/>
    </row>
    <row r="156">
      <c r="B156" s="222"/>
      <c r="C156" s="222"/>
      <c r="E156" s="222"/>
    </row>
    <row r="157">
      <c r="B157" s="222"/>
      <c r="C157" s="222"/>
      <c r="E157" s="222"/>
    </row>
    <row r="158">
      <c r="B158" s="222"/>
      <c r="C158" s="222"/>
      <c r="E158" s="222"/>
    </row>
    <row r="159">
      <c r="B159" s="222"/>
      <c r="C159" s="222"/>
      <c r="E159" s="222"/>
    </row>
    <row r="160">
      <c r="B160" s="222"/>
      <c r="C160" s="222"/>
      <c r="E160" s="222"/>
    </row>
    <row r="161">
      <c r="B161" s="222"/>
      <c r="C161" s="222"/>
      <c r="E161" s="222"/>
    </row>
    <row r="162">
      <c r="B162" s="222"/>
      <c r="C162" s="222"/>
      <c r="E162" s="222"/>
    </row>
    <row r="163">
      <c r="B163" s="222"/>
      <c r="C163" s="222"/>
      <c r="E163" s="222"/>
    </row>
    <row r="164">
      <c r="B164" s="222"/>
      <c r="C164" s="222"/>
      <c r="E164" s="222"/>
    </row>
    <row r="165">
      <c r="B165" s="222"/>
      <c r="C165" s="222"/>
      <c r="E165" s="222"/>
    </row>
    <row r="166">
      <c r="B166" s="222"/>
      <c r="C166" s="222"/>
      <c r="E166" s="222"/>
    </row>
    <row r="167">
      <c r="B167" s="222"/>
      <c r="C167" s="222"/>
      <c r="E167" s="222"/>
    </row>
    <row r="168">
      <c r="B168" s="222"/>
      <c r="C168" s="222"/>
      <c r="E168" s="222"/>
    </row>
    <row r="169">
      <c r="B169" s="222"/>
      <c r="C169" s="222"/>
      <c r="E169" s="222"/>
    </row>
    <row r="170">
      <c r="B170" s="222"/>
      <c r="C170" s="222"/>
      <c r="E170" s="222"/>
    </row>
    <row r="171">
      <c r="B171" s="222"/>
      <c r="C171" s="222"/>
      <c r="E171" s="222"/>
    </row>
    <row r="172">
      <c r="B172" s="222"/>
      <c r="C172" s="222"/>
      <c r="E172" s="222"/>
    </row>
    <row r="173">
      <c r="B173" s="222"/>
      <c r="C173" s="222"/>
      <c r="E173" s="222"/>
    </row>
    <row r="174">
      <c r="B174" s="222"/>
      <c r="C174" s="222"/>
      <c r="E174" s="222"/>
    </row>
    <row r="175">
      <c r="B175" s="222"/>
      <c r="C175" s="222"/>
      <c r="E175" s="222"/>
    </row>
    <row r="176">
      <c r="B176" s="222"/>
      <c r="C176" s="222"/>
      <c r="E176" s="222"/>
    </row>
    <row r="177">
      <c r="B177" s="222"/>
      <c r="C177" s="222"/>
      <c r="E177" s="222"/>
    </row>
    <row r="178">
      <c r="B178" s="222"/>
      <c r="C178" s="222"/>
      <c r="E178" s="222"/>
    </row>
    <row r="179">
      <c r="B179" s="222"/>
      <c r="C179" s="222"/>
      <c r="E179" s="222"/>
    </row>
    <row r="180">
      <c r="B180" s="222"/>
      <c r="C180" s="222"/>
      <c r="E180" s="222"/>
    </row>
    <row r="181">
      <c r="B181" s="222"/>
      <c r="C181" s="222"/>
      <c r="E181" s="222"/>
    </row>
    <row r="182">
      <c r="B182" s="222"/>
      <c r="C182" s="222"/>
      <c r="E182" s="222"/>
    </row>
    <row r="183">
      <c r="B183" s="222"/>
      <c r="C183" s="222"/>
      <c r="E183" s="222"/>
    </row>
    <row r="184">
      <c r="B184" s="222"/>
      <c r="C184" s="222"/>
      <c r="E184" s="222"/>
    </row>
    <row r="185">
      <c r="B185" s="222"/>
      <c r="C185" s="222"/>
      <c r="E185" s="222"/>
    </row>
    <row r="186">
      <c r="B186" s="222"/>
      <c r="C186" s="222"/>
      <c r="E186" s="222"/>
    </row>
    <row r="187">
      <c r="B187" s="222"/>
      <c r="C187" s="222"/>
      <c r="E187" s="222"/>
    </row>
    <row r="188">
      <c r="B188" s="222"/>
      <c r="C188" s="222"/>
      <c r="E188" s="222"/>
    </row>
    <row r="189">
      <c r="B189" s="222"/>
      <c r="C189" s="222"/>
      <c r="E189" s="222"/>
    </row>
    <row r="190">
      <c r="B190" s="222"/>
      <c r="C190" s="222"/>
      <c r="E190" s="222"/>
    </row>
    <row r="191">
      <c r="B191" s="222"/>
      <c r="C191" s="222"/>
      <c r="E191" s="222"/>
    </row>
    <row r="192">
      <c r="B192" s="222"/>
      <c r="C192" s="222"/>
      <c r="E192" s="222"/>
    </row>
    <row r="193">
      <c r="B193" s="222"/>
      <c r="C193" s="222"/>
      <c r="E193" s="222"/>
    </row>
    <row r="194">
      <c r="B194" s="222"/>
      <c r="C194" s="222"/>
      <c r="E194" s="222"/>
    </row>
    <row r="195">
      <c r="B195" s="222"/>
      <c r="C195" s="222"/>
      <c r="E195" s="222"/>
    </row>
    <row r="196">
      <c r="B196" s="222"/>
      <c r="C196" s="222"/>
      <c r="E196" s="222"/>
    </row>
    <row r="197">
      <c r="B197" s="222"/>
      <c r="C197" s="222"/>
      <c r="E197" s="222"/>
    </row>
    <row r="198">
      <c r="B198" s="222"/>
      <c r="C198" s="222"/>
      <c r="E198" s="222"/>
    </row>
    <row r="199">
      <c r="B199" s="222"/>
      <c r="C199" s="222"/>
      <c r="E199" s="222"/>
    </row>
    <row r="200">
      <c r="B200" s="222"/>
      <c r="C200" s="222"/>
      <c r="E200" s="222"/>
    </row>
    <row r="201">
      <c r="B201" s="222"/>
      <c r="C201" s="222"/>
      <c r="E201" s="222"/>
    </row>
    <row r="202">
      <c r="B202" s="222"/>
      <c r="C202" s="222"/>
      <c r="E202" s="222"/>
    </row>
    <row r="203">
      <c r="B203" s="222"/>
      <c r="C203" s="222"/>
      <c r="E203" s="222"/>
    </row>
    <row r="204">
      <c r="B204" s="222"/>
      <c r="C204" s="222"/>
      <c r="E204" s="222"/>
    </row>
    <row r="205">
      <c r="B205" s="222"/>
      <c r="C205" s="222"/>
      <c r="E205" s="222"/>
    </row>
    <row r="206">
      <c r="B206" s="222"/>
      <c r="C206" s="222"/>
      <c r="E206" s="222"/>
    </row>
    <row r="207">
      <c r="B207" s="222"/>
      <c r="C207" s="222"/>
      <c r="E207" s="222"/>
    </row>
    <row r="208">
      <c r="B208" s="222"/>
      <c r="C208" s="222"/>
      <c r="E208" s="222"/>
    </row>
    <row r="209">
      <c r="B209" s="222"/>
      <c r="C209" s="222"/>
      <c r="E209" s="222"/>
    </row>
    <row r="210">
      <c r="B210" s="222"/>
      <c r="C210" s="222"/>
      <c r="E210" s="222"/>
    </row>
    <row r="211">
      <c r="B211" s="222"/>
      <c r="C211" s="222"/>
      <c r="E211" s="222"/>
    </row>
    <row r="212">
      <c r="B212" s="222"/>
      <c r="C212" s="222"/>
      <c r="E212" s="222"/>
    </row>
    <row r="213">
      <c r="B213" s="222"/>
      <c r="C213" s="222"/>
      <c r="E213" s="222"/>
    </row>
    <row r="214">
      <c r="B214" s="222"/>
      <c r="C214" s="222"/>
      <c r="E214" s="222"/>
    </row>
    <row r="215">
      <c r="B215" s="222"/>
      <c r="C215" s="222"/>
      <c r="E215" s="222"/>
    </row>
    <row r="216">
      <c r="B216" s="222"/>
      <c r="C216" s="222"/>
      <c r="E216" s="222"/>
    </row>
    <row r="217">
      <c r="B217" s="222"/>
      <c r="C217" s="222"/>
      <c r="E217" s="222"/>
    </row>
    <row r="218">
      <c r="B218" s="222"/>
      <c r="C218" s="222"/>
      <c r="E218" s="222"/>
    </row>
    <row r="219">
      <c r="B219" s="222"/>
      <c r="C219" s="222"/>
      <c r="E219" s="222"/>
    </row>
    <row r="220">
      <c r="B220" s="222"/>
      <c r="C220" s="222"/>
      <c r="E220" s="222"/>
    </row>
    <row r="221">
      <c r="B221" s="222"/>
      <c r="C221" s="222"/>
      <c r="E221" s="222"/>
    </row>
    <row r="222">
      <c r="B222" s="222"/>
      <c r="C222" s="222"/>
      <c r="E222" s="222"/>
    </row>
    <row r="223">
      <c r="B223" s="222"/>
      <c r="C223" s="222"/>
      <c r="E223" s="222"/>
    </row>
    <row r="224">
      <c r="B224" s="222"/>
      <c r="C224" s="222"/>
      <c r="E224" s="222"/>
    </row>
    <row r="225">
      <c r="B225" s="222"/>
      <c r="C225" s="222"/>
      <c r="E225" s="222"/>
    </row>
    <row r="226">
      <c r="B226" s="222"/>
      <c r="C226" s="222"/>
      <c r="E226" s="222"/>
    </row>
    <row r="227">
      <c r="B227" s="222"/>
      <c r="C227" s="222"/>
      <c r="E227" s="222"/>
    </row>
    <row r="228">
      <c r="B228" s="222"/>
      <c r="C228" s="222"/>
      <c r="E228" s="222"/>
    </row>
    <row r="229">
      <c r="B229" s="222"/>
      <c r="C229" s="222"/>
      <c r="E229" s="222"/>
    </row>
    <row r="230">
      <c r="B230" s="222"/>
      <c r="C230" s="222"/>
      <c r="E230" s="222"/>
    </row>
    <row r="231">
      <c r="B231" s="222"/>
      <c r="C231" s="222"/>
      <c r="E231" s="222"/>
    </row>
    <row r="232">
      <c r="B232" s="222"/>
      <c r="C232" s="222"/>
      <c r="E232" s="222"/>
    </row>
    <row r="233">
      <c r="B233" s="222"/>
      <c r="C233" s="222"/>
      <c r="E233" s="222"/>
    </row>
    <row r="234">
      <c r="B234" s="222"/>
      <c r="C234" s="222"/>
      <c r="E234" s="222"/>
    </row>
    <row r="235">
      <c r="B235" s="222"/>
      <c r="C235" s="222"/>
      <c r="E235" s="222"/>
    </row>
    <row r="236">
      <c r="B236" s="222"/>
      <c r="C236" s="222"/>
      <c r="E236" s="222"/>
    </row>
    <row r="237">
      <c r="B237" s="222"/>
      <c r="C237" s="222"/>
      <c r="E237" s="222"/>
    </row>
    <row r="238">
      <c r="B238" s="222"/>
      <c r="C238" s="222"/>
      <c r="E238" s="222"/>
    </row>
    <row r="239">
      <c r="B239" s="222"/>
      <c r="C239" s="222"/>
      <c r="E239" s="222"/>
    </row>
    <row r="240">
      <c r="B240" s="222"/>
      <c r="C240" s="222"/>
      <c r="E240" s="222"/>
    </row>
    <row r="241">
      <c r="B241" s="222"/>
      <c r="C241" s="222"/>
      <c r="E241" s="222"/>
    </row>
    <row r="242">
      <c r="B242" s="222"/>
      <c r="C242" s="222"/>
      <c r="E242" s="222"/>
    </row>
    <row r="243">
      <c r="B243" s="222"/>
      <c r="C243" s="222"/>
      <c r="E243" s="222"/>
    </row>
    <row r="244">
      <c r="B244" s="222"/>
      <c r="C244" s="222"/>
      <c r="E244" s="222"/>
    </row>
    <row r="245">
      <c r="B245" s="222"/>
      <c r="C245" s="222"/>
      <c r="E245" s="222"/>
    </row>
    <row r="246">
      <c r="B246" s="222"/>
      <c r="C246" s="222"/>
      <c r="E246" s="222"/>
    </row>
    <row r="247">
      <c r="B247" s="222"/>
      <c r="C247" s="222"/>
      <c r="E247" s="222"/>
    </row>
    <row r="248">
      <c r="B248" s="222"/>
      <c r="C248" s="222"/>
      <c r="E248" s="222"/>
    </row>
    <row r="249">
      <c r="B249" s="222"/>
      <c r="C249" s="222"/>
      <c r="E249" s="222"/>
    </row>
    <row r="250">
      <c r="B250" s="222"/>
      <c r="C250" s="222"/>
      <c r="E250" s="222"/>
    </row>
    <row r="251">
      <c r="B251" s="222"/>
      <c r="C251" s="222"/>
      <c r="E251" s="222"/>
    </row>
    <row r="252">
      <c r="B252" s="222"/>
      <c r="C252" s="222"/>
      <c r="E252" s="222"/>
    </row>
    <row r="253">
      <c r="B253" s="222"/>
      <c r="C253" s="222"/>
      <c r="E253" s="222"/>
    </row>
    <row r="254">
      <c r="B254" s="222"/>
      <c r="C254" s="222"/>
      <c r="E254" s="222"/>
    </row>
    <row r="255">
      <c r="B255" s="222"/>
      <c r="C255" s="222"/>
      <c r="E255" s="222"/>
    </row>
    <row r="256">
      <c r="B256" s="222"/>
      <c r="C256" s="222"/>
      <c r="E256" s="222"/>
    </row>
    <row r="257">
      <c r="B257" s="222"/>
      <c r="C257" s="222"/>
      <c r="E257" s="222"/>
    </row>
    <row r="258">
      <c r="B258" s="222"/>
      <c r="C258" s="222"/>
      <c r="E258" s="222"/>
    </row>
    <row r="259">
      <c r="B259" s="222"/>
      <c r="C259" s="222"/>
      <c r="E259" s="222"/>
    </row>
    <row r="260">
      <c r="B260" s="222"/>
      <c r="C260" s="222"/>
      <c r="E260" s="222"/>
    </row>
    <row r="261">
      <c r="B261" s="222"/>
      <c r="C261" s="222"/>
      <c r="E261" s="222"/>
    </row>
    <row r="262">
      <c r="B262" s="222"/>
      <c r="C262" s="222"/>
      <c r="E262" s="222"/>
    </row>
    <row r="263">
      <c r="B263" s="222"/>
      <c r="C263" s="222"/>
      <c r="E263" s="222"/>
    </row>
    <row r="264">
      <c r="B264" s="222"/>
      <c r="C264" s="222"/>
      <c r="E264" s="222"/>
    </row>
    <row r="265">
      <c r="B265" s="222"/>
      <c r="C265" s="222"/>
      <c r="E265" s="222"/>
    </row>
    <row r="266">
      <c r="B266" s="222"/>
      <c r="C266" s="222"/>
      <c r="E266" s="222"/>
    </row>
    <row r="267">
      <c r="B267" s="222"/>
      <c r="C267" s="222"/>
      <c r="E267" s="222"/>
    </row>
    <row r="268">
      <c r="B268" s="222"/>
      <c r="C268" s="222"/>
      <c r="E268" s="222"/>
    </row>
    <row r="269">
      <c r="B269" s="222"/>
      <c r="C269" s="222"/>
      <c r="E269" s="222"/>
    </row>
    <row r="270">
      <c r="B270" s="222"/>
      <c r="C270" s="222"/>
      <c r="E270" s="222"/>
    </row>
    <row r="271">
      <c r="B271" s="222"/>
      <c r="C271" s="222"/>
      <c r="E271" s="222"/>
    </row>
    <row r="272">
      <c r="B272" s="222"/>
      <c r="C272" s="222"/>
      <c r="E272" s="222"/>
    </row>
    <row r="273">
      <c r="B273" s="222"/>
      <c r="C273" s="222"/>
      <c r="E273" s="222"/>
    </row>
    <row r="274">
      <c r="B274" s="222"/>
      <c r="C274" s="222"/>
      <c r="E274" s="222"/>
    </row>
    <row r="275">
      <c r="B275" s="222"/>
      <c r="C275" s="222"/>
      <c r="E275" s="222"/>
    </row>
    <row r="276">
      <c r="B276" s="222"/>
      <c r="C276" s="222"/>
      <c r="E276" s="222"/>
    </row>
    <row r="277">
      <c r="B277" s="222"/>
      <c r="C277" s="222"/>
      <c r="E277" s="222"/>
    </row>
    <row r="278">
      <c r="B278" s="222"/>
      <c r="C278" s="222"/>
      <c r="E278" s="222"/>
    </row>
    <row r="279">
      <c r="B279" s="222"/>
      <c r="C279" s="222"/>
      <c r="E279" s="222"/>
    </row>
    <row r="280">
      <c r="B280" s="222"/>
      <c r="C280" s="222"/>
      <c r="E280" s="222"/>
    </row>
    <row r="281">
      <c r="B281" s="222"/>
      <c r="C281" s="222"/>
      <c r="E281" s="222"/>
    </row>
    <row r="282">
      <c r="B282" s="222"/>
      <c r="C282" s="222"/>
      <c r="E282" s="222"/>
    </row>
    <row r="283">
      <c r="B283" s="222"/>
      <c r="C283" s="222"/>
      <c r="E283" s="222"/>
    </row>
    <row r="284">
      <c r="B284" s="222"/>
      <c r="C284" s="222"/>
      <c r="E284" s="222"/>
    </row>
    <row r="285">
      <c r="B285" s="222"/>
      <c r="C285" s="222"/>
      <c r="E285" s="222"/>
    </row>
    <row r="286">
      <c r="B286" s="222"/>
      <c r="C286" s="222"/>
      <c r="E286" s="222"/>
    </row>
    <row r="287">
      <c r="B287" s="222"/>
      <c r="C287" s="222"/>
      <c r="E287" s="222"/>
    </row>
    <row r="288">
      <c r="B288" s="222"/>
      <c r="C288" s="222"/>
      <c r="E288" s="222"/>
    </row>
    <row r="289">
      <c r="B289" s="222"/>
      <c r="C289" s="222"/>
      <c r="E289" s="222"/>
    </row>
    <row r="290">
      <c r="B290" s="222"/>
      <c r="C290" s="222"/>
      <c r="E290" s="222"/>
    </row>
    <row r="291">
      <c r="B291" s="222"/>
      <c r="C291" s="222"/>
      <c r="E291" s="222"/>
    </row>
    <row r="292">
      <c r="B292" s="222"/>
      <c r="C292" s="222"/>
      <c r="E292" s="222"/>
    </row>
    <row r="293">
      <c r="B293" s="222"/>
      <c r="C293" s="222"/>
      <c r="E293" s="222"/>
    </row>
    <row r="294">
      <c r="B294" s="222"/>
      <c r="C294" s="222"/>
      <c r="E294" s="222"/>
    </row>
    <row r="295">
      <c r="B295" s="222"/>
      <c r="C295" s="222"/>
      <c r="E295" s="222"/>
    </row>
    <row r="296">
      <c r="B296" s="222"/>
      <c r="C296" s="222"/>
      <c r="E296" s="222"/>
    </row>
    <row r="297">
      <c r="B297" s="222"/>
      <c r="C297" s="222"/>
      <c r="E297" s="222"/>
    </row>
    <row r="298">
      <c r="B298" s="222"/>
      <c r="C298" s="222"/>
      <c r="E298" s="222"/>
    </row>
    <row r="299">
      <c r="B299" s="222"/>
      <c r="C299" s="222"/>
      <c r="E299" s="222"/>
    </row>
    <row r="300">
      <c r="B300" s="222"/>
      <c r="C300" s="222"/>
      <c r="E300" s="222"/>
    </row>
    <row r="301">
      <c r="B301" s="222"/>
      <c r="C301" s="222"/>
      <c r="E301" s="222"/>
    </row>
    <row r="302">
      <c r="B302" s="222"/>
      <c r="C302" s="222"/>
      <c r="E302" s="222"/>
    </row>
    <row r="303">
      <c r="B303" s="222"/>
      <c r="C303" s="222"/>
      <c r="E303" s="222"/>
    </row>
    <row r="304">
      <c r="B304" s="222"/>
      <c r="C304" s="222"/>
      <c r="E304" s="222"/>
    </row>
    <row r="305">
      <c r="B305" s="222"/>
      <c r="C305" s="222"/>
      <c r="E305" s="222"/>
    </row>
    <row r="306">
      <c r="B306" s="222"/>
      <c r="C306" s="222"/>
      <c r="E306" s="222"/>
    </row>
    <row r="307">
      <c r="B307" s="222"/>
      <c r="C307" s="222"/>
      <c r="E307" s="222"/>
    </row>
    <row r="308">
      <c r="B308" s="222"/>
      <c r="C308" s="222"/>
      <c r="E308" s="222"/>
    </row>
    <row r="309">
      <c r="B309" s="222"/>
      <c r="C309" s="222"/>
      <c r="E309" s="222"/>
    </row>
    <row r="310">
      <c r="B310" s="222"/>
      <c r="C310" s="222"/>
      <c r="E310" s="222"/>
    </row>
    <row r="311">
      <c r="B311" s="222"/>
      <c r="C311" s="222"/>
      <c r="E311" s="222"/>
    </row>
    <row r="312">
      <c r="B312" s="222"/>
      <c r="C312" s="222"/>
      <c r="E312" s="222"/>
    </row>
    <row r="313">
      <c r="B313" s="222"/>
      <c r="C313" s="222"/>
      <c r="E313" s="222"/>
    </row>
    <row r="314">
      <c r="B314" s="222"/>
      <c r="C314" s="222"/>
      <c r="E314" s="222"/>
    </row>
    <row r="315">
      <c r="B315" s="222"/>
      <c r="C315" s="222"/>
      <c r="E315" s="222"/>
    </row>
    <row r="316">
      <c r="B316" s="222"/>
      <c r="C316" s="222"/>
      <c r="E316" s="222"/>
    </row>
    <row r="317">
      <c r="B317" s="222"/>
      <c r="C317" s="222"/>
      <c r="E317" s="222"/>
    </row>
    <row r="318">
      <c r="B318" s="222"/>
      <c r="C318" s="222"/>
      <c r="E318" s="222"/>
    </row>
    <row r="319">
      <c r="B319" s="222"/>
      <c r="C319" s="222"/>
      <c r="E319" s="222"/>
    </row>
    <row r="320">
      <c r="B320" s="222"/>
      <c r="C320" s="222"/>
      <c r="E320" s="222"/>
    </row>
    <row r="321">
      <c r="B321" s="222"/>
      <c r="C321" s="222"/>
      <c r="E321" s="222"/>
    </row>
    <row r="322">
      <c r="B322" s="222"/>
      <c r="C322" s="222"/>
      <c r="E322" s="222"/>
    </row>
    <row r="323">
      <c r="B323" s="222"/>
      <c r="C323" s="222"/>
      <c r="E323" s="222"/>
    </row>
    <row r="324">
      <c r="B324" s="222"/>
      <c r="C324" s="222"/>
      <c r="E324" s="222"/>
    </row>
    <row r="325">
      <c r="B325" s="222"/>
      <c r="C325" s="222"/>
      <c r="E325" s="222"/>
    </row>
    <row r="326">
      <c r="B326" s="222"/>
      <c r="C326" s="222"/>
      <c r="E326" s="222"/>
    </row>
    <row r="327">
      <c r="B327" s="222"/>
      <c r="C327" s="222"/>
      <c r="E327" s="222"/>
    </row>
    <row r="328">
      <c r="B328" s="222"/>
      <c r="C328" s="222"/>
      <c r="E328" s="222"/>
    </row>
    <row r="329">
      <c r="B329" s="222"/>
      <c r="C329" s="222"/>
      <c r="E329" s="222"/>
    </row>
    <row r="330">
      <c r="B330" s="222"/>
      <c r="C330" s="222"/>
      <c r="E330" s="222"/>
    </row>
    <row r="331">
      <c r="B331" s="222"/>
      <c r="C331" s="222"/>
      <c r="E331" s="222"/>
    </row>
    <row r="332">
      <c r="B332" s="222"/>
      <c r="C332" s="222"/>
      <c r="E332" s="222"/>
    </row>
    <row r="333">
      <c r="B333" s="222"/>
      <c r="C333" s="222"/>
      <c r="E333" s="222"/>
    </row>
    <row r="334">
      <c r="B334" s="222"/>
      <c r="C334" s="222"/>
      <c r="E334" s="222"/>
    </row>
    <row r="335">
      <c r="B335" s="222"/>
      <c r="C335" s="222"/>
      <c r="E335" s="222"/>
    </row>
    <row r="336">
      <c r="B336" s="222"/>
      <c r="C336" s="222"/>
      <c r="E336" s="222"/>
    </row>
    <row r="337">
      <c r="B337" s="222"/>
      <c r="C337" s="222"/>
      <c r="E337" s="222"/>
    </row>
    <row r="338">
      <c r="B338" s="222"/>
      <c r="C338" s="222"/>
      <c r="E338" s="222"/>
    </row>
    <row r="339">
      <c r="B339" s="222"/>
      <c r="C339" s="222"/>
      <c r="E339" s="222"/>
    </row>
    <row r="340">
      <c r="B340" s="222"/>
      <c r="C340" s="222"/>
      <c r="E340" s="222"/>
    </row>
    <row r="341">
      <c r="B341" s="222"/>
      <c r="C341" s="222"/>
      <c r="E341" s="222"/>
    </row>
    <row r="342">
      <c r="B342" s="222"/>
      <c r="C342" s="222"/>
      <c r="E342" s="222"/>
    </row>
    <row r="343">
      <c r="B343" s="222"/>
      <c r="C343" s="222"/>
      <c r="E343" s="222"/>
    </row>
    <row r="344">
      <c r="B344" s="222"/>
      <c r="C344" s="222"/>
      <c r="E344" s="222"/>
    </row>
    <row r="345">
      <c r="B345" s="222"/>
      <c r="C345" s="222"/>
      <c r="E345" s="222"/>
    </row>
    <row r="346">
      <c r="B346" s="222"/>
      <c r="C346" s="222"/>
      <c r="E346" s="222"/>
    </row>
    <row r="347">
      <c r="B347" s="222"/>
      <c r="C347" s="222"/>
      <c r="E347" s="222"/>
    </row>
    <row r="348">
      <c r="B348" s="222"/>
      <c r="C348" s="222"/>
      <c r="E348" s="222"/>
    </row>
    <row r="349">
      <c r="B349" s="222"/>
      <c r="C349" s="222"/>
      <c r="E349" s="222"/>
    </row>
    <row r="350">
      <c r="B350" s="222"/>
      <c r="C350" s="222"/>
      <c r="E350" s="222"/>
    </row>
    <row r="351">
      <c r="B351" s="222"/>
      <c r="C351" s="222"/>
      <c r="E351" s="222"/>
    </row>
    <row r="352">
      <c r="B352" s="222"/>
      <c r="C352" s="222"/>
      <c r="E352" s="222"/>
    </row>
    <row r="353">
      <c r="B353" s="222"/>
      <c r="C353" s="222"/>
      <c r="E353" s="222"/>
    </row>
    <row r="354">
      <c r="B354" s="222"/>
      <c r="C354" s="222"/>
      <c r="E354" s="222"/>
    </row>
    <row r="355">
      <c r="B355" s="222"/>
      <c r="C355" s="222"/>
      <c r="E355" s="222"/>
    </row>
    <row r="356">
      <c r="B356" s="222"/>
      <c r="C356" s="222"/>
      <c r="E356" s="222"/>
    </row>
    <row r="357">
      <c r="B357" s="222"/>
      <c r="C357" s="222"/>
      <c r="E357" s="222"/>
    </row>
    <row r="358">
      <c r="B358" s="222"/>
      <c r="C358" s="222"/>
      <c r="E358" s="222"/>
    </row>
    <row r="359">
      <c r="B359" s="222"/>
      <c r="C359" s="222"/>
      <c r="E359" s="222"/>
    </row>
    <row r="360">
      <c r="B360" s="222"/>
      <c r="C360" s="222"/>
      <c r="E360" s="222"/>
    </row>
    <row r="361">
      <c r="B361" s="222"/>
      <c r="C361" s="222"/>
      <c r="E361" s="222"/>
    </row>
    <row r="362">
      <c r="B362" s="222"/>
      <c r="C362" s="222"/>
      <c r="E362" s="222"/>
    </row>
    <row r="363">
      <c r="B363" s="222"/>
      <c r="C363" s="222"/>
      <c r="E363" s="222"/>
    </row>
    <row r="364">
      <c r="B364" s="222"/>
      <c r="C364" s="222"/>
      <c r="E364" s="222"/>
    </row>
    <row r="365">
      <c r="B365" s="222"/>
      <c r="C365" s="222"/>
      <c r="E365" s="222"/>
    </row>
    <row r="366">
      <c r="B366" s="222"/>
      <c r="C366" s="222"/>
      <c r="E366" s="222"/>
    </row>
    <row r="367">
      <c r="B367" s="222"/>
      <c r="C367" s="222"/>
      <c r="E367" s="222"/>
    </row>
    <row r="368">
      <c r="B368" s="222"/>
      <c r="C368" s="222"/>
      <c r="E368" s="222"/>
    </row>
    <row r="369">
      <c r="B369" s="222"/>
      <c r="C369" s="222"/>
      <c r="E369" s="222"/>
    </row>
    <row r="370">
      <c r="B370" s="222"/>
      <c r="C370" s="222"/>
      <c r="E370" s="222"/>
    </row>
    <row r="371">
      <c r="B371" s="222"/>
      <c r="C371" s="222"/>
      <c r="E371" s="222"/>
    </row>
    <row r="372">
      <c r="B372" s="222"/>
      <c r="C372" s="222"/>
      <c r="E372" s="222"/>
    </row>
    <row r="373">
      <c r="B373" s="222"/>
      <c r="C373" s="222"/>
      <c r="E373" s="222"/>
    </row>
    <row r="374">
      <c r="B374" s="222"/>
      <c r="C374" s="222"/>
      <c r="E374" s="222"/>
    </row>
    <row r="375">
      <c r="B375" s="222"/>
      <c r="C375" s="222"/>
      <c r="E375" s="222"/>
    </row>
    <row r="376">
      <c r="B376" s="222"/>
      <c r="C376" s="222"/>
      <c r="E376" s="222"/>
    </row>
    <row r="377">
      <c r="B377" s="222"/>
      <c r="C377" s="222"/>
      <c r="E377" s="222"/>
    </row>
    <row r="378">
      <c r="B378" s="222"/>
      <c r="C378" s="222"/>
      <c r="E378" s="222"/>
    </row>
    <row r="379">
      <c r="B379" s="222"/>
      <c r="C379" s="222"/>
      <c r="E379" s="222"/>
    </row>
    <row r="380">
      <c r="B380" s="222"/>
      <c r="C380" s="222"/>
      <c r="E380" s="222"/>
    </row>
    <row r="381">
      <c r="B381" s="222"/>
      <c r="C381" s="222"/>
      <c r="E381" s="222"/>
    </row>
    <row r="382">
      <c r="B382" s="222"/>
      <c r="C382" s="222"/>
      <c r="E382" s="222"/>
    </row>
    <row r="383">
      <c r="B383" s="222"/>
      <c r="C383" s="222"/>
      <c r="E383" s="222"/>
    </row>
    <row r="384">
      <c r="B384" s="222"/>
      <c r="C384" s="222"/>
      <c r="E384" s="222"/>
    </row>
    <row r="385">
      <c r="B385" s="222"/>
      <c r="C385" s="222"/>
      <c r="E385" s="222"/>
    </row>
    <row r="386">
      <c r="B386" s="222"/>
      <c r="C386" s="222"/>
      <c r="E386" s="222"/>
    </row>
    <row r="387">
      <c r="B387" s="222"/>
      <c r="C387" s="222"/>
      <c r="E387" s="222"/>
    </row>
    <row r="388">
      <c r="B388" s="222"/>
      <c r="C388" s="222"/>
      <c r="E388" s="222"/>
    </row>
    <row r="389">
      <c r="B389" s="222"/>
      <c r="C389" s="222"/>
      <c r="E389" s="222"/>
    </row>
    <row r="390">
      <c r="B390" s="222"/>
      <c r="C390" s="222"/>
      <c r="E390" s="222"/>
    </row>
    <row r="391">
      <c r="B391" s="222"/>
      <c r="C391" s="222"/>
      <c r="E391" s="222"/>
    </row>
    <row r="392">
      <c r="B392" s="222"/>
      <c r="C392" s="222"/>
      <c r="E392" s="222"/>
    </row>
    <row r="393">
      <c r="B393" s="222"/>
      <c r="C393" s="222"/>
      <c r="E393" s="222"/>
    </row>
    <row r="394">
      <c r="B394" s="222"/>
      <c r="C394" s="222"/>
      <c r="E394" s="222"/>
    </row>
    <row r="395">
      <c r="B395" s="222"/>
      <c r="C395" s="222"/>
      <c r="E395" s="222"/>
    </row>
    <row r="396">
      <c r="B396" s="222"/>
      <c r="C396" s="222"/>
      <c r="E396" s="222"/>
    </row>
    <row r="397">
      <c r="B397" s="222"/>
      <c r="C397" s="222"/>
      <c r="E397" s="222"/>
    </row>
    <row r="398">
      <c r="B398" s="222"/>
      <c r="C398" s="222"/>
      <c r="E398" s="222"/>
    </row>
    <row r="399">
      <c r="B399" s="222"/>
      <c r="C399" s="222"/>
      <c r="E399" s="222"/>
    </row>
    <row r="400">
      <c r="B400" s="222"/>
      <c r="C400" s="222"/>
      <c r="E400" s="222"/>
    </row>
    <row r="401">
      <c r="B401" s="222"/>
      <c r="C401" s="222"/>
      <c r="E401" s="222"/>
    </row>
    <row r="402">
      <c r="B402" s="222"/>
      <c r="C402" s="222"/>
      <c r="E402" s="222"/>
    </row>
    <row r="403">
      <c r="B403" s="222"/>
      <c r="C403" s="222"/>
      <c r="E403" s="222"/>
    </row>
    <row r="404">
      <c r="B404" s="222"/>
      <c r="C404" s="222"/>
      <c r="E404" s="222"/>
    </row>
    <row r="405">
      <c r="B405" s="222"/>
      <c r="C405" s="222"/>
      <c r="E405" s="222"/>
    </row>
    <row r="406">
      <c r="B406" s="222"/>
      <c r="C406" s="222"/>
      <c r="E406" s="222"/>
    </row>
    <row r="407">
      <c r="B407" s="222"/>
      <c r="C407" s="222"/>
      <c r="E407" s="222"/>
    </row>
    <row r="408">
      <c r="B408" s="222"/>
      <c r="C408" s="222"/>
      <c r="E408" s="222"/>
    </row>
    <row r="409">
      <c r="B409" s="222"/>
      <c r="C409" s="222"/>
      <c r="E409" s="222"/>
    </row>
    <row r="410">
      <c r="B410" s="222"/>
      <c r="C410" s="222"/>
      <c r="E410" s="222"/>
    </row>
    <row r="411">
      <c r="B411" s="222"/>
      <c r="C411" s="222"/>
      <c r="E411" s="222"/>
    </row>
    <row r="412">
      <c r="B412" s="222"/>
      <c r="C412" s="222"/>
      <c r="E412" s="222"/>
    </row>
    <row r="413">
      <c r="B413" s="222"/>
      <c r="C413" s="222"/>
      <c r="E413" s="222"/>
    </row>
    <row r="414">
      <c r="B414" s="222"/>
      <c r="C414" s="222"/>
      <c r="E414" s="222"/>
    </row>
    <row r="415">
      <c r="B415" s="222"/>
      <c r="C415" s="222"/>
      <c r="E415" s="222"/>
    </row>
    <row r="416">
      <c r="B416" s="222"/>
      <c r="C416" s="222"/>
      <c r="E416" s="222"/>
    </row>
    <row r="417">
      <c r="B417" s="222"/>
      <c r="C417" s="222"/>
      <c r="E417" s="222"/>
    </row>
    <row r="418">
      <c r="B418" s="222"/>
      <c r="C418" s="222"/>
      <c r="E418" s="222"/>
    </row>
    <row r="419">
      <c r="B419" s="222"/>
      <c r="C419" s="222"/>
      <c r="E419" s="222"/>
    </row>
    <row r="420">
      <c r="B420" s="222"/>
      <c r="C420" s="222"/>
      <c r="E420" s="222"/>
    </row>
    <row r="421">
      <c r="B421" s="222"/>
      <c r="C421" s="222"/>
      <c r="E421" s="222"/>
    </row>
    <row r="422">
      <c r="B422" s="222"/>
      <c r="C422" s="222"/>
      <c r="E422" s="222"/>
    </row>
    <row r="423">
      <c r="B423" s="222"/>
      <c r="C423" s="222"/>
      <c r="E423" s="222"/>
    </row>
    <row r="424">
      <c r="B424" s="222"/>
      <c r="C424" s="222"/>
      <c r="E424" s="222"/>
    </row>
    <row r="425">
      <c r="B425" s="222"/>
      <c r="C425" s="222"/>
      <c r="E425" s="222"/>
    </row>
    <row r="426">
      <c r="B426" s="222"/>
      <c r="C426" s="222"/>
      <c r="E426" s="222"/>
    </row>
    <row r="427">
      <c r="B427" s="222"/>
      <c r="C427" s="222"/>
      <c r="E427" s="222"/>
    </row>
    <row r="428">
      <c r="B428" s="222"/>
      <c r="C428" s="222"/>
      <c r="E428" s="222"/>
    </row>
    <row r="429">
      <c r="B429" s="222"/>
      <c r="C429" s="222"/>
      <c r="E429" s="222"/>
    </row>
    <row r="430">
      <c r="B430" s="222"/>
      <c r="C430" s="222"/>
      <c r="E430" s="222"/>
    </row>
    <row r="431">
      <c r="B431" s="222"/>
      <c r="C431" s="222"/>
      <c r="E431" s="222"/>
    </row>
    <row r="432">
      <c r="B432" s="222"/>
      <c r="C432" s="222"/>
      <c r="E432" s="222"/>
    </row>
    <row r="433">
      <c r="B433" s="222"/>
      <c r="C433" s="222"/>
      <c r="E433" s="222"/>
    </row>
    <row r="434">
      <c r="B434" s="222"/>
      <c r="C434" s="222"/>
      <c r="E434" s="222"/>
    </row>
    <row r="435">
      <c r="B435" s="222"/>
      <c r="C435" s="222"/>
      <c r="E435" s="222"/>
    </row>
    <row r="436">
      <c r="B436" s="222"/>
      <c r="C436" s="222"/>
      <c r="E436" s="222"/>
    </row>
    <row r="437">
      <c r="B437" s="222"/>
      <c r="C437" s="222"/>
      <c r="E437" s="222"/>
    </row>
    <row r="438">
      <c r="B438" s="222"/>
      <c r="C438" s="222"/>
      <c r="E438" s="222"/>
    </row>
    <row r="439">
      <c r="B439" s="222"/>
      <c r="C439" s="222"/>
      <c r="E439" s="222"/>
    </row>
    <row r="440">
      <c r="B440" s="222"/>
      <c r="C440" s="222"/>
      <c r="E440" s="222"/>
    </row>
    <row r="441">
      <c r="B441" s="222"/>
      <c r="C441" s="222"/>
      <c r="E441" s="222"/>
    </row>
    <row r="442">
      <c r="B442" s="222"/>
      <c r="C442" s="222"/>
      <c r="E442" s="222"/>
    </row>
    <row r="443">
      <c r="B443" s="222"/>
      <c r="C443" s="222"/>
      <c r="E443" s="222"/>
    </row>
    <row r="444">
      <c r="B444" s="222"/>
      <c r="C444" s="222"/>
      <c r="E444" s="222"/>
    </row>
    <row r="445">
      <c r="B445" s="222"/>
      <c r="C445" s="222"/>
      <c r="E445" s="222"/>
    </row>
    <row r="446">
      <c r="B446" s="222"/>
      <c r="C446" s="222"/>
      <c r="E446" s="222"/>
    </row>
    <row r="447">
      <c r="B447" s="222"/>
      <c r="C447" s="222"/>
      <c r="E447" s="222"/>
    </row>
    <row r="448">
      <c r="B448" s="222"/>
      <c r="C448" s="222"/>
      <c r="E448" s="222"/>
    </row>
    <row r="449">
      <c r="B449" s="222"/>
      <c r="C449" s="222"/>
      <c r="E449" s="222"/>
    </row>
    <row r="450">
      <c r="B450" s="222"/>
      <c r="C450" s="222"/>
      <c r="E450" s="222"/>
    </row>
    <row r="451">
      <c r="B451" s="222"/>
      <c r="C451" s="222"/>
      <c r="E451" s="222"/>
    </row>
    <row r="452">
      <c r="B452" s="222"/>
      <c r="C452" s="222"/>
      <c r="E452" s="222"/>
    </row>
    <row r="453">
      <c r="B453" s="222"/>
      <c r="C453" s="222"/>
      <c r="E453" s="222"/>
    </row>
    <row r="454">
      <c r="B454" s="222"/>
      <c r="C454" s="222"/>
      <c r="E454" s="222"/>
    </row>
    <row r="455">
      <c r="B455" s="222"/>
      <c r="C455" s="222"/>
      <c r="E455" s="222"/>
    </row>
    <row r="456">
      <c r="B456" s="222"/>
      <c r="C456" s="222"/>
      <c r="E456" s="222"/>
    </row>
    <row r="457">
      <c r="B457" s="222"/>
      <c r="C457" s="222"/>
      <c r="E457" s="222"/>
    </row>
    <row r="458">
      <c r="B458" s="222"/>
      <c r="C458" s="222"/>
      <c r="E458" s="222"/>
    </row>
    <row r="459">
      <c r="B459" s="222"/>
      <c r="C459" s="222"/>
      <c r="E459" s="222"/>
    </row>
    <row r="460">
      <c r="B460" s="222"/>
      <c r="C460" s="222"/>
      <c r="E460" s="222"/>
    </row>
    <row r="461">
      <c r="B461" s="222"/>
      <c r="C461" s="222"/>
      <c r="E461" s="222"/>
    </row>
    <row r="462">
      <c r="B462" s="222"/>
      <c r="C462" s="222"/>
      <c r="E462" s="222"/>
    </row>
    <row r="463">
      <c r="B463" s="222"/>
      <c r="C463" s="222"/>
      <c r="E463" s="222"/>
    </row>
    <row r="464">
      <c r="B464" s="222"/>
      <c r="C464" s="222"/>
      <c r="E464" s="222"/>
    </row>
    <row r="465">
      <c r="B465" s="222"/>
      <c r="C465" s="222"/>
      <c r="E465" s="222"/>
    </row>
    <row r="466">
      <c r="B466" s="222"/>
      <c r="C466" s="222"/>
      <c r="E466" s="222"/>
    </row>
    <row r="467">
      <c r="B467" s="222"/>
      <c r="C467" s="222"/>
      <c r="E467" s="222"/>
    </row>
    <row r="468">
      <c r="B468" s="222"/>
      <c r="C468" s="222"/>
      <c r="E468" s="222"/>
    </row>
    <row r="469">
      <c r="B469" s="222"/>
      <c r="C469" s="222"/>
      <c r="E469" s="222"/>
    </row>
    <row r="470">
      <c r="B470" s="222"/>
      <c r="C470" s="222"/>
      <c r="E470" s="222"/>
    </row>
    <row r="471">
      <c r="B471" s="222"/>
      <c r="C471" s="222"/>
      <c r="E471" s="222"/>
    </row>
    <row r="472">
      <c r="B472" s="222"/>
      <c r="C472" s="222"/>
      <c r="E472" s="222"/>
    </row>
    <row r="473">
      <c r="B473" s="222"/>
      <c r="C473" s="222"/>
      <c r="E473" s="222"/>
    </row>
    <row r="474">
      <c r="B474" s="222"/>
      <c r="C474" s="222"/>
      <c r="E474" s="222"/>
    </row>
    <row r="475">
      <c r="B475" s="222"/>
      <c r="C475" s="222"/>
      <c r="E475" s="222"/>
    </row>
    <row r="476">
      <c r="B476" s="222"/>
      <c r="C476" s="222"/>
      <c r="E476" s="222"/>
    </row>
    <row r="477">
      <c r="B477" s="222"/>
      <c r="C477" s="222"/>
      <c r="E477" s="222"/>
    </row>
    <row r="478">
      <c r="B478" s="222"/>
      <c r="C478" s="222"/>
      <c r="E478" s="222"/>
    </row>
    <row r="479">
      <c r="B479" s="222"/>
      <c r="C479" s="222"/>
      <c r="E479" s="222"/>
    </row>
    <row r="480">
      <c r="B480" s="222"/>
      <c r="C480" s="222"/>
      <c r="E480" s="222"/>
    </row>
    <row r="481">
      <c r="B481" s="222"/>
      <c r="C481" s="222"/>
      <c r="E481" s="222"/>
    </row>
    <row r="482">
      <c r="B482" s="222"/>
      <c r="C482" s="222"/>
      <c r="E482" s="222"/>
    </row>
    <row r="483">
      <c r="B483" s="222"/>
      <c r="C483" s="222"/>
      <c r="E483" s="222"/>
    </row>
    <row r="484">
      <c r="B484" s="222"/>
      <c r="C484" s="222"/>
      <c r="E484" s="222"/>
    </row>
    <row r="485">
      <c r="B485" s="222"/>
      <c r="C485" s="222"/>
      <c r="E485" s="222"/>
    </row>
    <row r="486">
      <c r="B486" s="222"/>
      <c r="C486" s="222"/>
      <c r="E486" s="222"/>
    </row>
    <row r="487">
      <c r="B487" s="222"/>
      <c r="C487" s="222"/>
      <c r="E487" s="222"/>
    </row>
    <row r="488">
      <c r="B488" s="222"/>
      <c r="C488" s="222"/>
      <c r="E488" s="222"/>
    </row>
    <row r="489">
      <c r="B489" s="222"/>
      <c r="C489" s="222"/>
      <c r="E489" s="222"/>
    </row>
    <row r="490">
      <c r="B490" s="222"/>
      <c r="C490" s="222"/>
      <c r="E490" s="222"/>
    </row>
    <row r="491">
      <c r="B491" s="222"/>
      <c r="C491" s="222"/>
      <c r="E491" s="222"/>
    </row>
    <row r="492">
      <c r="B492" s="222"/>
      <c r="C492" s="222"/>
      <c r="E492" s="222"/>
    </row>
    <row r="493">
      <c r="B493" s="222"/>
      <c r="C493" s="222"/>
      <c r="E493" s="222"/>
    </row>
    <row r="494">
      <c r="B494" s="222"/>
      <c r="C494" s="222"/>
      <c r="E494" s="222"/>
    </row>
    <row r="495">
      <c r="B495" s="222"/>
      <c r="C495" s="222"/>
      <c r="E495" s="222"/>
    </row>
    <row r="496">
      <c r="B496" s="222"/>
      <c r="C496" s="222"/>
      <c r="E496" s="222"/>
    </row>
    <row r="497">
      <c r="B497" s="222"/>
      <c r="C497" s="222"/>
      <c r="E497" s="222"/>
    </row>
    <row r="498">
      <c r="B498" s="222"/>
      <c r="C498" s="222"/>
      <c r="E498" s="222"/>
    </row>
    <row r="499">
      <c r="B499" s="222"/>
      <c r="C499" s="222"/>
      <c r="E499" s="222"/>
    </row>
    <row r="500">
      <c r="B500" s="222"/>
      <c r="C500" s="222"/>
      <c r="E500" s="222"/>
    </row>
    <row r="501">
      <c r="B501" s="222"/>
      <c r="C501" s="222"/>
      <c r="E501" s="222"/>
    </row>
    <row r="502">
      <c r="B502" s="222"/>
      <c r="C502" s="222"/>
      <c r="E502" s="222"/>
    </row>
    <row r="503">
      <c r="B503" s="222"/>
      <c r="C503" s="222"/>
      <c r="E503" s="222"/>
    </row>
    <row r="504">
      <c r="B504" s="222"/>
      <c r="C504" s="222"/>
      <c r="E504" s="222"/>
    </row>
    <row r="505">
      <c r="B505" s="222"/>
      <c r="C505" s="222"/>
      <c r="E505" s="222"/>
    </row>
    <row r="506">
      <c r="B506" s="222"/>
      <c r="C506" s="222"/>
      <c r="E506" s="222"/>
    </row>
    <row r="507">
      <c r="B507" s="222"/>
      <c r="C507" s="222"/>
      <c r="E507" s="222"/>
    </row>
    <row r="508">
      <c r="B508" s="222"/>
      <c r="C508" s="222"/>
      <c r="E508" s="222"/>
    </row>
    <row r="509">
      <c r="B509" s="222"/>
      <c r="C509" s="222"/>
      <c r="E509" s="222"/>
    </row>
    <row r="510">
      <c r="B510" s="222"/>
      <c r="C510" s="222"/>
      <c r="E510" s="222"/>
    </row>
    <row r="511">
      <c r="B511" s="222"/>
      <c r="C511" s="222"/>
      <c r="E511" s="222"/>
    </row>
    <row r="512">
      <c r="B512" s="222"/>
      <c r="C512" s="222"/>
      <c r="E512" s="222"/>
    </row>
    <row r="513">
      <c r="B513" s="222"/>
      <c r="C513" s="222"/>
      <c r="E513" s="222"/>
    </row>
    <row r="514">
      <c r="B514" s="222"/>
      <c r="C514" s="222"/>
      <c r="E514" s="222"/>
    </row>
    <row r="515">
      <c r="B515" s="222"/>
      <c r="C515" s="222"/>
      <c r="E515" s="222"/>
    </row>
    <row r="516">
      <c r="B516" s="222"/>
      <c r="C516" s="222"/>
      <c r="E516" s="222"/>
    </row>
    <row r="517">
      <c r="B517" s="222"/>
      <c r="C517" s="222"/>
      <c r="E517" s="222"/>
    </row>
    <row r="518">
      <c r="B518" s="222"/>
      <c r="C518" s="222"/>
      <c r="E518" s="222"/>
    </row>
    <row r="519">
      <c r="B519" s="222"/>
      <c r="C519" s="222"/>
      <c r="E519" s="222"/>
    </row>
    <row r="520">
      <c r="B520" s="222"/>
      <c r="C520" s="222"/>
      <c r="E520" s="222"/>
    </row>
    <row r="521">
      <c r="B521" s="222"/>
      <c r="C521" s="222"/>
      <c r="E521" s="222"/>
    </row>
    <row r="522">
      <c r="B522" s="222"/>
      <c r="C522" s="222"/>
      <c r="E522" s="222"/>
    </row>
    <row r="523">
      <c r="B523" s="222"/>
      <c r="C523" s="222"/>
      <c r="E523" s="222"/>
    </row>
    <row r="524">
      <c r="B524" s="222"/>
      <c r="C524" s="222"/>
      <c r="E524" s="222"/>
    </row>
    <row r="525">
      <c r="B525" s="222"/>
      <c r="C525" s="222"/>
      <c r="E525" s="222"/>
    </row>
    <row r="526">
      <c r="B526" s="222"/>
      <c r="C526" s="222"/>
      <c r="E526" s="222"/>
    </row>
    <row r="527">
      <c r="B527" s="222"/>
      <c r="C527" s="222"/>
      <c r="E527" s="222"/>
    </row>
    <row r="528">
      <c r="B528" s="222"/>
      <c r="C528" s="222"/>
      <c r="E528" s="222"/>
    </row>
    <row r="529">
      <c r="B529" s="222"/>
      <c r="C529" s="222"/>
      <c r="E529" s="222"/>
    </row>
    <row r="530">
      <c r="B530" s="222"/>
      <c r="C530" s="222"/>
      <c r="E530" s="222"/>
    </row>
    <row r="531">
      <c r="B531" s="222"/>
      <c r="C531" s="222"/>
      <c r="E531" s="222"/>
    </row>
    <row r="532">
      <c r="B532" s="222"/>
      <c r="C532" s="222"/>
      <c r="E532" s="222"/>
    </row>
    <row r="533">
      <c r="B533" s="222"/>
      <c r="C533" s="222"/>
      <c r="E533" s="222"/>
    </row>
    <row r="534">
      <c r="B534" s="222"/>
      <c r="C534" s="222"/>
      <c r="E534" s="222"/>
    </row>
    <row r="535">
      <c r="B535" s="222"/>
      <c r="C535" s="222"/>
      <c r="E535" s="222"/>
    </row>
    <row r="536">
      <c r="B536" s="222"/>
      <c r="C536" s="222"/>
      <c r="E536" s="222"/>
    </row>
    <row r="537">
      <c r="B537" s="222"/>
      <c r="C537" s="222"/>
      <c r="E537" s="222"/>
    </row>
    <row r="538">
      <c r="B538" s="222"/>
      <c r="C538" s="222"/>
      <c r="E538" s="222"/>
    </row>
    <row r="539">
      <c r="B539" s="222"/>
      <c r="C539" s="222"/>
      <c r="E539" s="222"/>
    </row>
    <row r="540">
      <c r="B540" s="222"/>
      <c r="C540" s="222"/>
      <c r="E540" s="222"/>
    </row>
    <row r="541">
      <c r="B541" s="222"/>
      <c r="C541" s="222"/>
      <c r="E541" s="222"/>
    </row>
    <row r="542">
      <c r="B542" s="222"/>
      <c r="C542" s="222"/>
      <c r="E542" s="222"/>
    </row>
    <row r="543">
      <c r="B543" s="222"/>
      <c r="C543" s="222"/>
      <c r="E543" s="222"/>
    </row>
    <row r="544">
      <c r="B544" s="222"/>
      <c r="C544" s="222"/>
      <c r="E544" s="222"/>
    </row>
    <row r="545">
      <c r="B545" s="222"/>
      <c r="C545" s="222"/>
      <c r="E545" s="222"/>
    </row>
    <row r="546">
      <c r="B546" s="222"/>
      <c r="C546" s="222"/>
      <c r="E546" s="222"/>
    </row>
    <row r="547">
      <c r="B547" s="222"/>
      <c r="C547" s="222"/>
      <c r="E547" s="222"/>
    </row>
    <row r="548">
      <c r="B548" s="222"/>
      <c r="C548" s="222"/>
      <c r="E548" s="222"/>
    </row>
    <row r="549">
      <c r="B549" s="222"/>
      <c r="C549" s="222"/>
      <c r="E549" s="222"/>
    </row>
    <row r="550">
      <c r="B550" s="222"/>
      <c r="C550" s="222"/>
      <c r="E550" s="222"/>
    </row>
    <row r="551">
      <c r="B551" s="222"/>
      <c r="C551" s="222"/>
      <c r="E551" s="222"/>
    </row>
    <row r="552">
      <c r="B552" s="222"/>
      <c r="C552" s="222"/>
      <c r="E552" s="222"/>
    </row>
    <row r="553">
      <c r="B553" s="222"/>
      <c r="C553" s="222"/>
      <c r="E553" s="222"/>
    </row>
    <row r="554">
      <c r="B554" s="222"/>
      <c r="C554" s="222"/>
      <c r="E554" s="222"/>
    </row>
    <row r="555">
      <c r="B555" s="222"/>
      <c r="C555" s="222"/>
      <c r="E555" s="222"/>
    </row>
    <row r="556">
      <c r="B556" s="222"/>
      <c r="C556" s="222"/>
      <c r="E556" s="222"/>
    </row>
    <row r="557">
      <c r="B557" s="222"/>
      <c r="C557" s="222"/>
      <c r="E557" s="222"/>
    </row>
    <row r="558">
      <c r="B558" s="222"/>
      <c r="C558" s="222"/>
      <c r="E558" s="222"/>
    </row>
    <row r="559">
      <c r="B559" s="222"/>
      <c r="C559" s="222"/>
      <c r="E559" s="222"/>
    </row>
    <row r="560">
      <c r="B560" s="222"/>
      <c r="C560" s="222"/>
      <c r="E560" s="222"/>
    </row>
    <row r="561">
      <c r="B561" s="222"/>
      <c r="C561" s="222"/>
      <c r="E561" s="222"/>
    </row>
    <row r="562">
      <c r="B562" s="222"/>
      <c r="C562" s="222"/>
      <c r="E562" s="222"/>
    </row>
    <row r="563">
      <c r="B563" s="222"/>
      <c r="C563" s="222"/>
      <c r="E563" s="222"/>
    </row>
    <row r="564">
      <c r="B564" s="222"/>
      <c r="C564" s="222"/>
      <c r="E564" s="222"/>
    </row>
    <row r="565">
      <c r="B565" s="222"/>
      <c r="C565" s="222"/>
      <c r="E565" s="222"/>
    </row>
    <row r="566">
      <c r="B566" s="222"/>
      <c r="C566" s="222"/>
      <c r="E566" s="222"/>
    </row>
    <row r="567">
      <c r="B567" s="222"/>
      <c r="C567" s="222"/>
      <c r="E567" s="222"/>
    </row>
    <row r="568">
      <c r="B568" s="222"/>
      <c r="C568" s="222"/>
      <c r="E568" s="222"/>
    </row>
    <row r="569">
      <c r="B569" s="222"/>
      <c r="C569" s="222"/>
      <c r="E569" s="222"/>
    </row>
    <row r="570">
      <c r="B570" s="222"/>
      <c r="C570" s="222"/>
      <c r="E570" s="222"/>
    </row>
    <row r="571">
      <c r="B571" s="222"/>
      <c r="C571" s="222"/>
      <c r="E571" s="222"/>
    </row>
    <row r="572">
      <c r="B572" s="222"/>
      <c r="C572" s="222"/>
      <c r="E572" s="222"/>
    </row>
    <row r="573">
      <c r="B573" s="222"/>
      <c r="C573" s="222"/>
      <c r="E573" s="222"/>
    </row>
    <row r="574">
      <c r="B574" s="222"/>
      <c r="C574" s="222"/>
      <c r="E574" s="222"/>
    </row>
    <row r="575">
      <c r="B575" s="222"/>
      <c r="C575" s="222"/>
      <c r="E575" s="222"/>
    </row>
    <row r="576">
      <c r="B576" s="222"/>
      <c r="C576" s="222"/>
      <c r="E576" s="222"/>
    </row>
    <row r="577">
      <c r="B577" s="222"/>
      <c r="C577" s="222"/>
      <c r="E577" s="222"/>
    </row>
    <row r="578">
      <c r="B578" s="222"/>
      <c r="C578" s="222"/>
      <c r="E578" s="222"/>
    </row>
    <row r="579">
      <c r="B579" s="222"/>
      <c r="C579" s="222"/>
      <c r="E579" s="222"/>
    </row>
    <row r="580">
      <c r="B580" s="222"/>
      <c r="C580" s="222"/>
      <c r="E580" s="222"/>
    </row>
    <row r="581">
      <c r="B581" s="222"/>
      <c r="C581" s="222"/>
      <c r="E581" s="222"/>
    </row>
    <row r="582">
      <c r="B582" s="222"/>
      <c r="C582" s="222"/>
      <c r="E582" s="222"/>
    </row>
    <row r="583">
      <c r="B583" s="222"/>
      <c r="C583" s="222"/>
      <c r="E583" s="222"/>
    </row>
    <row r="584">
      <c r="B584" s="222"/>
      <c r="C584" s="222"/>
      <c r="E584" s="222"/>
    </row>
    <row r="585">
      <c r="B585" s="222"/>
      <c r="C585" s="222"/>
      <c r="E585" s="222"/>
    </row>
    <row r="586">
      <c r="B586" s="222"/>
      <c r="C586" s="222"/>
      <c r="E586" s="222"/>
    </row>
    <row r="587">
      <c r="B587" s="222"/>
      <c r="C587" s="222"/>
      <c r="E587" s="222"/>
    </row>
    <row r="588">
      <c r="B588" s="222"/>
      <c r="C588" s="222"/>
      <c r="E588" s="222"/>
    </row>
    <row r="589">
      <c r="B589" s="222"/>
      <c r="C589" s="222"/>
      <c r="E589" s="222"/>
    </row>
    <row r="590">
      <c r="B590" s="222"/>
      <c r="C590" s="222"/>
      <c r="E590" s="222"/>
    </row>
    <row r="591">
      <c r="B591" s="222"/>
      <c r="C591" s="222"/>
      <c r="E591" s="222"/>
    </row>
    <row r="592">
      <c r="B592" s="222"/>
      <c r="C592" s="222"/>
      <c r="E592" s="222"/>
    </row>
    <row r="593">
      <c r="B593" s="222"/>
      <c r="C593" s="222"/>
      <c r="E593" s="222"/>
    </row>
    <row r="594">
      <c r="B594" s="222"/>
      <c r="C594" s="222"/>
      <c r="E594" s="222"/>
    </row>
    <row r="595">
      <c r="B595" s="222"/>
      <c r="C595" s="222"/>
      <c r="E595" s="222"/>
    </row>
    <row r="596">
      <c r="B596" s="222"/>
      <c r="C596" s="222"/>
      <c r="E596" s="222"/>
    </row>
    <row r="597">
      <c r="B597" s="222"/>
      <c r="C597" s="222"/>
      <c r="E597" s="222"/>
    </row>
    <row r="598">
      <c r="B598" s="222"/>
      <c r="C598" s="222"/>
      <c r="E598" s="222"/>
    </row>
    <row r="599">
      <c r="B599" s="222"/>
      <c r="C599" s="222"/>
      <c r="E599" s="222"/>
    </row>
    <row r="600">
      <c r="B600" s="222"/>
      <c r="C600" s="222"/>
      <c r="E600" s="222"/>
    </row>
    <row r="601">
      <c r="B601" s="222"/>
      <c r="C601" s="222"/>
      <c r="E601" s="222"/>
    </row>
    <row r="602">
      <c r="B602" s="222"/>
      <c r="C602" s="222"/>
      <c r="E602" s="222"/>
    </row>
    <row r="603">
      <c r="B603" s="222"/>
      <c r="C603" s="222"/>
      <c r="E603" s="222"/>
    </row>
    <row r="604">
      <c r="B604" s="222"/>
      <c r="C604" s="222"/>
      <c r="E604" s="222"/>
    </row>
    <row r="605">
      <c r="B605" s="222"/>
      <c r="C605" s="222"/>
      <c r="E605" s="222"/>
    </row>
    <row r="606">
      <c r="B606" s="222"/>
      <c r="C606" s="222"/>
      <c r="E606" s="222"/>
    </row>
    <row r="607">
      <c r="B607" s="222"/>
      <c r="C607" s="222"/>
      <c r="E607" s="222"/>
    </row>
    <row r="608">
      <c r="B608" s="222"/>
      <c r="C608" s="222"/>
      <c r="E608" s="222"/>
    </row>
    <row r="609">
      <c r="B609" s="222"/>
      <c r="C609" s="222"/>
      <c r="E609" s="222"/>
    </row>
    <row r="610">
      <c r="B610" s="222"/>
      <c r="C610" s="222"/>
      <c r="E610" s="222"/>
    </row>
    <row r="611">
      <c r="B611" s="222"/>
      <c r="C611" s="222"/>
      <c r="E611" s="222"/>
    </row>
    <row r="612">
      <c r="B612" s="222"/>
      <c r="C612" s="222"/>
      <c r="E612" s="222"/>
    </row>
    <row r="613">
      <c r="B613" s="222"/>
      <c r="C613" s="222"/>
      <c r="E613" s="222"/>
    </row>
    <row r="614">
      <c r="B614" s="222"/>
      <c r="C614" s="222"/>
      <c r="E614" s="222"/>
    </row>
    <row r="615">
      <c r="B615" s="222"/>
      <c r="C615" s="222"/>
      <c r="E615" s="222"/>
    </row>
    <row r="616">
      <c r="B616" s="222"/>
      <c r="C616" s="222"/>
      <c r="E616" s="222"/>
    </row>
    <row r="617">
      <c r="B617" s="222"/>
      <c r="C617" s="222"/>
      <c r="E617" s="222"/>
    </row>
    <row r="618">
      <c r="B618" s="222"/>
      <c r="C618" s="222"/>
      <c r="E618" s="222"/>
    </row>
    <row r="619">
      <c r="B619" s="222"/>
      <c r="C619" s="222"/>
      <c r="E619" s="222"/>
    </row>
    <row r="620">
      <c r="B620" s="222"/>
      <c r="C620" s="222"/>
      <c r="E620" s="222"/>
    </row>
    <row r="621">
      <c r="B621" s="222"/>
      <c r="C621" s="222"/>
      <c r="E621" s="222"/>
    </row>
    <row r="622">
      <c r="B622" s="222"/>
      <c r="C622" s="222"/>
      <c r="E622" s="222"/>
    </row>
    <row r="623">
      <c r="B623" s="222"/>
      <c r="C623" s="222"/>
      <c r="E623" s="222"/>
    </row>
    <row r="624">
      <c r="B624" s="222"/>
      <c r="C624" s="222"/>
      <c r="E624" s="222"/>
    </row>
    <row r="625">
      <c r="B625" s="222"/>
      <c r="C625" s="222"/>
      <c r="E625" s="222"/>
    </row>
    <row r="626">
      <c r="B626" s="222"/>
      <c r="C626" s="222"/>
      <c r="E626" s="222"/>
    </row>
    <row r="627">
      <c r="B627" s="222"/>
      <c r="C627" s="222"/>
      <c r="E627" s="222"/>
    </row>
    <row r="628">
      <c r="B628" s="222"/>
      <c r="C628" s="222"/>
      <c r="E628" s="222"/>
    </row>
    <row r="629">
      <c r="B629" s="222"/>
      <c r="C629" s="222"/>
      <c r="E629" s="222"/>
    </row>
    <row r="630">
      <c r="B630" s="222"/>
      <c r="C630" s="222"/>
      <c r="E630" s="222"/>
    </row>
    <row r="631">
      <c r="B631" s="222"/>
      <c r="C631" s="222"/>
      <c r="E631" s="222"/>
    </row>
    <row r="632">
      <c r="B632" s="222"/>
      <c r="C632" s="222"/>
      <c r="E632" s="222"/>
    </row>
    <row r="633">
      <c r="B633" s="222"/>
      <c r="C633" s="222"/>
      <c r="E633" s="222"/>
    </row>
    <row r="634">
      <c r="B634" s="222"/>
      <c r="C634" s="222"/>
      <c r="E634" s="222"/>
    </row>
    <row r="635">
      <c r="B635" s="222"/>
      <c r="C635" s="222"/>
      <c r="E635" s="222"/>
    </row>
    <row r="636">
      <c r="B636" s="222"/>
      <c r="C636" s="222"/>
      <c r="E636" s="222"/>
    </row>
    <row r="637">
      <c r="B637" s="222"/>
      <c r="C637" s="222"/>
      <c r="E637" s="222"/>
    </row>
    <row r="638">
      <c r="B638" s="222"/>
      <c r="C638" s="222"/>
      <c r="E638" s="222"/>
    </row>
    <row r="639">
      <c r="B639" s="222"/>
      <c r="C639" s="222"/>
      <c r="E639" s="222"/>
    </row>
    <row r="640">
      <c r="B640" s="222"/>
      <c r="C640" s="222"/>
      <c r="E640" s="222"/>
    </row>
    <row r="641">
      <c r="B641" s="222"/>
      <c r="C641" s="222"/>
      <c r="E641" s="222"/>
    </row>
    <row r="642">
      <c r="B642" s="222"/>
      <c r="C642" s="222"/>
      <c r="E642" s="222"/>
    </row>
    <row r="643">
      <c r="B643" s="222"/>
      <c r="C643" s="222"/>
      <c r="E643" s="222"/>
    </row>
    <row r="644">
      <c r="B644" s="222"/>
      <c r="C644" s="222"/>
      <c r="E644" s="222"/>
    </row>
    <row r="645">
      <c r="B645" s="222"/>
      <c r="C645" s="222"/>
      <c r="E645" s="222"/>
    </row>
    <row r="646">
      <c r="B646" s="222"/>
      <c r="C646" s="222"/>
      <c r="E646" s="222"/>
    </row>
    <row r="647">
      <c r="B647" s="222"/>
      <c r="C647" s="222"/>
      <c r="E647" s="222"/>
    </row>
    <row r="648">
      <c r="B648" s="222"/>
      <c r="C648" s="222"/>
      <c r="E648" s="222"/>
    </row>
    <row r="649">
      <c r="B649" s="222"/>
      <c r="C649" s="222"/>
      <c r="E649" s="222"/>
    </row>
    <row r="650">
      <c r="B650" s="222"/>
      <c r="C650" s="222"/>
      <c r="E650" s="222"/>
    </row>
    <row r="651">
      <c r="B651" s="222"/>
      <c r="C651" s="222"/>
      <c r="E651" s="222"/>
    </row>
    <row r="652">
      <c r="B652" s="222"/>
      <c r="C652" s="222"/>
      <c r="E652" s="222"/>
    </row>
    <row r="653">
      <c r="B653" s="222"/>
      <c r="C653" s="222"/>
      <c r="E653" s="222"/>
    </row>
    <row r="654">
      <c r="B654" s="222"/>
      <c r="C654" s="222"/>
      <c r="E654" s="222"/>
    </row>
    <row r="655">
      <c r="B655" s="222"/>
      <c r="C655" s="222"/>
      <c r="E655" s="222"/>
    </row>
    <row r="656">
      <c r="B656" s="222"/>
      <c r="C656" s="222"/>
      <c r="E656" s="222"/>
    </row>
    <row r="657">
      <c r="B657" s="222"/>
      <c r="C657" s="222"/>
      <c r="E657" s="222"/>
    </row>
    <row r="658">
      <c r="B658" s="222"/>
      <c r="C658" s="222"/>
      <c r="E658" s="222"/>
    </row>
    <row r="659">
      <c r="B659" s="222"/>
      <c r="C659" s="222"/>
      <c r="E659" s="222"/>
    </row>
    <row r="660">
      <c r="B660" s="222"/>
      <c r="C660" s="222"/>
      <c r="E660" s="222"/>
    </row>
    <row r="661">
      <c r="B661" s="222"/>
      <c r="C661" s="222"/>
      <c r="E661" s="222"/>
    </row>
    <row r="662">
      <c r="B662" s="222"/>
      <c r="C662" s="222"/>
      <c r="E662" s="222"/>
    </row>
    <row r="663">
      <c r="B663" s="222"/>
      <c r="C663" s="222"/>
      <c r="E663" s="222"/>
    </row>
    <row r="664">
      <c r="B664" s="222"/>
      <c r="C664" s="222"/>
      <c r="E664" s="222"/>
    </row>
    <row r="665">
      <c r="B665" s="222"/>
      <c r="C665" s="222"/>
      <c r="E665" s="222"/>
    </row>
    <row r="666">
      <c r="B666" s="222"/>
      <c r="C666" s="222"/>
      <c r="E666" s="222"/>
    </row>
    <row r="667">
      <c r="B667" s="222"/>
      <c r="C667" s="222"/>
      <c r="E667" s="222"/>
    </row>
    <row r="668">
      <c r="B668" s="222"/>
      <c r="C668" s="222"/>
      <c r="E668" s="222"/>
    </row>
    <row r="669">
      <c r="B669" s="222"/>
      <c r="C669" s="222"/>
      <c r="E669" s="222"/>
    </row>
    <row r="670">
      <c r="B670" s="222"/>
      <c r="C670" s="222"/>
      <c r="E670" s="222"/>
    </row>
    <row r="671">
      <c r="B671" s="222"/>
      <c r="C671" s="222"/>
      <c r="E671" s="222"/>
    </row>
    <row r="672">
      <c r="B672" s="222"/>
      <c r="C672" s="222"/>
      <c r="E672" s="222"/>
    </row>
    <row r="673">
      <c r="B673" s="222"/>
      <c r="C673" s="222"/>
      <c r="E673" s="222"/>
    </row>
    <row r="674">
      <c r="B674" s="222"/>
      <c r="C674" s="222"/>
      <c r="E674" s="222"/>
    </row>
    <row r="675">
      <c r="B675" s="222"/>
      <c r="C675" s="222"/>
      <c r="E675" s="222"/>
    </row>
    <row r="676">
      <c r="B676" s="222"/>
      <c r="C676" s="222"/>
      <c r="E676" s="222"/>
    </row>
    <row r="677">
      <c r="B677" s="222"/>
      <c r="C677" s="222"/>
      <c r="E677" s="222"/>
    </row>
    <row r="678">
      <c r="B678" s="222"/>
      <c r="C678" s="222"/>
      <c r="E678" s="222"/>
    </row>
    <row r="679">
      <c r="B679" s="222"/>
      <c r="C679" s="222"/>
      <c r="E679" s="222"/>
    </row>
    <row r="680">
      <c r="B680" s="222"/>
      <c r="C680" s="222"/>
      <c r="E680" s="222"/>
    </row>
    <row r="681">
      <c r="B681" s="222"/>
      <c r="C681" s="222"/>
      <c r="E681" s="222"/>
    </row>
    <row r="682">
      <c r="B682" s="222"/>
      <c r="C682" s="222"/>
      <c r="E682" s="222"/>
    </row>
    <row r="683">
      <c r="B683" s="222"/>
      <c r="C683" s="222"/>
      <c r="E683" s="222"/>
    </row>
    <row r="684">
      <c r="B684" s="222"/>
      <c r="C684" s="222"/>
      <c r="E684" s="222"/>
    </row>
    <row r="685">
      <c r="B685" s="222"/>
      <c r="C685" s="222"/>
      <c r="E685" s="222"/>
    </row>
    <row r="686">
      <c r="B686" s="222"/>
      <c r="C686" s="222"/>
      <c r="E686" s="222"/>
    </row>
    <row r="687">
      <c r="B687" s="222"/>
      <c r="C687" s="222"/>
      <c r="E687" s="222"/>
    </row>
    <row r="688">
      <c r="B688" s="222"/>
      <c r="C688" s="222"/>
      <c r="E688" s="222"/>
    </row>
    <row r="689">
      <c r="B689" s="222"/>
      <c r="C689" s="222"/>
      <c r="E689" s="222"/>
    </row>
    <row r="690">
      <c r="B690" s="222"/>
      <c r="C690" s="222"/>
      <c r="E690" s="222"/>
    </row>
    <row r="691">
      <c r="B691" s="222"/>
      <c r="C691" s="222"/>
      <c r="E691" s="222"/>
    </row>
    <row r="692">
      <c r="B692" s="222"/>
      <c r="C692" s="222"/>
      <c r="E692" s="222"/>
    </row>
    <row r="693">
      <c r="B693" s="222"/>
      <c r="C693" s="222"/>
      <c r="E693" s="222"/>
    </row>
    <row r="694">
      <c r="B694" s="222"/>
      <c r="C694" s="222"/>
      <c r="E694" s="222"/>
    </row>
    <row r="695">
      <c r="B695" s="222"/>
      <c r="C695" s="222"/>
      <c r="E695" s="222"/>
    </row>
    <row r="696">
      <c r="B696" s="222"/>
      <c r="C696" s="222"/>
      <c r="E696" s="222"/>
    </row>
    <row r="697">
      <c r="B697" s="222"/>
      <c r="C697" s="222"/>
      <c r="E697" s="222"/>
    </row>
    <row r="698">
      <c r="B698" s="222"/>
      <c r="C698" s="222"/>
      <c r="E698" s="222"/>
    </row>
    <row r="699">
      <c r="B699" s="222"/>
      <c r="C699" s="222"/>
      <c r="E699" s="222"/>
    </row>
    <row r="700">
      <c r="B700" s="222"/>
      <c r="C700" s="222"/>
      <c r="E700" s="222"/>
    </row>
    <row r="701">
      <c r="B701" s="222"/>
      <c r="C701" s="222"/>
      <c r="E701" s="222"/>
    </row>
    <row r="702">
      <c r="B702" s="222"/>
      <c r="C702" s="222"/>
      <c r="E702" s="222"/>
    </row>
    <row r="703">
      <c r="B703" s="222"/>
      <c r="C703" s="222"/>
      <c r="E703" s="222"/>
    </row>
    <row r="704">
      <c r="B704" s="222"/>
      <c r="C704" s="222"/>
      <c r="E704" s="222"/>
    </row>
    <row r="705">
      <c r="B705" s="222"/>
      <c r="C705" s="222"/>
      <c r="E705" s="222"/>
    </row>
    <row r="706">
      <c r="B706" s="222"/>
      <c r="C706" s="222"/>
      <c r="E706" s="222"/>
    </row>
    <row r="707">
      <c r="B707" s="222"/>
      <c r="C707" s="222"/>
      <c r="E707" s="222"/>
    </row>
    <row r="708">
      <c r="B708" s="222"/>
      <c r="C708" s="222"/>
      <c r="E708" s="222"/>
    </row>
    <row r="709">
      <c r="B709" s="222"/>
      <c r="C709" s="222"/>
      <c r="E709" s="222"/>
    </row>
    <row r="710">
      <c r="B710" s="222"/>
      <c r="C710" s="222"/>
      <c r="E710" s="222"/>
    </row>
    <row r="711">
      <c r="B711" s="222"/>
      <c r="C711" s="222"/>
      <c r="E711" s="222"/>
    </row>
    <row r="712">
      <c r="B712" s="222"/>
      <c r="C712" s="222"/>
      <c r="E712" s="222"/>
    </row>
    <row r="713">
      <c r="B713" s="222"/>
      <c r="C713" s="222"/>
      <c r="E713" s="222"/>
    </row>
    <row r="714">
      <c r="B714" s="222"/>
      <c r="C714" s="222"/>
      <c r="E714" s="222"/>
    </row>
    <row r="715">
      <c r="B715" s="222"/>
      <c r="C715" s="222"/>
      <c r="E715" s="222"/>
    </row>
    <row r="716">
      <c r="B716" s="222"/>
      <c r="C716" s="222"/>
      <c r="E716" s="222"/>
    </row>
    <row r="717">
      <c r="B717" s="222"/>
      <c r="C717" s="222"/>
      <c r="E717" s="222"/>
    </row>
    <row r="718">
      <c r="B718" s="222"/>
      <c r="C718" s="222"/>
      <c r="E718" s="222"/>
    </row>
    <row r="719">
      <c r="B719" s="222"/>
      <c r="C719" s="222"/>
      <c r="E719" s="222"/>
    </row>
    <row r="720">
      <c r="B720" s="222"/>
      <c r="C720" s="222"/>
      <c r="E720" s="222"/>
    </row>
    <row r="721">
      <c r="B721" s="222"/>
      <c r="C721" s="222"/>
      <c r="E721" s="222"/>
    </row>
    <row r="722">
      <c r="B722" s="222"/>
      <c r="C722" s="222"/>
      <c r="E722" s="222"/>
    </row>
    <row r="723">
      <c r="B723" s="222"/>
      <c r="C723" s="222"/>
      <c r="E723" s="222"/>
    </row>
    <row r="724">
      <c r="B724" s="222"/>
      <c r="C724" s="222"/>
      <c r="E724" s="222"/>
    </row>
    <row r="725">
      <c r="B725" s="222"/>
      <c r="C725" s="222"/>
      <c r="E725" s="222"/>
    </row>
    <row r="726">
      <c r="B726" s="222"/>
      <c r="C726" s="222"/>
      <c r="E726" s="222"/>
    </row>
    <row r="727">
      <c r="B727" s="222"/>
      <c r="C727" s="222"/>
      <c r="E727" s="222"/>
    </row>
    <row r="728">
      <c r="B728" s="222"/>
      <c r="C728" s="222"/>
      <c r="E728" s="222"/>
    </row>
    <row r="729">
      <c r="B729" s="222"/>
      <c r="C729" s="222"/>
      <c r="E729" s="222"/>
    </row>
    <row r="730">
      <c r="B730" s="222"/>
      <c r="C730" s="222"/>
      <c r="E730" s="222"/>
    </row>
    <row r="731">
      <c r="B731" s="222"/>
      <c r="C731" s="222"/>
      <c r="E731" s="222"/>
    </row>
    <row r="732">
      <c r="B732" s="222"/>
      <c r="C732" s="222"/>
      <c r="E732" s="222"/>
    </row>
    <row r="733">
      <c r="B733" s="222"/>
      <c r="C733" s="222"/>
      <c r="E733" s="222"/>
    </row>
    <row r="734">
      <c r="B734" s="222"/>
      <c r="C734" s="222"/>
      <c r="E734" s="222"/>
    </row>
    <row r="735">
      <c r="B735" s="222"/>
      <c r="C735" s="222"/>
      <c r="E735" s="222"/>
    </row>
    <row r="736">
      <c r="B736" s="222"/>
      <c r="C736" s="222"/>
      <c r="E736" s="222"/>
    </row>
    <row r="737">
      <c r="B737" s="222"/>
      <c r="C737" s="222"/>
      <c r="E737" s="222"/>
    </row>
    <row r="738">
      <c r="B738" s="222"/>
      <c r="C738" s="222"/>
      <c r="E738" s="222"/>
    </row>
    <row r="739">
      <c r="B739" s="222"/>
      <c r="C739" s="222"/>
      <c r="E739" s="222"/>
    </row>
    <row r="740">
      <c r="B740" s="222"/>
      <c r="C740" s="222"/>
      <c r="E740" s="222"/>
    </row>
    <row r="741">
      <c r="B741" s="222"/>
      <c r="C741" s="222"/>
      <c r="E741" s="222"/>
    </row>
    <row r="742">
      <c r="B742" s="222"/>
      <c r="C742" s="222"/>
      <c r="E742" s="222"/>
    </row>
    <row r="743">
      <c r="B743" s="222"/>
      <c r="C743" s="222"/>
      <c r="E743" s="222"/>
    </row>
    <row r="744">
      <c r="B744" s="222"/>
      <c r="C744" s="222"/>
      <c r="E744" s="222"/>
    </row>
    <row r="745">
      <c r="B745" s="222"/>
      <c r="C745" s="222"/>
      <c r="E745" s="222"/>
    </row>
    <row r="746">
      <c r="B746" s="222"/>
      <c r="C746" s="222"/>
      <c r="E746" s="222"/>
    </row>
    <row r="747">
      <c r="B747" s="222"/>
      <c r="C747" s="222"/>
      <c r="E747" s="222"/>
    </row>
    <row r="748">
      <c r="B748" s="222"/>
      <c r="C748" s="222"/>
      <c r="E748" s="222"/>
    </row>
    <row r="749">
      <c r="B749" s="222"/>
      <c r="C749" s="222"/>
      <c r="E749" s="222"/>
    </row>
    <row r="750">
      <c r="B750" s="222"/>
      <c r="C750" s="222"/>
      <c r="E750" s="222"/>
    </row>
    <row r="751">
      <c r="B751" s="222"/>
      <c r="C751" s="222"/>
      <c r="E751" s="222"/>
    </row>
    <row r="752">
      <c r="B752" s="222"/>
      <c r="C752" s="222"/>
      <c r="E752" s="222"/>
    </row>
    <row r="753">
      <c r="B753" s="222"/>
      <c r="C753" s="222"/>
      <c r="E753" s="222"/>
    </row>
    <row r="754">
      <c r="B754" s="222"/>
      <c r="C754" s="222"/>
      <c r="E754" s="222"/>
    </row>
    <row r="755">
      <c r="B755" s="222"/>
      <c r="C755" s="222"/>
      <c r="E755" s="222"/>
    </row>
    <row r="756">
      <c r="B756" s="222"/>
      <c r="C756" s="222"/>
      <c r="E756" s="222"/>
    </row>
    <row r="757">
      <c r="B757" s="222"/>
      <c r="C757" s="222"/>
      <c r="E757" s="222"/>
    </row>
    <row r="758">
      <c r="B758" s="222"/>
      <c r="C758" s="222"/>
      <c r="E758" s="222"/>
    </row>
    <row r="759">
      <c r="B759" s="222"/>
      <c r="C759" s="222"/>
      <c r="E759" s="222"/>
    </row>
    <row r="760">
      <c r="B760" s="222"/>
      <c r="C760" s="222"/>
      <c r="E760" s="222"/>
    </row>
    <row r="761">
      <c r="B761" s="222"/>
      <c r="C761" s="222"/>
      <c r="E761" s="222"/>
    </row>
    <row r="762">
      <c r="B762" s="222"/>
      <c r="C762" s="222"/>
      <c r="E762" s="222"/>
    </row>
    <row r="763">
      <c r="B763" s="222"/>
      <c r="C763" s="222"/>
      <c r="E763" s="222"/>
    </row>
    <row r="764">
      <c r="B764" s="222"/>
      <c r="C764" s="222"/>
      <c r="E764" s="222"/>
    </row>
    <row r="765">
      <c r="B765" s="222"/>
      <c r="C765" s="222"/>
      <c r="E765" s="222"/>
    </row>
    <row r="766">
      <c r="B766" s="222"/>
      <c r="C766" s="222"/>
      <c r="E766" s="222"/>
    </row>
    <row r="767">
      <c r="B767" s="222"/>
      <c r="C767" s="222"/>
      <c r="E767" s="222"/>
    </row>
    <row r="768">
      <c r="B768" s="222"/>
      <c r="C768" s="222"/>
      <c r="E768" s="222"/>
    </row>
    <row r="769">
      <c r="B769" s="222"/>
      <c r="C769" s="222"/>
      <c r="E769" s="222"/>
    </row>
    <row r="770">
      <c r="B770" s="222"/>
      <c r="C770" s="222"/>
      <c r="E770" s="222"/>
    </row>
    <row r="771">
      <c r="B771" s="222"/>
      <c r="C771" s="222"/>
      <c r="E771" s="222"/>
    </row>
    <row r="772">
      <c r="B772" s="222"/>
      <c r="C772" s="222"/>
      <c r="E772" s="222"/>
    </row>
    <row r="773">
      <c r="B773" s="222"/>
      <c r="C773" s="222"/>
      <c r="E773" s="222"/>
    </row>
    <row r="774">
      <c r="B774" s="222"/>
      <c r="C774" s="222"/>
      <c r="E774" s="222"/>
    </row>
    <row r="775">
      <c r="B775" s="222"/>
      <c r="C775" s="222"/>
      <c r="E775" s="222"/>
    </row>
    <row r="776">
      <c r="B776" s="222"/>
      <c r="C776" s="222"/>
      <c r="E776" s="222"/>
    </row>
    <row r="777">
      <c r="B777" s="222"/>
      <c r="C777" s="222"/>
      <c r="E777" s="222"/>
    </row>
    <row r="778">
      <c r="B778" s="222"/>
      <c r="C778" s="222"/>
      <c r="E778" s="222"/>
    </row>
    <row r="779">
      <c r="B779" s="222"/>
      <c r="C779" s="222"/>
      <c r="E779" s="222"/>
    </row>
    <row r="780">
      <c r="B780" s="222"/>
      <c r="C780" s="222"/>
      <c r="E780" s="222"/>
    </row>
    <row r="781">
      <c r="B781" s="222"/>
      <c r="C781" s="222"/>
      <c r="E781" s="222"/>
    </row>
    <row r="782">
      <c r="B782" s="222"/>
      <c r="C782" s="222"/>
      <c r="E782" s="222"/>
    </row>
    <row r="783">
      <c r="B783" s="222"/>
      <c r="C783" s="222"/>
      <c r="E783" s="222"/>
    </row>
    <row r="784">
      <c r="B784" s="222"/>
      <c r="C784" s="222"/>
      <c r="E784" s="222"/>
    </row>
    <row r="785">
      <c r="B785" s="222"/>
      <c r="C785" s="222"/>
      <c r="E785" s="222"/>
    </row>
    <row r="786">
      <c r="B786" s="222"/>
      <c r="C786" s="222"/>
      <c r="E786" s="222"/>
    </row>
    <row r="787">
      <c r="B787" s="222"/>
      <c r="C787" s="222"/>
      <c r="E787" s="222"/>
    </row>
    <row r="788">
      <c r="B788" s="222"/>
      <c r="C788" s="222"/>
      <c r="E788" s="222"/>
    </row>
    <row r="789">
      <c r="B789" s="222"/>
      <c r="C789" s="222"/>
      <c r="E789" s="222"/>
    </row>
    <row r="790">
      <c r="B790" s="222"/>
      <c r="C790" s="222"/>
      <c r="E790" s="222"/>
    </row>
    <row r="791">
      <c r="B791" s="222"/>
      <c r="C791" s="222"/>
      <c r="E791" s="222"/>
    </row>
    <row r="792">
      <c r="B792" s="222"/>
      <c r="C792" s="222"/>
      <c r="E792" s="222"/>
    </row>
    <row r="793">
      <c r="B793" s="222"/>
      <c r="C793" s="222"/>
      <c r="E793" s="222"/>
    </row>
    <row r="794">
      <c r="B794" s="222"/>
      <c r="C794" s="222"/>
      <c r="E794" s="222"/>
    </row>
    <row r="795">
      <c r="B795" s="222"/>
      <c r="C795" s="222"/>
      <c r="E795" s="222"/>
    </row>
    <row r="796">
      <c r="B796" s="222"/>
      <c r="C796" s="222"/>
      <c r="E796" s="222"/>
    </row>
    <row r="797">
      <c r="B797" s="222"/>
      <c r="C797" s="222"/>
      <c r="E797" s="222"/>
    </row>
    <row r="798">
      <c r="B798" s="222"/>
      <c r="C798" s="222"/>
      <c r="E798" s="222"/>
    </row>
    <row r="799">
      <c r="B799" s="222"/>
      <c r="C799" s="222"/>
      <c r="E799" s="222"/>
    </row>
    <row r="800">
      <c r="B800" s="222"/>
      <c r="C800" s="222"/>
      <c r="E800" s="222"/>
    </row>
    <row r="801">
      <c r="B801" s="222"/>
      <c r="C801" s="222"/>
      <c r="E801" s="222"/>
    </row>
    <row r="802">
      <c r="B802" s="222"/>
      <c r="C802" s="222"/>
      <c r="E802" s="222"/>
    </row>
    <row r="803">
      <c r="B803" s="222"/>
      <c r="C803" s="222"/>
      <c r="E803" s="222"/>
    </row>
    <row r="804">
      <c r="B804" s="222"/>
      <c r="C804" s="222"/>
      <c r="E804" s="222"/>
    </row>
    <row r="805">
      <c r="B805" s="222"/>
      <c r="C805" s="222"/>
      <c r="E805" s="222"/>
    </row>
    <row r="806">
      <c r="B806" s="222"/>
      <c r="C806" s="222"/>
      <c r="E806" s="222"/>
    </row>
    <row r="807">
      <c r="B807" s="222"/>
      <c r="C807" s="222"/>
      <c r="E807" s="222"/>
    </row>
    <row r="808">
      <c r="B808" s="222"/>
      <c r="C808" s="222"/>
      <c r="E808" s="222"/>
    </row>
    <row r="809">
      <c r="B809" s="222"/>
      <c r="C809" s="222"/>
      <c r="E809" s="222"/>
    </row>
    <row r="810">
      <c r="B810" s="222"/>
      <c r="C810" s="222"/>
      <c r="E810" s="222"/>
    </row>
    <row r="811">
      <c r="B811" s="222"/>
      <c r="C811" s="222"/>
      <c r="E811" s="222"/>
    </row>
    <row r="812">
      <c r="B812" s="222"/>
      <c r="C812" s="222"/>
      <c r="E812" s="222"/>
    </row>
    <row r="813">
      <c r="B813" s="222"/>
      <c r="C813" s="222"/>
      <c r="E813" s="222"/>
    </row>
    <row r="814">
      <c r="B814" s="222"/>
      <c r="C814" s="222"/>
      <c r="E814" s="222"/>
    </row>
    <row r="815">
      <c r="B815" s="222"/>
      <c r="C815" s="222"/>
      <c r="E815" s="222"/>
    </row>
    <row r="816">
      <c r="B816" s="222"/>
      <c r="C816" s="222"/>
      <c r="E816" s="222"/>
    </row>
    <row r="817">
      <c r="B817" s="222"/>
      <c r="C817" s="222"/>
      <c r="E817" s="222"/>
    </row>
    <row r="818">
      <c r="B818" s="222"/>
      <c r="C818" s="222"/>
      <c r="E818" s="222"/>
    </row>
    <row r="819">
      <c r="B819" s="222"/>
      <c r="C819" s="222"/>
      <c r="E819" s="222"/>
    </row>
    <row r="820">
      <c r="B820" s="222"/>
      <c r="C820" s="222"/>
      <c r="E820" s="222"/>
    </row>
    <row r="821">
      <c r="B821" s="222"/>
      <c r="C821" s="222"/>
      <c r="E821" s="222"/>
    </row>
    <row r="822">
      <c r="B822" s="222"/>
      <c r="C822" s="222"/>
      <c r="E822" s="222"/>
    </row>
    <row r="823">
      <c r="B823" s="222"/>
      <c r="C823" s="222"/>
      <c r="E823" s="222"/>
    </row>
    <row r="824">
      <c r="B824" s="222"/>
      <c r="C824" s="222"/>
      <c r="E824" s="222"/>
    </row>
    <row r="825">
      <c r="B825" s="222"/>
      <c r="C825" s="222"/>
      <c r="E825" s="222"/>
    </row>
    <row r="826">
      <c r="B826" s="222"/>
      <c r="C826" s="222"/>
      <c r="E826" s="222"/>
    </row>
    <row r="827">
      <c r="B827" s="222"/>
      <c r="C827" s="222"/>
      <c r="E827" s="222"/>
    </row>
    <row r="828">
      <c r="B828" s="222"/>
      <c r="C828" s="222"/>
      <c r="E828" s="222"/>
    </row>
    <row r="829">
      <c r="B829" s="222"/>
      <c r="C829" s="222"/>
      <c r="E829" s="222"/>
    </row>
    <row r="830">
      <c r="B830" s="222"/>
      <c r="C830" s="222"/>
      <c r="E830" s="222"/>
    </row>
    <row r="831">
      <c r="B831" s="222"/>
      <c r="C831" s="222"/>
      <c r="E831" s="222"/>
    </row>
    <row r="832">
      <c r="B832" s="222"/>
      <c r="C832" s="222"/>
      <c r="E832" s="222"/>
    </row>
    <row r="833">
      <c r="B833" s="222"/>
      <c r="C833" s="222"/>
      <c r="E833" s="222"/>
    </row>
    <row r="834">
      <c r="B834" s="222"/>
      <c r="C834" s="222"/>
      <c r="E834" s="222"/>
    </row>
    <row r="835">
      <c r="B835" s="222"/>
      <c r="C835" s="222"/>
      <c r="E835" s="222"/>
    </row>
    <row r="836">
      <c r="B836" s="222"/>
      <c r="C836" s="222"/>
      <c r="E836" s="222"/>
    </row>
    <row r="837">
      <c r="B837" s="222"/>
      <c r="C837" s="222"/>
      <c r="E837" s="222"/>
    </row>
    <row r="838">
      <c r="B838" s="222"/>
      <c r="C838" s="222"/>
      <c r="E838" s="222"/>
    </row>
    <row r="839">
      <c r="B839" s="222"/>
      <c r="C839" s="222"/>
      <c r="E839" s="222"/>
    </row>
    <row r="840">
      <c r="B840" s="222"/>
      <c r="C840" s="222"/>
      <c r="E840" s="222"/>
    </row>
    <row r="841">
      <c r="B841" s="222"/>
      <c r="C841" s="222"/>
      <c r="E841" s="222"/>
    </row>
    <row r="842">
      <c r="B842" s="222"/>
      <c r="C842" s="222"/>
      <c r="E842" s="222"/>
    </row>
    <row r="843">
      <c r="B843" s="222"/>
      <c r="C843" s="222"/>
      <c r="E843" s="222"/>
    </row>
    <row r="844">
      <c r="B844" s="222"/>
      <c r="C844" s="222"/>
      <c r="E844" s="222"/>
    </row>
    <row r="845">
      <c r="B845" s="222"/>
      <c r="C845" s="222"/>
      <c r="E845" s="222"/>
    </row>
    <row r="846">
      <c r="B846" s="222"/>
      <c r="C846" s="222"/>
      <c r="E846" s="222"/>
    </row>
    <row r="847">
      <c r="B847" s="222"/>
      <c r="C847" s="222"/>
      <c r="E847" s="222"/>
    </row>
    <row r="848">
      <c r="B848" s="222"/>
      <c r="C848" s="222"/>
      <c r="E848" s="222"/>
    </row>
    <row r="849">
      <c r="B849" s="222"/>
      <c r="C849" s="222"/>
      <c r="E849" s="222"/>
    </row>
    <row r="850">
      <c r="B850" s="222"/>
      <c r="C850" s="222"/>
      <c r="E850" s="222"/>
    </row>
    <row r="851">
      <c r="B851" s="222"/>
      <c r="C851" s="222"/>
      <c r="E851" s="222"/>
    </row>
    <row r="852">
      <c r="B852" s="222"/>
      <c r="C852" s="222"/>
      <c r="E852" s="222"/>
    </row>
    <row r="853">
      <c r="B853" s="222"/>
      <c r="C853" s="222"/>
      <c r="E853" s="222"/>
    </row>
    <row r="854">
      <c r="B854" s="222"/>
      <c r="C854" s="222"/>
      <c r="E854" s="222"/>
    </row>
    <row r="855">
      <c r="B855" s="222"/>
      <c r="C855" s="222"/>
      <c r="E855" s="222"/>
    </row>
    <row r="856">
      <c r="B856" s="222"/>
      <c r="C856" s="222"/>
      <c r="E856" s="222"/>
    </row>
    <row r="857">
      <c r="B857" s="222"/>
      <c r="C857" s="222"/>
      <c r="E857" s="222"/>
    </row>
    <row r="858">
      <c r="B858" s="222"/>
      <c r="C858" s="222"/>
      <c r="E858" s="222"/>
    </row>
    <row r="859">
      <c r="B859" s="222"/>
      <c r="C859" s="222"/>
      <c r="E859" s="222"/>
    </row>
    <row r="860">
      <c r="B860" s="222"/>
      <c r="C860" s="222"/>
      <c r="E860" s="222"/>
    </row>
    <row r="861">
      <c r="B861" s="222"/>
      <c r="C861" s="222"/>
      <c r="E861" s="222"/>
    </row>
    <row r="862">
      <c r="B862" s="222"/>
      <c r="C862" s="222"/>
      <c r="E862" s="222"/>
    </row>
    <row r="863">
      <c r="B863" s="222"/>
      <c r="C863" s="222"/>
      <c r="E863" s="222"/>
    </row>
    <row r="864">
      <c r="B864" s="222"/>
      <c r="C864" s="222"/>
      <c r="E864" s="222"/>
    </row>
    <row r="865">
      <c r="B865" s="222"/>
      <c r="C865" s="222"/>
      <c r="E865" s="222"/>
    </row>
    <row r="866">
      <c r="B866" s="222"/>
      <c r="C866" s="222"/>
      <c r="E866" s="222"/>
    </row>
    <row r="867">
      <c r="B867" s="222"/>
      <c r="C867" s="222"/>
      <c r="E867" s="222"/>
    </row>
    <row r="868">
      <c r="B868" s="222"/>
      <c r="C868" s="222"/>
      <c r="E868" s="222"/>
    </row>
    <row r="869">
      <c r="B869" s="222"/>
      <c r="C869" s="222"/>
      <c r="E869" s="222"/>
    </row>
    <row r="870">
      <c r="B870" s="222"/>
      <c r="C870" s="222"/>
      <c r="E870" s="222"/>
    </row>
    <row r="871">
      <c r="B871" s="222"/>
      <c r="C871" s="222"/>
      <c r="E871" s="222"/>
    </row>
    <row r="872">
      <c r="B872" s="222"/>
      <c r="C872" s="222"/>
      <c r="E872" s="222"/>
    </row>
    <row r="873">
      <c r="B873" s="222"/>
      <c r="C873" s="222"/>
      <c r="E873" s="222"/>
    </row>
    <row r="874">
      <c r="B874" s="222"/>
      <c r="C874" s="222"/>
      <c r="E874" s="222"/>
    </row>
    <row r="875">
      <c r="B875" s="222"/>
      <c r="C875" s="222"/>
      <c r="E875" s="222"/>
    </row>
    <row r="876">
      <c r="B876" s="222"/>
      <c r="C876" s="222"/>
      <c r="E876" s="222"/>
    </row>
    <row r="877">
      <c r="B877" s="222"/>
      <c r="C877" s="222"/>
      <c r="E877" s="222"/>
    </row>
    <row r="878">
      <c r="B878" s="222"/>
      <c r="C878" s="222"/>
      <c r="E878" s="222"/>
    </row>
    <row r="879">
      <c r="B879" s="222"/>
      <c r="C879" s="222"/>
      <c r="E879" s="222"/>
    </row>
    <row r="880">
      <c r="B880" s="222"/>
      <c r="C880" s="222"/>
      <c r="E880" s="222"/>
    </row>
    <row r="881">
      <c r="B881" s="222"/>
      <c r="C881" s="222"/>
      <c r="E881" s="222"/>
    </row>
    <row r="882">
      <c r="B882" s="222"/>
      <c r="C882" s="222"/>
      <c r="E882" s="222"/>
    </row>
    <row r="883">
      <c r="B883" s="222"/>
      <c r="C883" s="222"/>
      <c r="E883" s="222"/>
    </row>
    <row r="884">
      <c r="B884" s="222"/>
      <c r="C884" s="222"/>
      <c r="E884" s="222"/>
    </row>
    <row r="885">
      <c r="B885" s="222"/>
      <c r="C885" s="222"/>
      <c r="E885" s="222"/>
    </row>
    <row r="886">
      <c r="B886" s="222"/>
      <c r="C886" s="222"/>
      <c r="E886" s="222"/>
    </row>
    <row r="887">
      <c r="B887" s="222"/>
      <c r="C887" s="222"/>
      <c r="E887" s="222"/>
    </row>
    <row r="888">
      <c r="B888" s="222"/>
      <c r="C888" s="222"/>
      <c r="E888" s="222"/>
    </row>
    <row r="889">
      <c r="B889" s="222"/>
      <c r="C889" s="222"/>
      <c r="E889" s="222"/>
    </row>
    <row r="890">
      <c r="B890" s="222"/>
      <c r="C890" s="222"/>
      <c r="E890" s="222"/>
    </row>
    <row r="891">
      <c r="B891" s="222"/>
      <c r="C891" s="222"/>
      <c r="E891" s="222"/>
    </row>
    <row r="892">
      <c r="B892" s="222"/>
      <c r="C892" s="222"/>
      <c r="E892" s="222"/>
    </row>
    <row r="893">
      <c r="B893" s="222"/>
      <c r="C893" s="222"/>
      <c r="E893" s="222"/>
    </row>
    <row r="894">
      <c r="B894" s="222"/>
      <c r="C894" s="222"/>
      <c r="E894" s="222"/>
    </row>
    <row r="895">
      <c r="B895" s="222"/>
      <c r="C895" s="222"/>
      <c r="E895" s="222"/>
    </row>
    <row r="896">
      <c r="B896" s="222"/>
      <c r="C896" s="222"/>
      <c r="E896" s="222"/>
    </row>
    <row r="897">
      <c r="B897" s="222"/>
      <c r="C897" s="222"/>
      <c r="E897" s="222"/>
    </row>
    <row r="898">
      <c r="B898" s="222"/>
      <c r="C898" s="222"/>
      <c r="E898" s="222"/>
    </row>
    <row r="899">
      <c r="B899" s="222"/>
      <c r="C899" s="222"/>
      <c r="E899" s="222"/>
    </row>
    <row r="900">
      <c r="B900" s="222"/>
      <c r="C900" s="222"/>
      <c r="E900" s="222"/>
    </row>
    <row r="901">
      <c r="B901" s="222"/>
      <c r="C901" s="222"/>
      <c r="E901" s="222"/>
    </row>
    <row r="902">
      <c r="B902" s="222"/>
      <c r="C902" s="222"/>
      <c r="E902" s="222"/>
    </row>
    <row r="903">
      <c r="B903" s="222"/>
      <c r="C903" s="222"/>
      <c r="E903" s="222"/>
    </row>
    <row r="904">
      <c r="B904" s="222"/>
      <c r="C904" s="222"/>
      <c r="E904" s="222"/>
    </row>
    <row r="905">
      <c r="B905" s="222"/>
      <c r="C905" s="222"/>
      <c r="E905" s="222"/>
    </row>
    <row r="906">
      <c r="B906" s="222"/>
      <c r="C906" s="222"/>
      <c r="E906" s="222"/>
    </row>
    <row r="907">
      <c r="B907" s="222"/>
      <c r="C907" s="222"/>
      <c r="E907" s="222"/>
    </row>
    <row r="908">
      <c r="B908" s="222"/>
      <c r="C908" s="222"/>
      <c r="E908" s="222"/>
    </row>
    <row r="909">
      <c r="B909" s="222"/>
      <c r="C909" s="222"/>
      <c r="E909" s="222"/>
    </row>
    <row r="910">
      <c r="B910" s="222"/>
      <c r="C910" s="222"/>
      <c r="E910" s="222"/>
    </row>
    <row r="911">
      <c r="B911" s="222"/>
      <c r="C911" s="222"/>
      <c r="E911" s="222"/>
    </row>
    <row r="912">
      <c r="B912" s="222"/>
      <c r="C912" s="222"/>
      <c r="E912" s="222"/>
    </row>
    <row r="913">
      <c r="B913" s="222"/>
      <c r="C913" s="222"/>
      <c r="E913" s="222"/>
    </row>
    <row r="914">
      <c r="B914" s="222"/>
      <c r="C914" s="222"/>
      <c r="E914" s="222"/>
    </row>
    <row r="915">
      <c r="B915" s="222"/>
      <c r="C915" s="222"/>
      <c r="E915" s="222"/>
    </row>
    <row r="916">
      <c r="B916" s="222"/>
      <c r="C916" s="222"/>
      <c r="E916" s="222"/>
    </row>
    <row r="917">
      <c r="B917" s="222"/>
      <c r="C917" s="222"/>
      <c r="E917" s="222"/>
    </row>
    <row r="918">
      <c r="B918" s="222"/>
      <c r="C918" s="222"/>
      <c r="E918" s="222"/>
    </row>
    <row r="919">
      <c r="B919" s="222"/>
      <c r="C919" s="222"/>
      <c r="E919" s="222"/>
    </row>
    <row r="920">
      <c r="B920" s="222"/>
      <c r="C920" s="222"/>
      <c r="E920" s="222"/>
    </row>
    <row r="921">
      <c r="B921" s="222"/>
      <c r="C921" s="222"/>
      <c r="E921" s="222"/>
    </row>
    <row r="922">
      <c r="B922" s="222"/>
      <c r="C922" s="222"/>
      <c r="E922" s="222"/>
    </row>
    <row r="923">
      <c r="B923" s="222"/>
      <c r="C923" s="222"/>
      <c r="E923" s="222"/>
    </row>
    <row r="924">
      <c r="B924" s="222"/>
      <c r="C924" s="222"/>
      <c r="E924" s="222"/>
    </row>
    <row r="925">
      <c r="B925" s="222"/>
      <c r="C925" s="222"/>
      <c r="E925" s="222"/>
    </row>
    <row r="926">
      <c r="B926" s="222"/>
      <c r="C926" s="222"/>
      <c r="E926" s="222"/>
    </row>
    <row r="927">
      <c r="B927" s="222"/>
      <c r="C927" s="222"/>
      <c r="E927" s="222"/>
    </row>
    <row r="928">
      <c r="B928" s="222"/>
      <c r="C928" s="222"/>
      <c r="E928" s="222"/>
    </row>
    <row r="929">
      <c r="B929" s="222"/>
      <c r="C929" s="222"/>
      <c r="E929" s="222"/>
    </row>
    <row r="930">
      <c r="B930" s="222"/>
      <c r="C930" s="222"/>
      <c r="E930" s="222"/>
    </row>
    <row r="931">
      <c r="B931" s="222"/>
      <c r="C931" s="222"/>
      <c r="E931" s="222"/>
    </row>
    <row r="932">
      <c r="B932" s="222"/>
      <c r="C932" s="222"/>
      <c r="E932" s="222"/>
    </row>
    <row r="933">
      <c r="B933" s="222"/>
      <c r="C933" s="222"/>
      <c r="E933" s="222"/>
    </row>
    <row r="934">
      <c r="B934" s="222"/>
      <c r="C934" s="222"/>
      <c r="E934" s="222"/>
    </row>
    <row r="935">
      <c r="B935" s="222"/>
      <c r="C935" s="222"/>
      <c r="E935" s="222"/>
    </row>
    <row r="936">
      <c r="B936" s="222"/>
      <c r="C936" s="222"/>
      <c r="E936" s="222"/>
    </row>
    <row r="937">
      <c r="B937" s="222"/>
      <c r="C937" s="222"/>
      <c r="E937" s="222"/>
    </row>
    <row r="938">
      <c r="B938" s="222"/>
      <c r="C938" s="222"/>
      <c r="E938" s="222"/>
    </row>
    <row r="939">
      <c r="B939" s="222"/>
      <c r="C939" s="222"/>
      <c r="E939" s="222"/>
    </row>
    <row r="940">
      <c r="B940" s="222"/>
      <c r="C940" s="222"/>
      <c r="E940" s="222"/>
    </row>
    <row r="941">
      <c r="B941" s="222"/>
      <c r="C941" s="222"/>
      <c r="E941" s="222"/>
    </row>
    <row r="942">
      <c r="B942" s="222"/>
      <c r="C942" s="222"/>
      <c r="E942" s="222"/>
    </row>
    <row r="943">
      <c r="B943" s="222"/>
      <c r="C943" s="222"/>
      <c r="E943" s="222"/>
    </row>
    <row r="944">
      <c r="B944" s="222"/>
      <c r="C944" s="222"/>
      <c r="E944" s="222"/>
    </row>
    <row r="945">
      <c r="B945" s="222"/>
      <c r="C945" s="222"/>
      <c r="E945" s="222"/>
    </row>
    <row r="946">
      <c r="B946" s="222"/>
      <c r="C946" s="222"/>
      <c r="E946" s="222"/>
    </row>
    <row r="947">
      <c r="B947" s="222"/>
      <c r="C947" s="222"/>
      <c r="E947" s="222"/>
    </row>
    <row r="948">
      <c r="B948" s="222"/>
      <c r="C948" s="222"/>
      <c r="E948" s="222"/>
    </row>
    <row r="949">
      <c r="B949" s="222"/>
      <c r="C949" s="222"/>
      <c r="E949" s="222"/>
    </row>
    <row r="950">
      <c r="B950" s="222"/>
      <c r="C950" s="222"/>
      <c r="E950" s="222"/>
    </row>
    <row r="951">
      <c r="B951" s="222"/>
      <c r="C951" s="222"/>
      <c r="E951" s="222"/>
    </row>
    <row r="952">
      <c r="B952" s="222"/>
      <c r="C952" s="222"/>
      <c r="E952" s="222"/>
    </row>
    <row r="953">
      <c r="B953" s="222"/>
      <c r="C953" s="222"/>
      <c r="E953" s="222"/>
    </row>
    <row r="954">
      <c r="B954" s="222"/>
      <c r="C954" s="222"/>
      <c r="E954" s="222"/>
    </row>
    <row r="955">
      <c r="B955" s="222"/>
      <c r="C955" s="222"/>
      <c r="E955" s="222"/>
    </row>
    <row r="956">
      <c r="B956" s="222"/>
      <c r="C956" s="222"/>
      <c r="E956" s="222"/>
    </row>
    <row r="957">
      <c r="B957" s="222"/>
      <c r="C957" s="222"/>
      <c r="E957" s="222"/>
    </row>
    <row r="958">
      <c r="B958" s="222"/>
      <c r="C958" s="222"/>
      <c r="E958" s="222"/>
    </row>
    <row r="959">
      <c r="B959" s="222"/>
      <c r="C959" s="222"/>
      <c r="E959" s="222"/>
    </row>
    <row r="960">
      <c r="B960" s="222"/>
      <c r="C960" s="222"/>
      <c r="E960" s="222"/>
    </row>
    <row r="961">
      <c r="B961" s="222"/>
      <c r="C961" s="222"/>
      <c r="E961" s="222"/>
    </row>
    <row r="962">
      <c r="B962" s="222"/>
      <c r="C962" s="222"/>
      <c r="E962" s="222"/>
    </row>
    <row r="963">
      <c r="B963" s="222"/>
      <c r="C963" s="222"/>
      <c r="E963" s="222"/>
    </row>
    <row r="964">
      <c r="B964" s="222"/>
      <c r="C964" s="222"/>
      <c r="E964" s="222"/>
    </row>
    <row r="965">
      <c r="B965" s="222"/>
      <c r="C965" s="222"/>
      <c r="E965" s="222"/>
    </row>
    <row r="966">
      <c r="B966" s="222"/>
      <c r="C966" s="222"/>
      <c r="E966" s="222"/>
    </row>
    <row r="967">
      <c r="B967" s="222"/>
      <c r="C967" s="222"/>
      <c r="E967" s="222"/>
    </row>
    <row r="968">
      <c r="B968" s="222"/>
      <c r="C968" s="222"/>
      <c r="E968" s="222"/>
    </row>
    <row r="969">
      <c r="B969" s="222"/>
      <c r="C969" s="222"/>
      <c r="E969" s="222"/>
    </row>
    <row r="970">
      <c r="B970" s="222"/>
      <c r="C970" s="222"/>
      <c r="E970" s="222"/>
    </row>
    <row r="971">
      <c r="B971" s="222"/>
      <c r="C971" s="222"/>
      <c r="E971" s="222"/>
    </row>
    <row r="972">
      <c r="B972" s="222"/>
      <c r="C972" s="222"/>
      <c r="E972" s="222"/>
    </row>
    <row r="973">
      <c r="B973" s="222"/>
      <c r="C973" s="222"/>
      <c r="E973" s="222"/>
    </row>
    <row r="974">
      <c r="B974" s="222"/>
      <c r="C974" s="222"/>
      <c r="E974" s="222"/>
    </row>
    <row r="975">
      <c r="B975" s="222"/>
      <c r="C975" s="222"/>
      <c r="E975" s="222"/>
    </row>
    <row r="976">
      <c r="B976" s="222"/>
      <c r="C976" s="222"/>
      <c r="E976" s="222"/>
    </row>
    <row r="977">
      <c r="B977" s="222"/>
      <c r="C977" s="222"/>
      <c r="E977" s="222"/>
    </row>
    <row r="978">
      <c r="B978" s="222"/>
      <c r="C978" s="222"/>
      <c r="E978" s="222"/>
    </row>
    <row r="979">
      <c r="B979" s="222"/>
      <c r="C979" s="222"/>
      <c r="E979" s="222"/>
    </row>
    <row r="980">
      <c r="B980" s="222"/>
      <c r="C980" s="222"/>
      <c r="E980" s="222"/>
    </row>
    <row r="981">
      <c r="B981" s="222"/>
      <c r="C981" s="222"/>
      <c r="E981" s="222"/>
    </row>
    <row r="982">
      <c r="B982" s="222"/>
      <c r="C982" s="222"/>
      <c r="E982" s="222"/>
    </row>
    <row r="983">
      <c r="B983" s="222"/>
      <c r="C983" s="222"/>
      <c r="E983" s="222"/>
    </row>
    <row r="984">
      <c r="B984" s="222"/>
      <c r="C984" s="222"/>
      <c r="E984" s="222"/>
    </row>
    <row r="985">
      <c r="B985" s="222"/>
      <c r="C985" s="222"/>
      <c r="E985" s="222"/>
    </row>
    <row r="986">
      <c r="B986" s="222"/>
      <c r="C986" s="222"/>
      <c r="E986" s="222"/>
    </row>
    <row r="987">
      <c r="B987" s="222"/>
      <c r="C987" s="222"/>
      <c r="E987" s="222"/>
    </row>
    <row r="988">
      <c r="B988" s="222"/>
      <c r="C988" s="222"/>
      <c r="E988" s="222"/>
    </row>
    <row r="989">
      <c r="B989" s="222"/>
      <c r="C989" s="222"/>
      <c r="E989" s="222"/>
    </row>
    <row r="990">
      <c r="B990" s="222"/>
      <c r="C990" s="222"/>
      <c r="E990" s="222"/>
    </row>
    <row r="991">
      <c r="B991" s="222"/>
      <c r="C991" s="222"/>
      <c r="E991" s="222"/>
    </row>
    <row r="992">
      <c r="B992" s="222"/>
      <c r="C992" s="222"/>
      <c r="E992" s="222"/>
    </row>
    <row r="993">
      <c r="B993" s="222"/>
      <c r="C993" s="222"/>
      <c r="E993" s="222"/>
    </row>
    <row r="994">
      <c r="B994" s="222"/>
      <c r="C994" s="222"/>
      <c r="E994" s="222"/>
    </row>
    <row r="995">
      <c r="B995" s="222"/>
      <c r="C995" s="222"/>
      <c r="E995" s="222"/>
    </row>
    <row r="996">
      <c r="B996" s="222"/>
      <c r="C996" s="222"/>
      <c r="E996" s="222"/>
    </row>
    <row r="997">
      <c r="B997" s="222"/>
      <c r="C997" s="222"/>
      <c r="E997" s="222"/>
    </row>
  </sheetData>
  <conditionalFormatting sqref="F17">
    <cfRule type="notContainsBlanks" dxfId="4" priority="1">
      <formula>LEN(TRIM(F17))&gt;0</formula>
    </cfRule>
  </conditionalFormatting>
  <conditionalFormatting sqref="D2:E32 F2:H10 J2:Y32 AE2:AE32 F12:H17 F19:H32">
    <cfRule type="expression" dxfId="7" priority="2">
      <formula> SUM($N2:$Y2) &gt; 0</formula>
    </cfRule>
  </conditionalFormatting>
  <conditionalFormatting sqref="AE14">
    <cfRule type="notContainsBlanks" dxfId="6" priority="3">
      <formula>LEN(TRIM(AE14))&gt;0</formula>
    </cfRule>
  </conditionalFormatting>
  <conditionalFormatting sqref="AD2:AD32">
    <cfRule type="colorScale" priority="4">
      <colorScale>
        <cfvo type="min"/>
        <cfvo type="max"/>
        <color rgb="FF999999"/>
        <color rgb="FFFFFFFF"/>
      </colorScale>
    </cfRule>
  </conditionalFormatting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13"/>
    <col customWidth="1" min="2" max="2" width="5.88"/>
    <col customWidth="1" min="3" max="3" width="9.5"/>
    <col customWidth="1" min="4" max="4" width="14.88"/>
    <col customWidth="1" min="5" max="5" width="7.75"/>
    <col customWidth="1" min="6" max="6" width="7.25"/>
    <col customWidth="1" hidden="1" min="7" max="7" width="7.88"/>
    <col customWidth="1" min="8" max="8" width="7.88"/>
    <col customWidth="1" min="9" max="9" width="8.75"/>
    <col customWidth="1" min="10" max="10" width="5.63"/>
    <col customWidth="1" min="11" max="11" width="5.25"/>
    <col customWidth="1" min="12" max="12" width="6.63"/>
    <col customWidth="1" min="13" max="13" width="18.88"/>
    <col customWidth="1" min="14" max="24" width="9.0"/>
    <col customWidth="1" min="25" max="25" width="6.5"/>
    <col customWidth="1" min="26" max="26" width="8.13"/>
    <col customWidth="1" min="27" max="27" width="6.13"/>
    <col customWidth="1" min="28" max="28" width="7.75"/>
    <col customWidth="1" min="29" max="29" width="11.38"/>
    <col customWidth="1" hidden="1" min="30" max="30" width="6.0"/>
    <col customWidth="1" min="31" max="31" width="65.88"/>
  </cols>
  <sheetData>
    <row r="1" ht="52.5" customHeight="1">
      <c r="A1" s="223" t="s">
        <v>172</v>
      </c>
      <c r="B1" s="223" t="s">
        <v>1</v>
      </c>
      <c r="C1" s="155" t="s">
        <v>2</v>
      </c>
      <c r="D1" s="223" t="s">
        <v>3</v>
      </c>
      <c r="E1" s="194" t="s">
        <v>4</v>
      </c>
      <c r="F1" s="155" t="s">
        <v>5</v>
      </c>
      <c r="G1" s="155" t="s">
        <v>173</v>
      </c>
      <c r="H1" s="155" t="s">
        <v>7</v>
      </c>
      <c r="I1" s="194" t="s">
        <v>75</v>
      </c>
      <c r="J1" s="194" t="s">
        <v>9</v>
      </c>
      <c r="K1" s="194" t="s">
        <v>10</v>
      </c>
      <c r="L1" s="194" t="s">
        <v>11</v>
      </c>
      <c r="M1" s="223" t="s">
        <v>12</v>
      </c>
      <c r="N1" s="194" t="s">
        <v>13</v>
      </c>
      <c r="O1" s="194" t="s">
        <v>14</v>
      </c>
      <c r="P1" s="194" t="s">
        <v>78</v>
      </c>
      <c r="Q1" s="194" t="s">
        <v>174</v>
      </c>
      <c r="R1" s="194" t="s">
        <v>140</v>
      </c>
      <c r="S1" s="194" t="s">
        <v>81</v>
      </c>
      <c r="T1" s="194" t="s">
        <v>82</v>
      </c>
      <c r="U1" s="194" t="s">
        <v>83</v>
      </c>
      <c r="V1" s="194" t="s">
        <v>84</v>
      </c>
      <c r="W1" s="194" t="s">
        <v>85</v>
      </c>
      <c r="X1" s="194" t="s">
        <v>142</v>
      </c>
      <c r="Y1" s="194" t="s">
        <v>87</v>
      </c>
      <c r="Z1" s="194" t="s">
        <v>175</v>
      </c>
      <c r="AA1" s="194" t="s">
        <v>176</v>
      </c>
      <c r="AB1" s="156" t="s">
        <v>27</v>
      </c>
      <c r="AC1" s="156" t="s">
        <v>28</v>
      </c>
      <c r="AD1" s="194" t="s">
        <v>29</v>
      </c>
      <c r="AE1" s="223" t="s">
        <v>30</v>
      </c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24"/>
      <c r="AQ1" s="224"/>
      <c r="AR1" s="224"/>
      <c r="AS1" s="224"/>
      <c r="AT1" s="224"/>
      <c r="AU1" s="224"/>
      <c r="AV1" s="224"/>
      <c r="AW1" s="224"/>
      <c r="AX1" s="224"/>
      <c r="AY1" s="224"/>
      <c r="AZ1" s="224"/>
      <c r="BA1" s="224"/>
      <c r="BB1" s="224"/>
      <c r="BC1" s="224"/>
      <c r="BD1" s="224"/>
      <c r="BE1" s="224"/>
      <c r="BF1" s="224"/>
      <c r="BG1" s="224"/>
      <c r="BH1" s="224"/>
      <c r="BI1" s="224"/>
      <c r="BJ1" s="224"/>
      <c r="BK1" s="224"/>
      <c r="BL1" s="224"/>
      <c r="BM1" s="224"/>
      <c r="BN1" s="224"/>
    </row>
    <row r="2">
      <c r="A2" s="23">
        <v>43497.0</v>
      </c>
      <c r="B2">
        <v>1717.0</v>
      </c>
      <c r="C2">
        <v>1749.0</v>
      </c>
      <c r="D2" s="165" t="str">
        <f t="shared" ref="D2:D29" si="1">choose(weekday(A2),"Fred/Phil", "Jane/Murr", "Tom","Sue/Anne","Shawn/Orems","Jeff", "Rob")</f>
        <v>Jeff</v>
      </c>
      <c r="E2" s="161" t="s">
        <v>40</v>
      </c>
      <c r="F2" s="184">
        <v>0.6875</v>
      </c>
      <c r="G2" s="163">
        <v>43497.0</v>
      </c>
      <c r="H2" s="184">
        <v>0.9375</v>
      </c>
      <c r="I2" s="11">
        <f>iferror(24*( DATEDIF(A2,G2,"D")+TIMEVALUE(H2)-TIMEVALUE(F2)),0)</f>
        <v>6</v>
      </c>
      <c r="J2" s="225">
        <v>28.0</v>
      </c>
      <c r="K2" s="165">
        <v>44.6</v>
      </c>
      <c r="L2" s="165">
        <v>43.3</v>
      </c>
      <c r="M2" s="165" t="s">
        <v>177</v>
      </c>
      <c r="N2" s="165">
        <v>2.0</v>
      </c>
      <c r="O2" s="165">
        <v>21.0</v>
      </c>
      <c r="P2" s="165">
        <v>1.0</v>
      </c>
      <c r="Q2" s="165">
        <v>2.0</v>
      </c>
      <c r="R2" s="165">
        <v>0.0</v>
      </c>
      <c r="S2" s="165">
        <v>0.0</v>
      </c>
      <c r="T2" s="165">
        <v>0.0</v>
      </c>
      <c r="U2" s="165">
        <v>0.0</v>
      </c>
      <c r="V2" s="165">
        <v>0.0</v>
      </c>
      <c r="W2" s="165">
        <v>0.0</v>
      </c>
      <c r="X2" s="165">
        <v>3.0</v>
      </c>
      <c r="Y2" s="165">
        <v>0.0</v>
      </c>
      <c r="Z2" s="166">
        <f t="shared" ref="Z2:Z29" si="2">sum(N2:Q2)</f>
        <v>26</v>
      </c>
      <c r="AA2" s="166">
        <v>0.0</v>
      </c>
      <c r="AB2" s="167">
        <f t="shared" ref="AB2:AB29" si="3">sum(N2:O2)</f>
        <v>23</v>
      </c>
      <c r="AC2" s="167">
        <f t="shared" ref="AC2:AC29" si="4">sum(R2:S2,V2)</f>
        <v>0</v>
      </c>
      <c r="AD2" s="15">
        <v>0.21</v>
      </c>
      <c r="AE2" s="18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</row>
    <row r="3">
      <c r="A3" s="17">
        <v>43498.0</v>
      </c>
      <c r="B3">
        <v>1719.0</v>
      </c>
      <c r="C3">
        <v>1750.0</v>
      </c>
      <c r="D3" s="165" t="str">
        <f t="shared" si="1"/>
        <v>Rob</v>
      </c>
      <c r="E3" s="169" t="s">
        <v>40</v>
      </c>
      <c r="F3" s="160" t="s">
        <v>178</v>
      </c>
      <c r="G3" s="171">
        <v>43498.0</v>
      </c>
      <c r="H3" s="183"/>
      <c r="I3" s="188">
        <v>1.12</v>
      </c>
      <c r="J3" s="226">
        <v>1.12</v>
      </c>
      <c r="K3" s="160">
        <v>44.8</v>
      </c>
      <c r="L3" s="160">
        <v>44.8</v>
      </c>
      <c r="M3" s="160" t="s">
        <v>179</v>
      </c>
      <c r="N3" s="160">
        <v>1.0</v>
      </c>
      <c r="O3" s="160">
        <v>3.0</v>
      </c>
      <c r="P3" s="160">
        <v>0.0</v>
      </c>
      <c r="Q3" s="160">
        <v>0.0</v>
      </c>
      <c r="R3" s="160">
        <v>0.0</v>
      </c>
      <c r="S3" s="160">
        <v>0.0</v>
      </c>
      <c r="T3" s="160">
        <v>0.0</v>
      </c>
      <c r="U3" s="160">
        <v>0.0</v>
      </c>
      <c r="V3" s="160">
        <v>0.0</v>
      </c>
      <c r="W3" s="160">
        <v>0.0</v>
      </c>
      <c r="X3" s="160">
        <v>0.0</v>
      </c>
      <c r="Y3" s="160">
        <v>0.0</v>
      </c>
      <c r="Z3" s="166">
        <f t="shared" si="2"/>
        <v>4</v>
      </c>
      <c r="AA3" s="166">
        <f t="shared" ref="AA3:AA29" si="5">sum(R3:V3)</f>
        <v>0</v>
      </c>
      <c r="AB3" s="167">
        <f t="shared" si="3"/>
        <v>4</v>
      </c>
      <c r="AC3" s="167">
        <f t="shared" si="4"/>
        <v>0</v>
      </c>
      <c r="AD3" s="15">
        <v>0.13</v>
      </c>
      <c r="AE3" s="173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174"/>
      <c r="BA3" s="174"/>
      <c r="BB3" s="174"/>
      <c r="BC3" s="174"/>
      <c r="BD3" s="174"/>
      <c r="BE3" s="174"/>
      <c r="BF3" s="174"/>
      <c r="BG3" s="174"/>
      <c r="BH3" s="174"/>
      <c r="BI3" s="174"/>
      <c r="BJ3" s="174"/>
      <c r="BK3" s="174"/>
      <c r="BL3" s="174"/>
      <c r="BM3" s="174"/>
      <c r="BN3" s="174"/>
    </row>
    <row r="4">
      <c r="A4" s="227">
        <v>43499.0</v>
      </c>
      <c r="B4">
        <v>1720.0</v>
      </c>
      <c r="C4">
        <v>1752.0</v>
      </c>
      <c r="D4" s="165" t="str">
        <f t="shared" si="1"/>
        <v>Fred/Phil</v>
      </c>
      <c r="E4" s="161" t="s">
        <v>33</v>
      </c>
      <c r="F4" s="184"/>
      <c r="G4" s="163">
        <v>43499.0</v>
      </c>
      <c r="H4" s="184"/>
      <c r="I4" s="11">
        <f t="shared" ref="I4:I29" si="6">iferror(24*( DATEDIF(A4,G4,"D")+TIMEVALUE(H4)-TIMEVALUE(F4)),0)</f>
        <v>0</v>
      </c>
      <c r="J4" s="225"/>
      <c r="K4" s="165">
        <v>42.0</v>
      </c>
      <c r="L4" s="165">
        <v>38.0</v>
      </c>
      <c r="M4" s="165" t="s">
        <v>180</v>
      </c>
      <c r="N4" s="165">
        <v>0.0</v>
      </c>
      <c r="O4" s="165">
        <v>0.0</v>
      </c>
      <c r="P4" s="165">
        <v>0.0</v>
      </c>
      <c r="Q4" s="165">
        <v>0.0</v>
      </c>
      <c r="R4" s="165">
        <v>0.0</v>
      </c>
      <c r="S4" s="165">
        <v>0.0</v>
      </c>
      <c r="T4" s="165">
        <v>0.0</v>
      </c>
      <c r="U4" s="165">
        <v>0.0</v>
      </c>
      <c r="V4" s="165">
        <v>0.0</v>
      </c>
      <c r="W4" s="165">
        <v>0.0</v>
      </c>
      <c r="X4" s="165">
        <v>0.0</v>
      </c>
      <c r="Y4" s="165">
        <v>0.0</v>
      </c>
      <c r="Z4" s="166">
        <f t="shared" si="2"/>
        <v>0</v>
      </c>
      <c r="AA4" s="166">
        <f t="shared" si="5"/>
        <v>0</v>
      </c>
      <c r="AB4" s="167">
        <f t="shared" si="3"/>
        <v>0</v>
      </c>
      <c r="AC4" s="167">
        <f t="shared" si="4"/>
        <v>0</v>
      </c>
      <c r="AD4" s="15">
        <v>0.07</v>
      </c>
      <c r="AE4" s="18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</row>
    <row r="5">
      <c r="A5" s="227">
        <v>43500.0</v>
      </c>
      <c r="B5">
        <v>1722.0</v>
      </c>
      <c r="C5">
        <v>1753.0</v>
      </c>
      <c r="D5" s="165" t="str">
        <f t="shared" si="1"/>
        <v>Jane/Murr</v>
      </c>
      <c r="E5" s="169" t="s">
        <v>33</v>
      </c>
      <c r="F5" s="160">
        <v>18.0</v>
      </c>
      <c r="G5" s="171">
        <v>43500.0</v>
      </c>
      <c r="H5" s="183"/>
      <c r="I5" s="11">
        <f t="shared" si="6"/>
        <v>0</v>
      </c>
      <c r="J5" s="226"/>
      <c r="K5" s="160">
        <v>34.0</v>
      </c>
      <c r="L5" s="160"/>
      <c r="M5" s="160"/>
      <c r="N5" s="160">
        <v>0.0</v>
      </c>
      <c r="O5" s="160">
        <v>0.0</v>
      </c>
      <c r="P5" s="160">
        <v>0.0</v>
      </c>
      <c r="Q5" s="160">
        <v>0.0</v>
      </c>
      <c r="R5" s="160">
        <v>0.0</v>
      </c>
      <c r="S5" s="160">
        <v>0.0</v>
      </c>
      <c r="T5" s="160">
        <v>0.0</v>
      </c>
      <c r="U5" s="160">
        <v>0.0</v>
      </c>
      <c r="V5" s="160">
        <v>0.0</v>
      </c>
      <c r="W5" s="160">
        <v>0.0</v>
      </c>
      <c r="X5" s="160">
        <v>0.0</v>
      </c>
      <c r="Y5" s="160">
        <v>0.0</v>
      </c>
      <c r="Z5" s="166">
        <f t="shared" si="2"/>
        <v>0</v>
      </c>
      <c r="AA5" s="166">
        <f t="shared" si="5"/>
        <v>0</v>
      </c>
      <c r="AB5" s="167">
        <f t="shared" si="3"/>
        <v>0</v>
      </c>
      <c r="AC5" s="167">
        <f t="shared" si="4"/>
        <v>0</v>
      </c>
      <c r="AD5" s="15">
        <v>0.03</v>
      </c>
      <c r="AE5" s="173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  <c r="BF5" s="174"/>
      <c r="BG5" s="174"/>
      <c r="BH5" s="174"/>
      <c r="BI5" s="174"/>
      <c r="BJ5" s="174"/>
      <c r="BK5" s="174"/>
      <c r="BL5" s="174"/>
      <c r="BM5" s="174"/>
      <c r="BN5" s="174"/>
    </row>
    <row r="6">
      <c r="A6" s="25">
        <v>43501.0</v>
      </c>
      <c r="B6">
        <v>1723.0</v>
      </c>
      <c r="C6">
        <v>1754.0</v>
      </c>
      <c r="D6" s="165" t="str">
        <f t="shared" si="1"/>
        <v>Tom</v>
      </c>
      <c r="E6" s="161" t="s">
        <v>33</v>
      </c>
      <c r="F6" s="184">
        <v>0.75</v>
      </c>
      <c r="G6" s="163">
        <v>43501.0</v>
      </c>
      <c r="H6" s="184">
        <v>0.75</v>
      </c>
      <c r="I6" s="11">
        <f t="shared" si="6"/>
        <v>0</v>
      </c>
      <c r="J6" s="180">
        <v>0.0</v>
      </c>
      <c r="K6" s="165">
        <v>36.0</v>
      </c>
      <c r="L6" s="165">
        <v>36.0</v>
      </c>
      <c r="M6" s="180" t="s">
        <v>181</v>
      </c>
      <c r="N6" s="165">
        <v>0.0</v>
      </c>
      <c r="O6" s="165">
        <v>0.0</v>
      </c>
      <c r="P6" s="165">
        <v>0.0</v>
      </c>
      <c r="Q6" s="165">
        <v>0.0</v>
      </c>
      <c r="R6" s="165">
        <v>0.0</v>
      </c>
      <c r="S6" s="165">
        <v>0.0</v>
      </c>
      <c r="T6" s="165">
        <v>0.0</v>
      </c>
      <c r="U6" s="165">
        <v>0.0</v>
      </c>
      <c r="V6" s="165">
        <v>0.0</v>
      </c>
      <c r="W6" s="165">
        <v>0.0</v>
      </c>
      <c r="X6" s="165">
        <v>0.0</v>
      </c>
      <c r="Y6" s="165">
        <v>0.0</v>
      </c>
      <c r="Z6" s="166">
        <f t="shared" si="2"/>
        <v>0</v>
      </c>
      <c r="AA6" s="166">
        <f t="shared" si="5"/>
        <v>0</v>
      </c>
      <c r="AB6" s="167">
        <f t="shared" si="3"/>
        <v>0</v>
      </c>
      <c r="AC6" s="167">
        <f t="shared" si="4"/>
        <v>0</v>
      </c>
      <c r="AD6" s="15">
        <v>0.01</v>
      </c>
      <c r="AE6" s="18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</row>
    <row r="7">
      <c r="A7" s="25">
        <v>43502.0</v>
      </c>
      <c r="B7">
        <v>1724.0</v>
      </c>
      <c r="C7">
        <v>1756.0</v>
      </c>
      <c r="D7" s="165" t="str">
        <f t="shared" si="1"/>
        <v>Sue/Anne</v>
      </c>
      <c r="E7" s="169" t="s">
        <v>33</v>
      </c>
      <c r="F7" s="183"/>
      <c r="G7" s="171">
        <v>43502.0</v>
      </c>
      <c r="H7" s="183"/>
      <c r="I7" s="11">
        <f t="shared" si="6"/>
        <v>0</v>
      </c>
      <c r="J7" s="226"/>
      <c r="K7" s="160">
        <v>33.0</v>
      </c>
      <c r="L7" s="160"/>
      <c r="M7" s="173" t="s">
        <v>35</v>
      </c>
      <c r="N7" s="160">
        <v>0.0</v>
      </c>
      <c r="O7" s="160">
        <v>0.0</v>
      </c>
      <c r="P7" s="160">
        <v>0.0</v>
      </c>
      <c r="Q7" s="160">
        <v>0.0</v>
      </c>
      <c r="R7" s="160">
        <v>0.0</v>
      </c>
      <c r="S7" s="160">
        <v>0.0</v>
      </c>
      <c r="T7" s="160">
        <v>0.0</v>
      </c>
      <c r="U7" s="160">
        <v>0.0</v>
      </c>
      <c r="V7" s="160">
        <v>0.0</v>
      </c>
      <c r="W7" s="160">
        <v>0.0</v>
      </c>
      <c r="X7" s="160">
        <v>0.0</v>
      </c>
      <c r="Y7" s="160">
        <v>0.0</v>
      </c>
      <c r="Z7" s="166">
        <f t="shared" si="2"/>
        <v>0</v>
      </c>
      <c r="AA7" s="166">
        <f t="shared" si="5"/>
        <v>0</v>
      </c>
      <c r="AB7" s="167">
        <f t="shared" si="3"/>
        <v>0</v>
      </c>
      <c r="AC7" s="167">
        <f t="shared" si="4"/>
        <v>0</v>
      </c>
      <c r="AD7" s="15">
        <v>0.0</v>
      </c>
      <c r="AE7" s="177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74"/>
      <c r="BL7" s="174"/>
      <c r="BM7" s="174"/>
      <c r="BN7" s="174"/>
    </row>
    <row r="8">
      <c r="A8" s="25">
        <v>43503.0</v>
      </c>
      <c r="B8">
        <v>1726.0</v>
      </c>
      <c r="C8">
        <v>1757.0</v>
      </c>
      <c r="D8" s="165" t="str">
        <f t="shared" si="1"/>
        <v>Shawn/Orems</v>
      </c>
      <c r="E8" s="161" t="s">
        <v>33</v>
      </c>
      <c r="F8" s="184">
        <v>0.75</v>
      </c>
      <c r="G8" s="163">
        <v>43503.0</v>
      </c>
      <c r="H8" s="184">
        <v>0.75</v>
      </c>
      <c r="I8" s="11">
        <f t="shared" si="6"/>
        <v>0</v>
      </c>
      <c r="J8" s="225"/>
      <c r="K8" s="165">
        <v>36.0</v>
      </c>
      <c r="L8" s="165"/>
      <c r="M8" s="180" t="s">
        <v>181</v>
      </c>
      <c r="N8" s="165">
        <v>0.0</v>
      </c>
      <c r="O8" s="165">
        <v>0.0</v>
      </c>
      <c r="P8" s="165">
        <v>0.0</v>
      </c>
      <c r="Q8" s="165">
        <v>0.0</v>
      </c>
      <c r="R8" s="165">
        <v>0.0</v>
      </c>
      <c r="S8" s="165">
        <v>0.0</v>
      </c>
      <c r="T8" s="165">
        <v>0.0</v>
      </c>
      <c r="U8" s="165">
        <v>0.0</v>
      </c>
      <c r="V8" s="165">
        <v>0.0</v>
      </c>
      <c r="W8" s="165">
        <v>0.0</v>
      </c>
      <c r="X8" s="165">
        <v>0.0</v>
      </c>
      <c r="Y8" s="165">
        <v>0.0</v>
      </c>
      <c r="Z8" s="166">
        <f t="shared" si="2"/>
        <v>0</v>
      </c>
      <c r="AA8" s="166">
        <f t="shared" si="5"/>
        <v>0</v>
      </c>
      <c r="AB8" s="167">
        <f t="shared" si="3"/>
        <v>0</v>
      </c>
      <c r="AC8" s="167">
        <f t="shared" si="4"/>
        <v>0</v>
      </c>
      <c r="AD8" s="15">
        <v>0.01</v>
      </c>
      <c r="AE8" s="168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</row>
    <row r="9">
      <c r="A9" s="17">
        <v>43504.0</v>
      </c>
      <c r="B9">
        <v>1727.0</v>
      </c>
      <c r="C9">
        <v>1758.0</v>
      </c>
      <c r="D9" s="165" t="str">
        <f t="shared" si="1"/>
        <v>Jeff</v>
      </c>
      <c r="E9" s="169" t="s">
        <v>40</v>
      </c>
      <c r="F9" s="183">
        <v>0.7430555555555556</v>
      </c>
      <c r="G9" s="171">
        <v>43504.0</v>
      </c>
      <c r="H9" s="183">
        <v>0.7569444444444444</v>
      </c>
      <c r="I9" s="11">
        <f t="shared" si="6"/>
        <v>0.3333333333</v>
      </c>
      <c r="J9" s="226">
        <v>0.33</v>
      </c>
      <c r="K9" s="160">
        <v>35.0</v>
      </c>
      <c r="L9" s="160">
        <v>35.0</v>
      </c>
      <c r="M9" s="173" t="s">
        <v>182</v>
      </c>
      <c r="N9" s="160">
        <v>0.0</v>
      </c>
      <c r="O9" s="160">
        <v>0.0</v>
      </c>
      <c r="P9" s="160">
        <v>0.0</v>
      </c>
      <c r="Q9" s="160">
        <v>0.0</v>
      </c>
      <c r="R9" s="160">
        <v>0.0</v>
      </c>
      <c r="S9" s="160">
        <v>0.0</v>
      </c>
      <c r="T9" s="160">
        <v>0.0</v>
      </c>
      <c r="U9" s="160">
        <v>0.0</v>
      </c>
      <c r="V9" s="160">
        <v>0.0</v>
      </c>
      <c r="W9" s="160">
        <v>0.0</v>
      </c>
      <c r="X9" s="160">
        <v>0.0</v>
      </c>
      <c r="Y9" s="160">
        <v>0.0</v>
      </c>
      <c r="Z9" s="166">
        <f t="shared" si="2"/>
        <v>0</v>
      </c>
      <c r="AA9" s="166">
        <f t="shared" si="5"/>
        <v>0</v>
      </c>
      <c r="AB9" s="167">
        <f t="shared" si="3"/>
        <v>0</v>
      </c>
      <c r="AC9" s="167">
        <f t="shared" si="4"/>
        <v>0</v>
      </c>
      <c r="AD9" s="15">
        <v>0.05</v>
      </c>
      <c r="AE9" s="173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174"/>
      <c r="BH9" s="174"/>
      <c r="BI9" s="174"/>
      <c r="BJ9" s="174"/>
      <c r="BK9" s="174"/>
      <c r="BL9" s="174"/>
      <c r="BM9" s="174"/>
      <c r="BN9" s="174"/>
    </row>
    <row r="10">
      <c r="A10" s="17">
        <v>43505.0</v>
      </c>
      <c r="B10">
        <v>1729.0</v>
      </c>
      <c r="C10">
        <v>1800.0</v>
      </c>
      <c r="D10" s="165" t="str">
        <f t="shared" si="1"/>
        <v>Rob</v>
      </c>
      <c r="E10" s="161" t="s">
        <v>33</v>
      </c>
      <c r="F10" s="184"/>
      <c r="G10" s="163">
        <v>43505.0</v>
      </c>
      <c r="H10" s="184"/>
      <c r="I10" s="11">
        <f t="shared" si="6"/>
        <v>0</v>
      </c>
      <c r="J10" s="225"/>
      <c r="K10" s="165"/>
      <c r="L10" s="165"/>
      <c r="M10" s="165"/>
      <c r="N10" s="165">
        <v>0.0</v>
      </c>
      <c r="O10" s="165">
        <v>0.0</v>
      </c>
      <c r="P10" s="165">
        <v>0.0</v>
      </c>
      <c r="Q10" s="165">
        <v>0.0</v>
      </c>
      <c r="R10" s="165">
        <v>0.0</v>
      </c>
      <c r="S10" s="165">
        <v>0.0</v>
      </c>
      <c r="T10" s="165">
        <v>0.0</v>
      </c>
      <c r="U10" s="165">
        <v>0.0</v>
      </c>
      <c r="V10" s="165">
        <v>0.0</v>
      </c>
      <c r="W10" s="165">
        <v>0.0</v>
      </c>
      <c r="X10" s="165">
        <v>0.0</v>
      </c>
      <c r="Y10" s="165">
        <v>0.0</v>
      </c>
      <c r="Z10" s="166">
        <f t="shared" si="2"/>
        <v>0</v>
      </c>
      <c r="AA10" s="166">
        <f t="shared" si="5"/>
        <v>0</v>
      </c>
      <c r="AB10" s="167">
        <f t="shared" si="3"/>
        <v>0</v>
      </c>
      <c r="AC10" s="167">
        <f t="shared" si="4"/>
        <v>0</v>
      </c>
      <c r="AD10" s="15">
        <v>0.09</v>
      </c>
      <c r="AE10" s="18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</row>
    <row r="11">
      <c r="A11" s="17">
        <v>43506.0</v>
      </c>
      <c r="B11">
        <v>1730.0</v>
      </c>
      <c r="C11">
        <v>1801.0</v>
      </c>
      <c r="D11" s="165" t="str">
        <f t="shared" si="1"/>
        <v>Fred/Phil</v>
      </c>
      <c r="E11" s="169" t="s">
        <v>33</v>
      </c>
      <c r="F11" s="183"/>
      <c r="G11" s="171">
        <v>43506.0</v>
      </c>
      <c r="H11" s="183"/>
      <c r="I11" s="11">
        <f t="shared" si="6"/>
        <v>0</v>
      </c>
      <c r="J11" s="226">
        <v>0.34</v>
      </c>
      <c r="K11" s="160"/>
      <c r="L11" s="160"/>
      <c r="M11" s="173" t="s">
        <v>183</v>
      </c>
      <c r="N11" s="160">
        <v>0.0</v>
      </c>
      <c r="O11" s="160">
        <v>0.0</v>
      </c>
      <c r="P11" s="160">
        <v>0.0</v>
      </c>
      <c r="Q11" s="160">
        <v>0.0</v>
      </c>
      <c r="R11" s="160">
        <v>0.0</v>
      </c>
      <c r="S11" s="160">
        <v>0.0</v>
      </c>
      <c r="T11" s="160">
        <v>0.0</v>
      </c>
      <c r="U11" s="160">
        <v>0.0</v>
      </c>
      <c r="V11" s="160">
        <v>0.0</v>
      </c>
      <c r="W11" s="160">
        <v>0.0</v>
      </c>
      <c r="X11" s="160">
        <v>0.0</v>
      </c>
      <c r="Y11" s="160">
        <v>0.0</v>
      </c>
      <c r="Z11" s="166">
        <f t="shared" si="2"/>
        <v>0</v>
      </c>
      <c r="AA11" s="166">
        <f t="shared" si="5"/>
        <v>0</v>
      </c>
      <c r="AB11" s="167">
        <f t="shared" si="3"/>
        <v>0</v>
      </c>
      <c r="AC11" s="167">
        <f t="shared" si="4"/>
        <v>0</v>
      </c>
      <c r="AD11" s="15">
        <v>0.16</v>
      </c>
      <c r="AE11" s="173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  <c r="BI11" s="174"/>
      <c r="BJ11" s="174"/>
      <c r="BK11" s="174"/>
      <c r="BL11" s="174"/>
      <c r="BM11" s="174"/>
      <c r="BN11" s="174"/>
    </row>
    <row r="12">
      <c r="A12" s="17">
        <v>43507.0</v>
      </c>
      <c r="B12">
        <v>1732.0</v>
      </c>
      <c r="C12">
        <v>1803.0</v>
      </c>
      <c r="D12" s="165" t="str">
        <f t="shared" si="1"/>
        <v>Jane/Murr</v>
      </c>
      <c r="E12" s="161" t="s">
        <v>40</v>
      </c>
      <c r="F12" s="184">
        <v>0.7395833333333334</v>
      </c>
      <c r="G12" s="163">
        <v>43507.0</v>
      </c>
      <c r="H12" s="162">
        <v>0.9930555555555556</v>
      </c>
      <c r="I12" s="11">
        <f t="shared" si="6"/>
        <v>6.083333333</v>
      </c>
      <c r="J12" s="225">
        <v>17.75</v>
      </c>
      <c r="K12" s="165">
        <v>44.0</v>
      </c>
      <c r="L12" s="180">
        <v>42.7</v>
      </c>
      <c r="M12" s="180" t="s">
        <v>184</v>
      </c>
      <c r="N12" s="165">
        <v>3.0</v>
      </c>
      <c r="O12" s="165">
        <v>73.0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5">
        <v>1.0</v>
      </c>
      <c r="X12" s="165">
        <v>2.0</v>
      </c>
      <c r="Y12" s="165">
        <v>0.0</v>
      </c>
      <c r="Z12" s="166">
        <f t="shared" si="2"/>
        <v>76</v>
      </c>
      <c r="AA12" s="166">
        <f t="shared" si="5"/>
        <v>0</v>
      </c>
      <c r="AB12" s="167">
        <f t="shared" si="3"/>
        <v>76</v>
      </c>
      <c r="AC12" s="167">
        <f t="shared" si="4"/>
        <v>0</v>
      </c>
      <c r="AD12" s="15">
        <v>0.23</v>
      </c>
      <c r="AE12" s="18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</row>
    <row r="13">
      <c r="A13" s="5">
        <v>43508.0</v>
      </c>
      <c r="B13">
        <v>1733.0</v>
      </c>
      <c r="C13">
        <v>1804.0</v>
      </c>
      <c r="D13" s="165" t="str">
        <f t="shared" si="1"/>
        <v>Tom</v>
      </c>
      <c r="E13" s="228" t="s">
        <v>40</v>
      </c>
      <c r="F13" s="229">
        <v>0.75</v>
      </c>
      <c r="G13" s="230">
        <v>43508.0</v>
      </c>
      <c r="H13" s="229">
        <v>0.7604166666666666</v>
      </c>
      <c r="I13" s="11">
        <f t="shared" si="6"/>
        <v>0.25</v>
      </c>
      <c r="J13" s="226">
        <v>0.25</v>
      </c>
      <c r="K13" s="231">
        <v>42.0</v>
      </c>
      <c r="L13" s="232">
        <v>42.0</v>
      </c>
      <c r="M13" s="232" t="s">
        <v>185</v>
      </c>
      <c r="N13" s="160">
        <v>0.0</v>
      </c>
      <c r="O13" s="160">
        <v>0.0</v>
      </c>
      <c r="P13" s="160">
        <v>0.0</v>
      </c>
      <c r="Q13" s="160">
        <v>0.0</v>
      </c>
      <c r="R13" s="160">
        <v>0.0</v>
      </c>
      <c r="S13" s="160">
        <v>0.0</v>
      </c>
      <c r="T13" s="160">
        <v>0.0</v>
      </c>
      <c r="U13" s="160">
        <v>0.0</v>
      </c>
      <c r="V13" s="160">
        <v>0.0</v>
      </c>
      <c r="W13" s="160">
        <v>0.0</v>
      </c>
      <c r="X13" s="160">
        <v>0.0</v>
      </c>
      <c r="Y13" s="160">
        <v>0.0</v>
      </c>
      <c r="Z13" s="166">
        <f t="shared" si="2"/>
        <v>0</v>
      </c>
      <c r="AA13" s="166">
        <f t="shared" si="5"/>
        <v>0</v>
      </c>
      <c r="AB13" s="167">
        <f t="shared" si="3"/>
        <v>0</v>
      </c>
      <c r="AC13" s="167">
        <f t="shared" si="4"/>
        <v>0</v>
      </c>
      <c r="AD13" s="15">
        <v>0.31</v>
      </c>
      <c r="AE13" s="232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</row>
    <row r="14">
      <c r="A14" s="5">
        <v>43509.0</v>
      </c>
      <c r="B14">
        <v>1735.0</v>
      </c>
      <c r="C14">
        <v>1805.0</v>
      </c>
      <c r="D14" s="165" t="str">
        <f t="shared" si="1"/>
        <v>Sue/Anne</v>
      </c>
      <c r="E14" s="161" t="s">
        <v>33</v>
      </c>
      <c r="F14" s="184">
        <v>0.7291666666666666</v>
      </c>
      <c r="G14" s="163">
        <v>43509.0</v>
      </c>
      <c r="H14" s="184"/>
      <c r="I14" s="11">
        <f t="shared" si="6"/>
        <v>0</v>
      </c>
      <c r="J14" s="225"/>
      <c r="K14" s="165">
        <v>42.5</v>
      </c>
      <c r="L14" s="180"/>
      <c r="M14" s="180" t="s">
        <v>186</v>
      </c>
      <c r="N14" s="165">
        <v>0.0</v>
      </c>
      <c r="O14" s="165">
        <v>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5">
        <v>0.0</v>
      </c>
      <c r="X14" s="165">
        <v>0.0</v>
      </c>
      <c r="Y14" s="165">
        <v>0.0</v>
      </c>
      <c r="Z14" s="166">
        <f t="shared" si="2"/>
        <v>0</v>
      </c>
      <c r="AA14" s="166">
        <f t="shared" si="5"/>
        <v>0</v>
      </c>
      <c r="AB14" s="167">
        <f t="shared" si="3"/>
        <v>0</v>
      </c>
      <c r="AC14" s="167">
        <f t="shared" si="4"/>
        <v>0</v>
      </c>
      <c r="AD14" s="15">
        <v>0.41</v>
      </c>
      <c r="AE14" s="18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</row>
    <row r="15">
      <c r="A15" s="5">
        <v>43510.0</v>
      </c>
      <c r="B15">
        <v>1736.0</v>
      </c>
      <c r="C15">
        <v>1807.0</v>
      </c>
      <c r="D15" s="165" t="str">
        <f t="shared" si="1"/>
        <v>Shawn/Orems</v>
      </c>
      <c r="E15" s="169" t="s">
        <v>40</v>
      </c>
      <c r="F15" s="183">
        <v>0.75</v>
      </c>
      <c r="G15" s="171">
        <v>43510.0</v>
      </c>
      <c r="H15" s="183">
        <v>0.7534722222222222</v>
      </c>
      <c r="I15" s="11">
        <f t="shared" si="6"/>
        <v>0.08333333333</v>
      </c>
      <c r="J15" s="226"/>
      <c r="K15" s="160">
        <v>42.0</v>
      </c>
      <c r="L15" s="173">
        <v>42.0</v>
      </c>
      <c r="M15" s="173" t="s">
        <v>187</v>
      </c>
      <c r="N15" s="160">
        <v>0.0</v>
      </c>
      <c r="O15" s="160">
        <v>0.0</v>
      </c>
      <c r="P15" s="160">
        <v>0.0</v>
      </c>
      <c r="Q15" s="160">
        <v>0.0</v>
      </c>
      <c r="R15" s="160">
        <v>0.0</v>
      </c>
      <c r="S15" s="160">
        <v>0.0</v>
      </c>
      <c r="T15" s="160">
        <v>0.0</v>
      </c>
      <c r="U15" s="160">
        <v>0.0</v>
      </c>
      <c r="V15" s="160">
        <v>0.0</v>
      </c>
      <c r="W15" s="160">
        <v>0.0</v>
      </c>
      <c r="X15" s="160">
        <v>0.0</v>
      </c>
      <c r="Y15" s="160">
        <v>0.0</v>
      </c>
      <c r="Z15" s="166">
        <f t="shared" si="2"/>
        <v>0</v>
      </c>
      <c r="AA15" s="166">
        <f t="shared" si="5"/>
        <v>0</v>
      </c>
      <c r="AB15" s="167">
        <f t="shared" si="3"/>
        <v>0</v>
      </c>
      <c r="AC15" s="167">
        <f t="shared" si="4"/>
        <v>0</v>
      </c>
      <c r="AD15" s="15">
        <v>0.51</v>
      </c>
      <c r="AE15" s="173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  <c r="BK15" s="174"/>
      <c r="BL15" s="174"/>
      <c r="BM15" s="174"/>
      <c r="BN15" s="174"/>
    </row>
    <row r="16">
      <c r="A16" s="26">
        <v>43511.0</v>
      </c>
      <c r="B16">
        <v>1738.0</v>
      </c>
      <c r="C16">
        <v>1808.0</v>
      </c>
      <c r="D16" s="165" t="str">
        <f t="shared" si="1"/>
        <v>Jeff</v>
      </c>
      <c r="E16" s="202" t="s">
        <v>40</v>
      </c>
      <c r="F16" s="205">
        <v>0.75</v>
      </c>
      <c r="G16" s="204">
        <v>43511.0</v>
      </c>
      <c r="H16" s="205">
        <v>0.7986111111111112</v>
      </c>
      <c r="I16" s="11">
        <f t="shared" si="6"/>
        <v>1.166666667</v>
      </c>
      <c r="J16" s="234">
        <v>4.0</v>
      </c>
      <c r="K16" s="206">
        <v>42.0</v>
      </c>
      <c r="L16" s="235">
        <v>42.0</v>
      </c>
      <c r="M16" s="235" t="s">
        <v>188</v>
      </c>
      <c r="N16" s="206">
        <v>0.0</v>
      </c>
      <c r="O16" s="206">
        <v>0.0</v>
      </c>
      <c r="P16" s="206">
        <v>0.0</v>
      </c>
      <c r="Q16" s="206">
        <v>0.0</v>
      </c>
      <c r="R16" s="206">
        <v>0.0</v>
      </c>
      <c r="S16" s="206">
        <v>0.0</v>
      </c>
      <c r="T16" s="206">
        <v>0.0</v>
      </c>
      <c r="U16" s="206">
        <v>0.0</v>
      </c>
      <c r="V16" s="206">
        <v>0.0</v>
      </c>
      <c r="W16" s="206">
        <v>0.0</v>
      </c>
      <c r="X16" s="206">
        <v>0.0</v>
      </c>
      <c r="Y16" s="206">
        <v>0.0</v>
      </c>
      <c r="Z16" s="208">
        <f t="shared" si="2"/>
        <v>0</v>
      </c>
      <c r="AA16" s="208">
        <f t="shared" si="5"/>
        <v>0</v>
      </c>
      <c r="AB16" s="209">
        <f t="shared" si="3"/>
        <v>0</v>
      </c>
      <c r="AC16" s="209">
        <f t="shared" si="4"/>
        <v>0</v>
      </c>
      <c r="AD16" s="15">
        <v>0.61</v>
      </c>
      <c r="AE16" s="235" t="s">
        <v>189</v>
      </c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1"/>
      <c r="AR16" s="211"/>
      <c r="AS16" s="211"/>
      <c r="AT16" s="211"/>
      <c r="AU16" s="211"/>
      <c r="AV16" s="211"/>
      <c r="AW16" s="211"/>
      <c r="AX16" s="211"/>
      <c r="AY16" s="211"/>
      <c r="AZ16" s="211"/>
      <c r="BA16" s="211"/>
      <c r="BB16" s="211"/>
      <c r="BC16" s="211"/>
      <c r="BD16" s="211"/>
      <c r="BE16" s="211"/>
      <c r="BF16" s="211"/>
      <c r="BG16" s="211"/>
      <c r="BH16" s="211"/>
      <c r="BI16" s="211"/>
      <c r="BJ16" s="211"/>
      <c r="BK16" s="211"/>
      <c r="BL16" s="211"/>
      <c r="BM16" s="211"/>
      <c r="BN16" s="211"/>
    </row>
    <row r="17" ht="20.25" customHeight="1">
      <c r="A17" s="26">
        <v>43512.0</v>
      </c>
      <c r="B17">
        <v>1739.0</v>
      </c>
      <c r="C17">
        <v>1809.0</v>
      </c>
      <c r="D17" s="165" t="str">
        <f t="shared" si="1"/>
        <v>Rob</v>
      </c>
      <c r="E17" s="236" t="s">
        <v>46</v>
      </c>
      <c r="F17" s="237">
        <v>0.7395833333333334</v>
      </c>
      <c r="G17" s="238">
        <v>43512.0</v>
      </c>
      <c r="H17" s="237">
        <v>0.7708333333333334</v>
      </c>
      <c r="I17" s="11">
        <f t="shared" si="6"/>
        <v>0.75</v>
      </c>
      <c r="J17" s="239">
        <v>0.75</v>
      </c>
      <c r="K17" s="240">
        <v>40.0</v>
      </c>
      <c r="L17" s="241">
        <v>39.0</v>
      </c>
      <c r="M17" s="241" t="s">
        <v>190</v>
      </c>
      <c r="N17" s="240">
        <v>0.0</v>
      </c>
      <c r="O17" s="240">
        <v>0.0</v>
      </c>
      <c r="P17" s="240">
        <v>0.0</v>
      </c>
      <c r="Q17" s="240">
        <v>0.0</v>
      </c>
      <c r="R17" s="240">
        <v>0.0</v>
      </c>
      <c r="S17" s="240">
        <v>0.0</v>
      </c>
      <c r="T17" s="240">
        <v>0.0</v>
      </c>
      <c r="U17" s="240">
        <v>0.0</v>
      </c>
      <c r="V17" s="240">
        <v>0.0</v>
      </c>
      <c r="W17" s="240">
        <v>0.0</v>
      </c>
      <c r="X17" s="240">
        <v>0.0</v>
      </c>
      <c r="Y17" s="240">
        <v>0.0</v>
      </c>
      <c r="Z17" s="208">
        <f t="shared" si="2"/>
        <v>0</v>
      </c>
      <c r="AA17" s="208">
        <f t="shared" si="5"/>
        <v>0</v>
      </c>
      <c r="AB17" s="209">
        <f t="shared" si="3"/>
        <v>0</v>
      </c>
      <c r="AC17" s="209">
        <f t="shared" si="4"/>
        <v>0</v>
      </c>
      <c r="AD17" s="15">
        <v>0.71</v>
      </c>
      <c r="AE17" s="241"/>
      <c r="AF17" s="242"/>
      <c r="AG17" s="242"/>
      <c r="AH17" s="242"/>
      <c r="AI17" s="242"/>
      <c r="AJ17" s="242"/>
      <c r="AK17" s="242"/>
      <c r="AL17" s="242"/>
      <c r="AM17" s="242"/>
      <c r="AN17" s="242"/>
      <c r="AO17" s="242"/>
      <c r="AP17" s="242"/>
      <c r="AQ17" s="242"/>
      <c r="AR17" s="242"/>
      <c r="AS17" s="242"/>
      <c r="AT17" s="242"/>
      <c r="AU17" s="242"/>
      <c r="AV17" s="242"/>
      <c r="AW17" s="242"/>
      <c r="AX17" s="242"/>
      <c r="AY17" s="242"/>
      <c r="AZ17" s="242"/>
      <c r="BA17" s="242"/>
      <c r="BB17" s="242"/>
      <c r="BC17" s="242"/>
      <c r="BD17" s="242"/>
      <c r="BE17" s="242"/>
      <c r="BF17" s="242"/>
      <c r="BG17" s="242"/>
      <c r="BH17" s="242"/>
      <c r="BI17" s="242"/>
      <c r="BJ17" s="242"/>
      <c r="BK17" s="242"/>
      <c r="BL17" s="242"/>
      <c r="BM17" s="242"/>
      <c r="BN17" s="242"/>
    </row>
    <row r="18">
      <c r="A18" s="27">
        <v>43513.0</v>
      </c>
      <c r="B18">
        <v>1740.0</v>
      </c>
      <c r="C18">
        <v>1811.0</v>
      </c>
      <c r="D18" s="165" t="str">
        <f t="shared" si="1"/>
        <v>Fred/Phil</v>
      </c>
      <c r="E18" s="161"/>
      <c r="F18" s="184"/>
      <c r="G18" s="163">
        <v>43513.0</v>
      </c>
      <c r="H18" s="184"/>
      <c r="I18" s="11">
        <f t="shared" si="6"/>
        <v>0</v>
      </c>
      <c r="J18" s="225"/>
      <c r="K18" s="165"/>
      <c r="L18" s="180"/>
      <c r="M18" s="180"/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5">
        <v>0.0</v>
      </c>
      <c r="X18" s="165">
        <v>0.0</v>
      </c>
      <c r="Y18" s="165">
        <v>0.0</v>
      </c>
      <c r="Z18" s="166">
        <f t="shared" si="2"/>
        <v>0</v>
      </c>
      <c r="AA18" s="166">
        <f t="shared" si="5"/>
        <v>0</v>
      </c>
      <c r="AB18" s="167">
        <f t="shared" si="3"/>
        <v>0</v>
      </c>
      <c r="AC18" s="167">
        <f t="shared" si="4"/>
        <v>0</v>
      </c>
      <c r="AD18" s="15">
        <v>0.8</v>
      </c>
      <c r="AE18" s="18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</row>
    <row r="19">
      <c r="A19" s="27">
        <v>43514.0</v>
      </c>
      <c r="B19">
        <v>1742.0</v>
      </c>
      <c r="C19">
        <v>1812.0</v>
      </c>
      <c r="D19" s="165" t="str">
        <f t="shared" si="1"/>
        <v>Jane/Murr</v>
      </c>
      <c r="E19" s="228" t="s">
        <v>33</v>
      </c>
      <c r="F19" s="243">
        <v>0.75</v>
      </c>
      <c r="G19" s="230">
        <v>43514.0</v>
      </c>
      <c r="H19" s="229">
        <v>0.8125</v>
      </c>
      <c r="I19" s="11">
        <f t="shared" si="6"/>
        <v>1.5</v>
      </c>
      <c r="J19" s="226"/>
      <c r="K19" s="231">
        <v>41.0</v>
      </c>
      <c r="L19" s="232">
        <v>39.0</v>
      </c>
      <c r="M19" s="232" t="s">
        <v>191</v>
      </c>
      <c r="N19" s="160">
        <v>0.0</v>
      </c>
      <c r="O19" s="160">
        <v>0.0</v>
      </c>
      <c r="P19" s="160">
        <v>0.0</v>
      </c>
      <c r="Q19" s="160">
        <v>0.0</v>
      </c>
      <c r="R19" s="160">
        <v>0.0</v>
      </c>
      <c r="S19" s="160">
        <v>0.0</v>
      </c>
      <c r="T19" s="160">
        <v>0.0</v>
      </c>
      <c r="U19" s="160">
        <v>0.0</v>
      </c>
      <c r="V19" s="160">
        <v>0.0</v>
      </c>
      <c r="W19" s="160">
        <v>0.0</v>
      </c>
      <c r="X19" s="160">
        <v>0.0</v>
      </c>
      <c r="Y19" s="160">
        <v>0.0</v>
      </c>
      <c r="Z19" s="166">
        <f t="shared" si="2"/>
        <v>0</v>
      </c>
      <c r="AA19" s="166">
        <f t="shared" si="5"/>
        <v>0</v>
      </c>
      <c r="AB19" s="167">
        <f t="shared" si="3"/>
        <v>0</v>
      </c>
      <c r="AC19" s="167">
        <f t="shared" si="4"/>
        <v>0</v>
      </c>
      <c r="AD19" s="15">
        <v>0.88</v>
      </c>
      <c r="AE19" s="232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  <c r="AY19" s="233"/>
      <c r="AZ19" s="233"/>
      <c r="BA19" s="233"/>
      <c r="BB19" s="233"/>
      <c r="BC19" s="233"/>
      <c r="BD19" s="233"/>
      <c r="BE19" s="233"/>
      <c r="BF19" s="233"/>
      <c r="BG19" s="233"/>
      <c r="BH19" s="233"/>
      <c r="BI19" s="233"/>
      <c r="BJ19" s="233"/>
      <c r="BK19" s="233"/>
      <c r="BL19" s="233"/>
      <c r="BM19" s="233"/>
      <c r="BN19" s="233"/>
    </row>
    <row r="20">
      <c r="A20" s="27">
        <v>43515.0</v>
      </c>
      <c r="B20">
        <v>1743.0</v>
      </c>
      <c r="C20">
        <v>1814.0</v>
      </c>
      <c r="D20" s="165" t="str">
        <f t="shared" si="1"/>
        <v>Tom</v>
      </c>
      <c r="E20" s="161" t="s">
        <v>40</v>
      </c>
      <c r="F20" s="184">
        <v>0.75</v>
      </c>
      <c r="G20" s="163">
        <v>43515.0</v>
      </c>
      <c r="H20" s="184">
        <v>0.9375</v>
      </c>
      <c r="I20" s="11">
        <f t="shared" si="6"/>
        <v>4.5</v>
      </c>
      <c r="J20" s="225">
        <v>15.75</v>
      </c>
      <c r="K20" s="165">
        <v>42.0</v>
      </c>
      <c r="L20" s="180">
        <v>41.0</v>
      </c>
      <c r="M20" s="180" t="s">
        <v>192</v>
      </c>
      <c r="N20" s="165">
        <v>7.0</v>
      </c>
      <c r="O20" s="165">
        <v>73.0</v>
      </c>
      <c r="P20" s="165">
        <v>0.0</v>
      </c>
      <c r="Q20" s="165">
        <v>1.0</v>
      </c>
      <c r="R20" s="165">
        <v>0.0</v>
      </c>
      <c r="S20" s="165">
        <v>0.0</v>
      </c>
      <c r="T20" s="165">
        <v>0.0</v>
      </c>
      <c r="U20" s="165">
        <v>0.0</v>
      </c>
      <c r="V20" s="165">
        <v>0.0</v>
      </c>
      <c r="W20" s="165">
        <v>0.0</v>
      </c>
      <c r="X20" s="165">
        <v>0.0</v>
      </c>
      <c r="Y20" s="165">
        <v>3.0</v>
      </c>
      <c r="Z20" s="166">
        <f t="shared" si="2"/>
        <v>81</v>
      </c>
      <c r="AA20" s="166">
        <f t="shared" si="5"/>
        <v>0</v>
      </c>
      <c r="AB20" s="167">
        <f t="shared" si="3"/>
        <v>80</v>
      </c>
      <c r="AC20" s="167">
        <f t="shared" si="4"/>
        <v>0</v>
      </c>
      <c r="AD20" s="15">
        <v>0.95</v>
      </c>
      <c r="AE20" s="180" t="s">
        <v>193</v>
      </c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</row>
    <row r="21">
      <c r="A21" s="30">
        <v>43516.0</v>
      </c>
      <c r="B21">
        <v>1745.0</v>
      </c>
      <c r="C21">
        <v>1815.0</v>
      </c>
      <c r="D21" s="165" t="str">
        <f t="shared" si="1"/>
        <v>Sue/Anne</v>
      </c>
      <c r="E21" s="169" t="s">
        <v>40</v>
      </c>
      <c r="F21" s="181">
        <v>0.75</v>
      </c>
      <c r="G21" s="171">
        <v>43516.0</v>
      </c>
      <c r="H21" s="183">
        <v>0.7534722222222222</v>
      </c>
      <c r="I21" s="11">
        <f t="shared" si="6"/>
        <v>0.08333333333</v>
      </c>
      <c r="J21" s="226"/>
      <c r="K21" s="160">
        <v>38.0</v>
      </c>
      <c r="L21" s="173"/>
      <c r="M21" s="173" t="s">
        <v>194</v>
      </c>
      <c r="N21" s="160">
        <v>0.0</v>
      </c>
      <c r="O21" s="160">
        <v>0.0</v>
      </c>
      <c r="P21" s="160">
        <v>0.0</v>
      </c>
      <c r="Q21" s="160">
        <v>0.0</v>
      </c>
      <c r="R21" s="160">
        <v>0.0</v>
      </c>
      <c r="S21" s="160">
        <v>0.0</v>
      </c>
      <c r="T21" s="160">
        <v>0.0</v>
      </c>
      <c r="U21" s="160">
        <v>0.0</v>
      </c>
      <c r="V21" s="160">
        <v>0.0</v>
      </c>
      <c r="W21" s="160">
        <v>0.0</v>
      </c>
      <c r="X21" s="160">
        <v>0.0</v>
      </c>
      <c r="Y21" s="160">
        <v>0.0</v>
      </c>
      <c r="Z21" s="166">
        <f t="shared" si="2"/>
        <v>0</v>
      </c>
      <c r="AA21" s="166">
        <f t="shared" si="5"/>
        <v>0</v>
      </c>
      <c r="AB21" s="167">
        <f t="shared" si="3"/>
        <v>0</v>
      </c>
      <c r="AC21" s="167">
        <f t="shared" si="4"/>
        <v>0</v>
      </c>
      <c r="AD21" s="15">
        <v>0.99</v>
      </c>
      <c r="AE21" s="173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</row>
    <row r="22">
      <c r="A22" s="30">
        <v>43517.0</v>
      </c>
      <c r="B22">
        <v>1746.0</v>
      </c>
      <c r="C22">
        <v>1816.0</v>
      </c>
      <c r="D22" s="165" t="str">
        <f t="shared" si="1"/>
        <v>Shawn/Orems</v>
      </c>
      <c r="E22" s="161" t="s">
        <v>33</v>
      </c>
      <c r="F22" s="184">
        <v>0.75</v>
      </c>
      <c r="G22" s="163">
        <v>43517.0</v>
      </c>
      <c r="H22" s="184">
        <v>0.75</v>
      </c>
      <c r="I22" s="11">
        <f t="shared" si="6"/>
        <v>0</v>
      </c>
      <c r="J22" s="225"/>
      <c r="K22" s="165">
        <v>40.0</v>
      </c>
      <c r="L22" s="180"/>
      <c r="M22" s="180" t="s">
        <v>144</v>
      </c>
      <c r="N22" s="165">
        <v>0.0</v>
      </c>
      <c r="O22" s="165">
        <v>0.0</v>
      </c>
      <c r="P22" s="165">
        <v>0.0</v>
      </c>
      <c r="Q22" s="165">
        <v>0.0</v>
      </c>
      <c r="R22" s="165">
        <v>0.0</v>
      </c>
      <c r="S22" s="165">
        <v>0.0</v>
      </c>
      <c r="T22" s="165">
        <v>0.0</v>
      </c>
      <c r="U22" s="165">
        <v>0.0</v>
      </c>
      <c r="V22" s="165">
        <v>0.0</v>
      </c>
      <c r="W22" s="165">
        <v>0.0</v>
      </c>
      <c r="X22" s="165">
        <v>0.0</v>
      </c>
      <c r="Y22" s="165">
        <v>0.0</v>
      </c>
      <c r="Z22" s="166">
        <f t="shared" si="2"/>
        <v>0</v>
      </c>
      <c r="AA22" s="166">
        <f t="shared" si="5"/>
        <v>0</v>
      </c>
      <c r="AB22" s="167">
        <f t="shared" si="3"/>
        <v>0</v>
      </c>
      <c r="AC22" s="167">
        <f t="shared" si="4"/>
        <v>0</v>
      </c>
      <c r="AD22" s="15">
        <v>1.0</v>
      </c>
      <c r="AE22" s="18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</row>
    <row r="23">
      <c r="A23" s="30">
        <v>43518.0</v>
      </c>
      <c r="B23">
        <v>1748.0</v>
      </c>
      <c r="C23">
        <v>1818.0</v>
      </c>
      <c r="D23" s="165" t="str">
        <f t="shared" si="1"/>
        <v>Jeff</v>
      </c>
      <c r="E23" s="169" t="s">
        <v>40</v>
      </c>
      <c r="F23" s="181">
        <v>0.7083333333333334</v>
      </c>
      <c r="G23" s="171">
        <v>43518.0</v>
      </c>
      <c r="H23" s="183">
        <v>0.875</v>
      </c>
      <c r="I23" s="11">
        <f t="shared" si="6"/>
        <v>4</v>
      </c>
      <c r="J23" s="226">
        <v>9.0</v>
      </c>
      <c r="K23" s="160">
        <v>40.0</v>
      </c>
      <c r="L23" s="173">
        <v>39.0</v>
      </c>
      <c r="M23" s="173" t="s">
        <v>195</v>
      </c>
      <c r="N23" s="160">
        <v>0.0</v>
      </c>
      <c r="O23" s="160">
        <v>1.0</v>
      </c>
      <c r="P23" s="160">
        <v>0.0</v>
      </c>
      <c r="Q23" s="160">
        <v>0.0</v>
      </c>
      <c r="R23" s="160">
        <v>0.0</v>
      </c>
      <c r="S23" s="160">
        <v>0.0</v>
      </c>
      <c r="T23" s="160">
        <v>0.0</v>
      </c>
      <c r="U23" s="160">
        <v>0.0</v>
      </c>
      <c r="V23" s="160">
        <v>0.0</v>
      </c>
      <c r="W23" s="160">
        <v>0.0</v>
      </c>
      <c r="X23" s="160">
        <v>0.0</v>
      </c>
      <c r="Y23" s="160">
        <v>0.0</v>
      </c>
      <c r="Z23" s="166">
        <f t="shared" si="2"/>
        <v>1</v>
      </c>
      <c r="AA23" s="166">
        <f t="shared" si="5"/>
        <v>0</v>
      </c>
      <c r="AB23" s="167">
        <f t="shared" si="3"/>
        <v>1</v>
      </c>
      <c r="AC23" s="167">
        <f t="shared" si="4"/>
        <v>0</v>
      </c>
      <c r="AD23" s="15">
        <v>0.98</v>
      </c>
      <c r="AE23" s="173" t="s">
        <v>196</v>
      </c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</row>
    <row r="24">
      <c r="A24" s="27">
        <v>43519.0</v>
      </c>
      <c r="B24">
        <v>1749.0</v>
      </c>
      <c r="C24">
        <v>1819.0</v>
      </c>
      <c r="D24" s="165" t="str">
        <f t="shared" si="1"/>
        <v>Rob</v>
      </c>
      <c r="E24" s="161" t="s">
        <v>46</v>
      </c>
      <c r="F24" s="184">
        <v>0.7395833333333334</v>
      </c>
      <c r="G24" s="163">
        <v>43519.0</v>
      </c>
      <c r="H24" s="184">
        <v>0.7916666666666666</v>
      </c>
      <c r="I24" s="11">
        <f t="shared" si="6"/>
        <v>1.25</v>
      </c>
      <c r="J24" s="225">
        <v>1.25</v>
      </c>
      <c r="K24" s="165">
        <v>41.0</v>
      </c>
      <c r="L24" s="180">
        <v>42.0</v>
      </c>
      <c r="M24" s="180"/>
      <c r="N24" s="165">
        <v>0.0</v>
      </c>
      <c r="O24" s="165">
        <v>0.0</v>
      </c>
      <c r="P24" s="165">
        <v>0.0</v>
      </c>
      <c r="Q24" s="165">
        <v>0.0</v>
      </c>
      <c r="R24" s="165">
        <v>0.0</v>
      </c>
      <c r="S24" s="165">
        <v>0.0</v>
      </c>
      <c r="T24" s="165">
        <v>0.0</v>
      </c>
      <c r="U24" s="165">
        <v>0.0</v>
      </c>
      <c r="V24" s="165">
        <v>0.0</v>
      </c>
      <c r="W24" s="165">
        <v>0.0</v>
      </c>
      <c r="X24" s="165">
        <v>0.0</v>
      </c>
      <c r="Y24" s="165">
        <v>0.0</v>
      </c>
      <c r="Z24" s="166">
        <f t="shared" si="2"/>
        <v>0</v>
      </c>
      <c r="AA24" s="166">
        <f t="shared" si="5"/>
        <v>0</v>
      </c>
      <c r="AB24" s="167">
        <f t="shared" si="3"/>
        <v>0</v>
      </c>
      <c r="AC24" s="167">
        <f t="shared" si="4"/>
        <v>0</v>
      </c>
      <c r="AD24" s="15">
        <v>0.93</v>
      </c>
      <c r="AE24" s="18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</row>
    <row r="25">
      <c r="A25" s="27">
        <v>43520.0</v>
      </c>
      <c r="B25">
        <v>1750.0</v>
      </c>
      <c r="C25">
        <v>1820.0</v>
      </c>
      <c r="D25" s="165" t="str">
        <f t="shared" si="1"/>
        <v>Fred/Phil</v>
      </c>
      <c r="E25" s="169" t="s">
        <v>40</v>
      </c>
      <c r="F25" s="183">
        <v>0.7083333333333334</v>
      </c>
      <c r="G25" s="171">
        <v>43520.0</v>
      </c>
      <c r="H25" s="183">
        <v>0.75</v>
      </c>
      <c r="I25" s="11">
        <f t="shared" si="6"/>
        <v>1</v>
      </c>
      <c r="J25" s="244">
        <v>0.041666666666666664</v>
      </c>
      <c r="K25" s="160">
        <v>39.0</v>
      </c>
      <c r="L25" s="173">
        <v>38.0</v>
      </c>
      <c r="M25" s="173" t="s">
        <v>197</v>
      </c>
      <c r="N25" s="160">
        <v>0.0</v>
      </c>
      <c r="O25" s="160">
        <v>0.0</v>
      </c>
      <c r="P25" s="160">
        <v>0.0</v>
      </c>
      <c r="Q25" s="160">
        <v>0.0</v>
      </c>
      <c r="R25" s="160">
        <v>0.0</v>
      </c>
      <c r="S25" s="160">
        <v>0.0</v>
      </c>
      <c r="T25" s="160">
        <v>0.0</v>
      </c>
      <c r="U25" s="160">
        <v>0.0</v>
      </c>
      <c r="V25" s="160">
        <v>0.0</v>
      </c>
      <c r="W25" s="160">
        <v>0.0</v>
      </c>
      <c r="X25" s="160">
        <v>0.0</v>
      </c>
      <c r="Y25" s="160">
        <v>0.0</v>
      </c>
      <c r="Z25" s="166">
        <f t="shared" si="2"/>
        <v>0</v>
      </c>
      <c r="AA25" s="166">
        <f t="shared" si="5"/>
        <v>0</v>
      </c>
      <c r="AB25" s="167">
        <f t="shared" si="3"/>
        <v>0</v>
      </c>
      <c r="AC25" s="167">
        <f t="shared" si="4"/>
        <v>0</v>
      </c>
      <c r="AD25" s="15">
        <v>0.86</v>
      </c>
      <c r="AE25" s="173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4"/>
      <c r="BA25" s="174"/>
      <c r="BB25" s="174"/>
      <c r="BC25" s="174"/>
      <c r="BD25" s="174"/>
      <c r="BE25" s="174"/>
      <c r="BF25" s="174"/>
      <c r="BG25" s="174"/>
      <c r="BH25" s="174"/>
      <c r="BI25" s="174"/>
      <c r="BJ25" s="174"/>
      <c r="BK25" s="174"/>
      <c r="BL25" s="174"/>
      <c r="BM25" s="174"/>
      <c r="BN25" s="174"/>
    </row>
    <row r="26">
      <c r="A26" s="27">
        <v>43521.0</v>
      </c>
      <c r="B26">
        <v>1752.0</v>
      </c>
      <c r="C26">
        <v>1822.0</v>
      </c>
      <c r="D26" s="165" t="str">
        <f t="shared" si="1"/>
        <v>Jane/Murr</v>
      </c>
      <c r="E26" s="161" t="s">
        <v>33</v>
      </c>
      <c r="F26" s="184">
        <v>0.75</v>
      </c>
      <c r="G26" s="163">
        <v>43521.0</v>
      </c>
      <c r="H26" s="184"/>
      <c r="I26" s="11">
        <f t="shared" si="6"/>
        <v>0</v>
      </c>
      <c r="J26" s="225"/>
      <c r="K26" s="165">
        <v>33.0</v>
      </c>
      <c r="L26" s="180">
        <v>33.0</v>
      </c>
      <c r="M26" s="180" t="s">
        <v>198</v>
      </c>
      <c r="N26" s="165">
        <v>0.0</v>
      </c>
      <c r="O26" s="165">
        <v>0.0</v>
      </c>
      <c r="P26" s="165">
        <v>0.0</v>
      </c>
      <c r="Q26" s="165">
        <v>0.0</v>
      </c>
      <c r="R26" s="165">
        <v>0.0</v>
      </c>
      <c r="S26" s="165">
        <v>0.0</v>
      </c>
      <c r="T26" s="165">
        <v>0.0</v>
      </c>
      <c r="U26" s="165">
        <v>0.0</v>
      </c>
      <c r="V26" s="165">
        <v>0.0</v>
      </c>
      <c r="W26" s="165">
        <v>0.0</v>
      </c>
      <c r="X26" s="165">
        <v>0.0</v>
      </c>
      <c r="Y26" s="165">
        <v>0.0</v>
      </c>
      <c r="Z26" s="166">
        <f t="shared" si="2"/>
        <v>0</v>
      </c>
      <c r="AA26" s="166">
        <f t="shared" si="5"/>
        <v>0</v>
      </c>
      <c r="AB26" s="167">
        <f t="shared" si="3"/>
        <v>0</v>
      </c>
      <c r="AC26" s="167">
        <f t="shared" si="4"/>
        <v>0</v>
      </c>
      <c r="AD26" s="15">
        <v>0.77</v>
      </c>
      <c r="AE26" s="18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</row>
    <row r="27">
      <c r="A27" s="26">
        <v>43522.0</v>
      </c>
      <c r="B27">
        <v>1753.0</v>
      </c>
      <c r="C27">
        <v>1823.0</v>
      </c>
      <c r="D27" s="165" t="str">
        <f t="shared" si="1"/>
        <v>Tom</v>
      </c>
      <c r="E27" s="169"/>
      <c r="F27" s="183"/>
      <c r="G27" s="171">
        <v>43522.0</v>
      </c>
      <c r="H27" s="183"/>
      <c r="I27" s="11">
        <f t="shared" si="6"/>
        <v>0</v>
      </c>
      <c r="J27" s="226"/>
      <c r="K27" s="160"/>
      <c r="L27" s="173"/>
      <c r="M27" s="173"/>
      <c r="N27" s="160">
        <v>0.0</v>
      </c>
      <c r="O27" s="160">
        <v>0.0</v>
      </c>
      <c r="P27" s="160">
        <v>0.0</v>
      </c>
      <c r="Q27" s="160">
        <v>0.0</v>
      </c>
      <c r="R27" s="160">
        <v>0.0</v>
      </c>
      <c r="S27" s="160">
        <v>0.0</v>
      </c>
      <c r="T27" s="160">
        <v>0.0</v>
      </c>
      <c r="U27" s="160">
        <v>0.0</v>
      </c>
      <c r="V27" s="160">
        <v>0.0</v>
      </c>
      <c r="W27" s="160">
        <v>0.0</v>
      </c>
      <c r="X27" s="160">
        <v>0.0</v>
      </c>
      <c r="Y27" s="160">
        <v>0.0</v>
      </c>
      <c r="Z27" s="166">
        <f t="shared" si="2"/>
        <v>0</v>
      </c>
      <c r="AA27" s="166">
        <f t="shared" si="5"/>
        <v>0</v>
      </c>
      <c r="AB27" s="167">
        <f t="shared" si="3"/>
        <v>0</v>
      </c>
      <c r="AC27" s="167">
        <f t="shared" si="4"/>
        <v>0</v>
      </c>
      <c r="AD27" s="15">
        <v>0.67</v>
      </c>
      <c r="AE27" s="173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74"/>
      <c r="BB27" s="174"/>
      <c r="BC27" s="174"/>
      <c r="BD27" s="174"/>
      <c r="BE27" s="174"/>
      <c r="BF27" s="174"/>
      <c r="BG27" s="174"/>
      <c r="BH27" s="174"/>
      <c r="BI27" s="174"/>
      <c r="BJ27" s="174"/>
      <c r="BK27" s="174"/>
      <c r="BL27" s="174"/>
      <c r="BM27" s="174"/>
      <c r="BN27" s="174"/>
    </row>
    <row r="28">
      <c r="A28" s="26">
        <v>43523.0</v>
      </c>
      <c r="B28">
        <v>1755.0</v>
      </c>
      <c r="C28">
        <v>1824.0</v>
      </c>
      <c r="D28" s="165" t="str">
        <f t="shared" si="1"/>
        <v>Sue/Anne</v>
      </c>
      <c r="E28" s="161" t="s">
        <v>199</v>
      </c>
      <c r="F28" s="184"/>
      <c r="G28" s="163">
        <v>43523.0</v>
      </c>
      <c r="H28" s="162"/>
      <c r="I28" s="11">
        <f t="shared" si="6"/>
        <v>0</v>
      </c>
      <c r="J28" s="225"/>
      <c r="K28" s="165">
        <v>34.0</v>
      </c>
      <c r="L28" s="180"/>
      <c r="M28" s="180" t="s">
        <v>35</v>
      </c>
      <c r="N28" s="165">
        <v>0.0</v>
      </c>
      <c r="O28" s="165">
        <v>0.0</v>
      </c>
      <c r="P28" s="165">
        <v>0.0</v>
      </c>
      <c r="Q28" s="165">
        <v>0.0</v>
      </c>
      <c r="R28" s="165">
        <v>0.0</v>
      </c>
      <c r="S28" s="165">
        <v>0.0</v>
      </c>
      <c r="T28" s="165">
        <v>0.0</v>
      </c>
      <c r="U28" s="165">
        <v>0.0</v>
      </c>
      <c r="V28" s="165">
        <v>0.0</v>
      </c>
      <c r="W28" s="165">
        <v>0.0</v>
      </c>
      <c r="X28" s="165">
        <v>0.0</v>
      </c>
      <c r="Y28" s="165">
        <v>0.0</v>
      </c>
      <c r="Z28" s="166">
        <f t="shared" si="2"/>
        <v>0</v>
      </c>
      <c r="AA28" s="166">
        <f t="shared" si="5"/>
        <v>0</v>
      </c>
      <c r="AB28" s="167">
        <f t="shared" si="3"/>
        <v>0</v>
      </c>
      <c r="AC28" s="167">
        <f t="shared" si="4"/>
        <v>0</v>
      </c>
      <c r="AD28" s="15">
        <v>0.56</v>
      </c>
      <c r="AE28" s="168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</row>
    <row r="29">
      <c r="A29" s="26">
        <v>43524.0</v>
      </c>
      <c r="B29">
        <v>1756.0</v>
      </c>
      <c r="C29">
        <v>1826.0</v>
      </c>
      <c r="D29" s="165" t="str">
        <f t="shared" si="1"/>
        <v>Shawn/Orems</v>
      </c>
      <c r="E29" s="169" t="s">
        <v>40</v>
      </c>
      <c r="F29" s="183">
        <v>0.7569444444444444</v>
      </c>
      <c r="G29" s="171">
        <v>43524.0</v>
      </c>
      <c r="H29" s="181">
        <v>0.7777777777777778</v>
      </c>
      <c r="I29" s="11">
        <f t="shared" si="6"/>
        <v>0.5</v>
      </c>
      <c r="J29" s="226">
        <v>1.5</v>
      </c>
      <c r="K29" s="160">
        <v>40.0</v>
      </c>
      <c r="L29" s="173">
        <v>38.0</v>
      </c>
      <c r="M29" s="173" t="s">
        <v>200</v>
      </c>
      <c r="N29" s="160">
        <v>0.0</v>
      </c>
      <c r="O29" s="160">
        <v>0.0</v>
      </c>
      <c r="P29" s="160">
        <v>0.0</v>
      </c>
      <c r="Q29" s="160">
        <v>0.0</v>
      </c>
      <c r="R29" s="160">
        <v>0.0</v>
      </c>
      <c r="S29" s="160">
        <v>0.0</v>
      </c>
      <c r="T29" s="160">
        <v>0.0</v>
      </c>
      <c r="U29" s="160">
        <v>0.0</v>
      </c>
      <c r="V29" s="160">
        <v>0.0</v>
      </c>
      <c r="W29" s="160">
        <v>0.0</v>
      </c>
      <c r="X29" s="160">
        <v>0.0</v>
      </c>
      <c r="Y29" s="160">
        <v>0.0</v>
      </c>
      <c r="Z29" s="166">
        <f t="shared" si="2"/>
        <v>0</v>
      </c>
      <c r="AA29" s="166">
        <f t="shared" si="5"/>
        <v>0</v>
      </c>
      <c r="AB29" s="167">
        <f t="shared" si="3"/>
        <v>0</v>
      </c>
      <c r="AC29" s="167">
        <f t="shared" si="4"/>
        <v>0</v>
      </c>
      <c r="AD29" s="15">
        <v>0.45</v>
      </c>
      <c r="AE29" s="173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  <c r="BA29" s="174"/>
      <c r="BB29" s="174"/>
      <c r="BC29" s="174"/>
      <c r="BD29" s="174"/>
      <c r="BE29" s="174"/>
      <c r="BF29" s="174"/>
      <c r="BG29" s="174"/>
      <c r="BH29" s="174"/>
      <c r="BI29" s="174"/>
      <c r="BJ29" s="174"/>
      <c r="BK29" s="174"/>
      <c r="BL29" s="174"/>
      <c r="BM29" s="174"/>
      <c r="BN29" s="174"/>
    </row>
    <row r="30">
      <c r="A30" s="245"/>
      <c r="B30" t="s">
        <v>111</v>
      </c>
      <c r="C30" t="s">
        <v>111</v>
      </c>
      <c r="D30" s="7"/>
      <c r="E30" s="8"/>
      <c r="F30" s="24"/>
      <c r="G30" s="24"/>
      <c r="H30" s="24"/>
      <c r="I30" s="246"/>
      <c r="J30" s="69"/>
      <c r="K30" s="7"/>
      <c r="L30" s="68"/>
      <c r="M30" s="68"/>
      <c r="N30" s="160" t="s">
        <v>112</v>
      </c>
      <c r="O30" s="160" t="s">
        <v>112</v>
      </c>
      <c r="P30" s="160" t="s">
        <v>112</v>
      </c>
      <c r="Q30" s="160" t="s">
        <v>112</v>
      </c>
      <c r="R30" s="160" t="s">
        <v>112</v>
      </c>
      <c r="S30" s="160" t="s">
        <v>112</v>
      </c>
      <c r="T30" s="160" t="s">
        <v>112</v>
      </c>
      <c r="U30" s="160" t="s">
        <v>112</v>
      </c>
      <c r="V30" s="160" t="s">
        <v>112</v>
      </c>
      <c r="W30" s="160" t="s">
        <v>112</v>
      </c>
      <c r="X30" s="160" t="s">
        <v>112</v>
      </c>
      <c r="Y30" s="160" t="s">
        <v>112</v>
      </c>
      <c r="Z30" s="166" t="s">
        <v>112</v>
      </c>
      <c r="AA30" s="166" t="s">
        <v>112</v>
      </c>
      <c r="AB30" s="166" t="s">
        <v>112</v>
      </c>
      <c r="AC30" s="166" t="s">
        <v>112</v>
      </c>
      <c r="AD30" s="247"/>
      <c r="AE30" s="91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</row>
    <row r="31">
      <c r="A31" s="245"/>
      <c r="B31" t="s">
        <v>111</v>
      </c>
      <c r="C31" t="s">
        <v>111</v>
      </c>
      <c r="D31" s="174"/>
      <c r="E31" s="174"/>
      <c r="F31" s="174"/>
      <c r="G31" s="174"/>
      <c r="H31" s="174"/>
      <c r="I31" s="246"/>
      <c r="J31" s="174"/>
      <c r="K31" s="174"/>
      <c r="L31" s="177"/>
      <c r="M31" s="174"/>
      <c r="N31" s="160" t="s">
        <v>112</v>
      </c>
      <c r="O31" s="160" t="s">
        <v>112</v>
      </c>
      <c r="P31" s="160" t="s">
        <v>112</v>
      </c>
      <c r="Q31" s="160" t="s">
        <v>112</v>
      </c>
      <c r="R31" s="160" t="s">
        <v>112</v>
      </c>
      <c r="S31" s="160" t="s">
        <v>112</v>
      </c>
      <c r="T31" s="160" t="s">
        <v>112</v>
      </c>
      <c r="U31" s="160" t="s">
        <v>112</v>
      </c>
      <c r="V31" s="160" t="s">
        <v>112</v>
      </c>
      <c r="W31" s="160" t="s">
        <v>112</v>
      </c>
      <c r="X31" s="160" t="s">
        <v>112</v>
      </c>
      <c r="Y31" s="160" t="s">
        <v>112</v>
      </c>
      <c r="Z31" s="166" t="s">
        <v>112</v>
      </c>
      <c r="AA31" s="166" t="s">
        <v>112</v>
      </c>
      <c r="AB31" s="166" t="s">
        <v>112</v>
      </c>
      <c r="AC31" s="166" t="s">
        <v>112</v>
      </c>
      <c r="AD31" s="247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4"/>
      <c r="BD31" s="174"/>
      <c r="BE31" s="174"/>
      <c r="BF31" s="174"/>
      <c r="BG31" s="174"/>
      <c r="BH31" s="174"/>
      <c r="BI31" s="174"/>
      <c r="BJ31" s="174"/>
      <c r="BK31" s="174"/>
      <c r="BL31" s="174"/>
      <c r="BM31" s="174"/>
      <c r="BN31" s="174"/>
    </row>
    <row r="32">
      <c r="A32" s="245"/>
      <c r="B32" t="s">
        <v>111</v>
      </c>
      <c r="C32" t="s">
        <v>111</v>
      </c>
      <c r="D32" s="50"/>
      <c r="E32" s="50"/>
      <c r="F32" s="50"/>
      <c r="G32" s="50"/>
      <c r="H32" s="50"/>
      <c r="I32" s="246"/>
      <c r="J32" s="50"/>
      <c r="K32" s="50"/>
      <c r="L32" s="168"/>
      <c r="M32" s="50"/>
      <c r="N32" s="66" t="s">
        <v>112</v>
      </c>
      <c r="O32" s="66" t="s">
        <v>112</v>
      </c>
      <c r="P32" s="66" t="s">
        <v>112</v>
      </c>
      <c r="Q32" s="66" t="s">
        <v>112</v>
      </c>
      <c r="R32" s="66" t="s">
        <v>112</v>
      </c>
      <c r="S32" s="66" t="s">
        <v>112</v>
      </c>
      <c r="T32" s="66" t="s">
        <v>112</v>
      </c>
      <c r="U32" s="66" t="s">
        <v>112</v>
      </c>
      <c r="V32" s="66" t="s">
        <v>112</v>
      </c>
      <c r="W32" s="66" t="s">
        <v>112</v>
      </c>
      <c r="X32" s="66" t="s">
        <v>112</v>
      </c>
      <c r="Y32" s="66" t="s">
        <v>112</v>
      </c>
      <c r="Z32" s="166" t="s">
        <v>112</v>
      </c>
      <c r="AA32" s="166" t="s">
        <v>112</v>
      </c>
      <c r="AB32" s="166" t="s">
        <v>112</v>
      </c>
      <c r="AC32" s="166" t="s">
        <v>112</v>
      </c>
      <c r="AD32" s="247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</row>
    <row r="33">
      <c r="A33" s="50"/>
      <c r="D33" s="50"/>
      <c r="E33" s="33" t="s">
        <v>66</v>
      </c>
      <c r="F33" s="32"/>
      <c r="I33" s="35">
        <f>SUM(I3:I32)</f>
        <v>22.62</v>
      </c>
      <c r="J33" s="35">
        <f>SUM(J2:J29)</f>
        <v>80.08166667</v>
      </c>
      <c r="K33" s="50"/>
      <c r="L33" s="168"/>
      <c r="M33" s="180"/>
      <c r="N33" s="248">
        <f t="shared" ref="N33:AA33" si="7">SUM(N2:N29)</f>
        <v>13</v>
      </c>
      <c r="O33" s="248">
        <f t="shared" si="7"/>
        <v>171</v>
      </c>
      <c r="P33" s="248">
        <f t="shared" si="7"/>
        <v>1</v>
      </c>
      <c r="Q33" s="248">
        <f t="shared" si="7"/>
        <v>3</v>
      </c>
      <c r="R33" s="248">
        <f t="shared" si="7"/>
        <v>0</v>
      </c>
      <c r="S33" s="248">
        <f t="shared" si="7"/>
        <v>0</v>
      </c>
      <c r="T33" s="248">
        <f t="shared" si="7"/>
        <v>0</v>
      </c>
      <c r="U33" s="248">
        <f t="shared" si="7"/>
        <v>0</v>
      </c>
      <c r="V33" s="248">
        <f t="shared" si="7"/>
        <v>0</v>
      </c>
      <c r="W33" s="248">
        <f t="shared" si="7"/>
        <v>1</v>
      </c>
      <c r="X33" s="248">
        <f t="shared" si="7"/>
        <v>5</v>
      </c>
      <c r="Y33" s="248">
        <f t="shared" si="7"/>
        <v>3</v>
      </c>
      <c r="Z33" s="248">
        <f t="shared" si="7"/>
        <v>188</v>
      </c>
      <c r="AA33" s="248">
        <f t="shared" si="7"/>
        <v>0</v>
      </c>
      <c r="AB33" s="36">
        <f t="shared" ref="AB33:AC33" si="8">sum(AB2:AB32)</f>
        <v>184</v>
      </c>
      <c r="AC33" s="36">
        <f t="shared" si="8"/>
        <v>0</v>
      </c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</row>
    <row r="34">
      <c r="A34" s="50"/>
      <c r="B34" s="50"/>
      <c r="D34" s="50"/>
      <c r="E34" s="37" t="s">
        <v>67</v>
      </c>
      <c r="F34" s="38"/>
      <c r="I34" s="39">
        <f>'November 2018'!I$34+'December 2018'!I$33+'January 2019'!I$33+'February 2019'!I$33</f>
        <v>93.39361111</v>
      </c>
      <c r="J34" s="39">
        <f>'November 2018'!J$34+'December 2018'!J$33+'January 2019'!J$33+'February 2019'!J$33</f>
        <v>297.9916667</v>
      </c>
      <c r="K34" s="40"/>
      <c r="L34" s="40"/>
      <c r="M34" s="40"/>
      <c r="N34" s="41">
        <f>'November 2018'!N$34+'December 2018'!N$33+'January 2019'!N$33+'February 2019'!N$33</f>
        <v>65</v>
      </c>
      <c r="O34" s="41">
        <f>'November 2018'!O$34+'December 2018'!O$33+'January 2019'!O$33+'February 2019'!O$33</f>
        <v>1120</v>
      </c>
      <c r="P34" s="41">
        <f>'November 2018'!P$34+'December 2018'!P$33+'January 2019'!P$33+'February 2019'!P$33</f>
        <v>2</v>
      </c>
      <c r="Q34" s="41">
        <f>'November 2018'!Q$34+'December 2018'!Q$33+'January 2019'!Q$33+'February 2019'!Q$33</f>
        <v>4</v>
      </c>
      <c r="R34" s="41">
        <f>'November 2018'!R$34+'December 2018'!R$33+'January 2019'!R$33+'February 2019'!R$33</f>
        <v>0</v>
      </c>
      <c r="S34" s="41">
        <f>'November 2018'!S$34+'December 2018'!S$33+'January 2019'!S$33+'February 2019'!S$33</f>
        <v>0</v>
      </c>
      <c r="T34" s="41">
        <f>'November 2018'!T$34+'December 2018'!T$33+'January 2019'!T$33+'February 2019'!T$33</f>
        <v>0</v>
      </c>
      <c r="U34" s="41">
        <f>'November 2018'!U$34+'December 2018'!U$33+'January 2019'!U$33+'February 2019'!U$33</f>
        <v>0</v>
      </c>
      <c r="V34" s="41">
        <f>'November 2018'!V$34+'December 2018'!V$33+'January 2019'!V$33+'February 2019'!V$33</f>
        <v>0</v>
      </c>
      <c r="W34" s="41">
        <f>'November 2018'!W$34+'December 2018'!W$33+'January 2019'!W$33+'February 2019'!W$33</f>
        <v>1</v>
      </c>
      <c r="X34" s="41">
        <f>'November 2018'!X$34+'December 2018'!X$33+'January 2019'!X$33+'February 2019'!X$33</f>
        <v>19</v>
      </c>
      <c r="Y34" s="41">
        <f>'November 2018'!Y$34+'December 2018'!Y$33+'January 2019'!Y$33+'February 2019'!Y$33</f>
        <v>4</v>
      </c>
      <c r="Z34" s="41">
        <f>'November 2018'!Z$34+'December 2018'!Z$33+'January 2019'!Z$33+'February 2019'!Z$33</f>
        <v>1191</v>
      </c>
      <c r="AA34" s="41">
        <f>'November 2018'!AA$34+'December 2018'!AA$33+'January 2019'!AA$33+'February 2019'!AA$33</f>
        <v>0</v>
      </c>
      <c r="AB34" s="42">
        <f>'November 2018'!AB34+'December 2018'!AB33+'January 2019'!AB33+'February 2019'!AB33</f>
        <v>1185</v>
      </c>
      <c r="AC34" s="42">
        <f>'November 2018'!AC34+'December 2018'!AC33+'January 2019'!AC33+'February 2019'!AC33</f>
        <v>0</v>
      </c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</row>
    <row r="35">
      <c r="A35" s="50"/>
      <c r="B35" s="40"/>
      <c r="C35" s="249"/>
      <c r="D35" s="40"/>
      <c r="E35" s="37" t="s">
        <v>68</v>
      </c>
      <c r="F35" s="38"/>
      <c r="I35" s="39">
        <f>'November 2018'!I$34+'December 2018'!I$33+'January 2019'!I$33+'February 2019'!I$33+'March 2019'!I$33+'April 2019'!I$33</f>
        <v>145.8102778</v>
      </c>
      <c r="J35" s="39">
        <f>'November 2018'!J34+'December 2018'!J33+'January 2019'!J33+'February 2019'!J33+'March 2019'!J33+'April 2019'!J33</f>
        <v>558.9616667</v>
      </c>
      <c r="K35" s="40"/>
      <c r="L35" s="40"/>
      <c r="M35" s="40"/>
      <c r="N35" s="41">
        <f>'November 2018'!N34+'December 2018'!N33+'January 2019'!N33+'February 2019'!N33+'March 2019'!N33+'April 2019'!N33</f>
        <v>90</v>
      </c>
      <c r="O35" s="41">
        <f>'November 2018'!O34+'December 2018'!O33+'January 2019'!O33+'February 2019'!O33+'March 2019'!O33+'April 2019'!O33</f>
        <v>1134</v>
      </c>
      <c r="P35" s="41">
        <f>'November 2018'!P34+'December 2018'!P33+'January 2019'!P33+'February 2019'!P33+'March 2019'!P33+'April 2019'!P33</f>
        <v>3</v>
      </c>
      <c r="Q35" s="41">
        <f>'November 2018'!Q34+'December 2018'!Q33+'January 2019'!Q33+'February 2019'!Q33+'March 2019'!Q33+'April 2019'!Q33</f>
        <v>4</v>
      </c>
      <c r="R35" s="41">
        <f>'November 2018'!R34+'December 2018'!R33+'January 2019'!R33+'February 2019'!R33+'March 2019'!R33+'April 2019'!R33</f>
        <v>124</v>
      </c>
      <c r="S35" s="41">
        <f>'November 2018'!S34+'December 2018'!S33+'January 2019'!S33+'February 2019'!S33+'March 2019'!S33+'April 2019'!S33</f>
        <v>791</v>
      </c>
      <c r="T35" s="41">
        <f>'November 2018'!T34+'December 2018'!T33+'January 2019'!T33+'February 2019'!T33+'March 2019'!T33+'April 2019'!T33</f>
        <v>6</v>
      </c>
      <c r="U35" s="41">
        <f>'November 2018'!U34+'December 2018'!U33+'January 2019'!U33+'February 2019'!U33+'March 2019'!U33+'April 2019'!U33</f>
        <v>17</v>
      </c>
      <c r="V35" s="41">
        <f>'November 2018'!V34+'December 2018'!V33+'January 2019'!V33+'February 2019'!V33+'March 2019'!V33+'April 2019'!V33</f>
        <v>6</v>
      </c>
      <c r="W35" s="41">
        <f>'November 2018'!W34+'December 2018'!W33+'January 2019'!W33+'February 2019'!W33+'March 2019'!W33+'April 2019'!W33</f>
        <v>4</v>
      </c>
      <c r="X35" s="41">
        <f>'November 2018'!X34+'December 2018'!X33+'January 2019'!X33+'February 2019'!X33+'March 2019'!X33+'April 2019'!X33</f>
        <v>24</v>
      </c>
      <c r="Y35" s="41">
        <f>'November 2018'!Y34+'December 2018'!Y33+'January 2019'!Y33+'February 2019'!Y33+'March 2019'!Y33+'April 2019'!Y33</f>
        <v>7</v>
      </c>
      <c r="Z35" s="41">
        <f>'November 2018'!Z34+'December 2018'!Z33+'January 2019'!Z33+'February 2019'!Z33+'March 2019'!Z33+'April 2019'!Z33</f>
        <v>1231</v>
      </c>
      <c r="AA35" s="41">
        <f>'November 2018'!AA34+'December 2018'!AA33+'January 2019'!AA33+'February 2019'!AA33+'March 2019'!AA33+'April 2019'!AA33</f>
        <v>944</v>
      </c>
      <c r="AB35" s="41">
        <f>'November 2018'!AB34+'December 2018'!AB33+'January 2019'!AB33+'February 2019'!AB33+'March 2019'!AB33+'April 2019'!AB33</f>
        <v>1224</v>
      </c>
      <c r="AC35" s="41">
        <f>'November 2018'!AC34+'December 2018'!AC33+'January 2019'!AC33+'February 2019'!AC33+'March 2019'!AC33+'April 2019'!AC33</f>
        <v>921</v>
      </c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</row>
    <row r="36">
      <c r="A36" s="40"/>
      <c r="B36" s="40"/>
      <c r="C36" s="40"/>
      <c r="D36" s="40"/>
      <c r="E36" s="33" t="s">
        <v>69</v>
      </c>
      <c r="F36" s="40"/>
      <c r="G36" s="40"/>
      <c r="H36" s="40"/>
      <c r="I36" s="40"/>
      <c r="J36" s="40"/>
      <c r="K36" s="40"/>
      <c r="L36" s="40"/>
      <c r="M36" s="40"/>
      <c r="N36" s="44"/>
      <c r="O36" s="45"/>
      <c r="P36" s="45"/>
      <c r="Q36" s="46"/>
      <c r="R36" s="46"/>
      <c r="S36" s="46"/>
      <c r="T36" s="46"/>
      <c r="U36" s="47"/>
      <c r="V36" s="48"/>
      <c r="W36" s="47"/>
      <c r="X36" s="47"/>
      <c r="Y36" s="49"/>
      <c r="Z36" s="46">
        <v>433.0</v>
      </c>
      <c r="AA36" s="46">
        <v>297.0</v>
      </c>
      <c r="AB36" s="46"/>
      <c r="AC36" s="49"/>
      <c r="AD36" s="49"/>
      <c r="AE36" s="49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9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50"/>
      <c r="BM36" s="50"/>
      <c r="BN36" s="50"/>
    </row>
    <row r="37">
      <c r="A37" s="40"/>
      <c r="B37" s="40"/>
      <c r="C37" s="40"/>
      <c r="D37" s="40"/>
      <c r="E37" s="33" t="s">
        <v>70</v>
      </c>
      <c r="F37" s="40"/>
      <c r="G37" s="40"/>
      <c r="H37" s="40"/>
      <c r="I37" s="40"/>
      <c r="J37" s="40"/>
      <c r="K37" s="40"/>
      <c r="L37" s="40"/>
      <c r="M37" s="40"/>
      <c r="N37" s="44"/>
      <c r="O37" s="45"/>
      <c r="P37" s="45"/>
      <c r="Q37" s="46"/>
      <c r="R37" s="46"/>
      <c r="S37" s="46"/>
      <c r="T37" s="46"/>
      <c r="U37" s="47"/>
      <c r="V37" s="48"/>
      <c r="W37" s="47"/>
      <c r="X37" s="47"/>
      <c r="Y37" s="49"/>
      <c r="Z37" s="46">
        <v>834.0</v>
      </c>
      <c r="AA37" s="46">
        <v>751.0</v>
      </c>
      <c r="AB37" s="46"/>
      <c r="AC37" s="49"/>
      <c r="AD37" s="49"/>
      <c r="AE37" s="49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9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50"/>
      <c r="BM37" s="50"/>
      <c r="BN37" s="50"/>
    </row>
    <row r="38">
      <c r="A38" s="40"/>
      <c r="B38" s="40"/>
      <c r="C38" s="40"/>
      <c r="D38" s="40"/>
      <c r="E38" s="33" t="s">
        <v>71</v>
      </c>
      <c r="F38" s="40"/>
      <c r="G38" s="40"/>
      <c r="H38" s="40"/>
      <c r="I38" s="40"/>
      <c r="J38" s="40"/>
      <c r="K38" s="40"/>
      <c r="L38" s="40"/>
      <c r="M38" s="40"/>
      <c r="N38" s="44"/>
      <c r="O38" s="45"/>
      <c r="P38" s="45"/>
      <c r="Q38" s="46"/>
      <c r="R38" s="46"/>
      <c r="S38" s="46"/>
      <c r="T38" s="46"/>
      <c r="U38" s="47"/>
      <c r="V38" s="48"/>
      <c r="W38" s="47"/>
      <c r="X38" s="47"/>
      <c r="Y38" s="49"/>
      <c r="Z38" s="46">
        <v>688.0</v>
      </c>
      <c r="AA38" s="46">
        <v>1040.0</v>
      </c>
      <c r="AB38" s="46"/>
      <c r="AC38" s="49"/>
      <c r="AD38" s="49"/>
      <c r="AE38" s="49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9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50"/>
      <c r="BM38" s="50"/>
      <c r="BN38" s="50"/>
    </row>
    <row r="39">
      <c r="A39" s="40"/>
      <c r="B39" s="40"/>
      <c r="C39" s="40"/>
      <c r="D39" s="51"/>
      <c r="E39" s="33" t="s">
        <v>72</v>
      </c>
      <c r="F39" s="40"/>
      <c r="G39" s="40"/>
      <c r="H39" s="40"/>
      <c r="I39" s="40"/>
      <c r="J39" s="40"/>
      <c r="K39" s="40"/>
      <c r="L39" s="40"/>
      <c r="M39" s="51"/>
      <c r="N39" s="52"/>
      <c r="O39" s="53"/>
      <c r="P39" s="53"/>
      <c r="Q39" s="54"/>
      <c r="R39" s="54"/>
      <c r="S39" s="55"/>
      <c r="T39" s="55"/>
      <c r="U39" s="56"/>
      <c r="V39" s="57"/>
      <c r="W39" s="54"/>
      <c r="X39" s="54"/>
      <c r="Y39" s="58"/>
      <c r="Z39" s="54">
        <v>695.0</v>
      </c>
      <c r="AA39" s="54">
        <v>750.0</v>
      </c>
      <c r="AB39" s="54"/>
      <c r="AC39" s="58"/>
      <c r="AD39" s="58"/>
      <c r="AE39" s="58"/>
      <c r="AF39" s="33"/>
      <c r="AG39" s="33"/>
      <c r="AH39" s="33"/>
      <c r="AI39" s="33"/>
      <c r="AJ39" s="33"/>
      <c r="AK39" s="33"/>
      <c r="AL39" s="54"/>
      <c r="AM39" s="54"/>
      <c r="AN39" s="59"/>
      <c r="AO39" s="59"/>
      <c r="AP39" s="59"/>
      <c r="AQ39" s="58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50"/>
      <c r="BM39" s="50"/>
      <c r="BN39" s="50"/>
    </row>
    <row r="40">
      <c r="A40" s="40"/>
      <c r="B40" s="40"/>
      <c r="C40" s="40"/>
      <c r="D40" s="51"/>
      <c r="E40" s="33" t="s">
        <v>73</v>
      </c>
      <c r="F40" s="40"/>
      <c r="G40" s="40"/>
      <c r="H40" s="40"/>
      <c r="I40" s="40"/>
      <c r="J40" s="40"/>
      <c r="K40" s="40"/>
      <c r="L40" s="40"/>
      <c r="M40" s="51"/>
      <c r="N40" s="52"/>
      <c r="O40" s="53"/>
      <c r="P40" s="53"/>
      <c r="Q40" s="54"/>
      <c r="R40" s="54"/>
      <c r="S40" s="55"/>
      <c r="T40" s="55"/>
      <c r="U40" s="56"/>
      <c r="V40" s="57"/>
      <c r="W40" s="54"/>
      <c r="X40" s="54"/>
      <c r="Y40" s="58"/>
      <c r="Z40" s="54">
        <v>580.0</v>
      </c>
      <c r="AA40" s="54">
        <v>572.0</v>
      </c>
      <c r="AB40" s="54"/>
      <c r="AC40" s="58"/>
      <c r="AD40" s="58"/>
      <c r="AE40" s="58"/>
      <c r="AF40" s="33"/>
      <c r="AG40" s="33"/>
      <c r="AH40" s="33"/>
      <c r="AI40" s="33"/>
      <c r="AJ40" s="33"/>
      <c r="AK40" s="33"/>
      <c r="AL40" s="54"/>
      <c r="AM40" s="54"/>
      <c r="AN40" s="59"/>
      <c r="AO40" s="59"/>
      <c r="AP40" s="59"/>
      <c r="AQ40" s="58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50"/>
      <c r="BM40" s="50"/>
      <c r="BN40" s="50"/>
    </row>
    <row r="41">
      <c r="A41" s="165"/>
      <c r="B41" s="50"/>
      <c r="C41" s="50"/>
      <c r="D41" s="50"/>
      <c r="E41" s="50"/>
      <c r="F41" s="50"/>
      <c r="G41" s="50"/>
      <c r="H41" s="50"/>
      <c r="I41" s="250"/>
      <c r="J41" s="250"/>
      <c r="K41" s="250"/>
      <c r="L41" s="250"/>
      <c r="M41" s="50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</row>
    <row r="4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</row>
    <row r="43">
      <c r="A43" s="165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</row>
    <row r="4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</row>
    <row r="46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</row>
    <row r="47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</row>
    <row r="48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  <c r="BM113" s="50"/>
      <c r="BN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50"/>
      <c r="BN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50"/>
      <c r="BN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  <c r="BL121" s="50"/>
      <c r="BM121" s="50"/>
      <c r="BN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50"/>
      <c r="BN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50"/>
      <c r="BN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  <c r="BM127" s="50"/>
      <c r="BN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  <c r="BM129" s="50"/>
      <c r="BN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  <c r="BM130" s="50"/>
      <c r="BN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  <c r="BM132" s="50"/>
      <c r="BN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  <c r="BM134" s="50"/>
      <c r="BN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/>
      <c r="BJ136" s="50"/>
      <c r="BK136" s="50"/>
      <c r="BL136" s="50"/>
      <c r="BM136" s="50"/>
      <c r="BN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50"/>
      <c r="BN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  <c r="BM161" s="50"/>
      <c r="BN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  <c r="BM163" s="50"/>
      <c r="BN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50"/>
      <c r="BN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  <c r="BK166" s="50"/>
      <c r="BL166" s="50"/>
      <c r="BM166" s="50"/>
      <c r="BN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50"/>
      <c r="BN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  <c r="BM169" s="50"/>
      <c r="BN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  <c r="BM170" s="50"/>
      <c r="BN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50"/>
      <c r="BN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  <c r="BM172" s="50"/>
      <c r="BN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50"/>
      <c r="BN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  <c r="BM176" s="50"/>
      <c r="BN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50"/>
      <c r="BN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  <c r="BM179" s="50"/>
      <c r="BN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  <c r="BM180" s="50"/>
      <c r="BN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50"/>
      <c r="BN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  <c r="BL190" s="50"/>
      <c r="BM190" s="50"/>
      <c r="BN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/>
      <c r="BL191" s="50"/>
      <c r="BM191" s="50"/>
      <c r="BN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/>
      <c r="BL192" s="50"/>
      <c r="BM192" s="50"/>
      <c r="BN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  <c r="BK193" s="50"/>
      <c r="BL193" s="50"/>
      <c r="BM193" s="50"/>
      <c r="BN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  <c r="BL194" s="50"/>
      <c r="BM194" s="50"/>
      <c r="BN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  <c r="BM195" s="50"/>
      <c r="BN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50"/>
      <c r="BN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  <c r="BL197" s="50"/>
      <c r="BM197" s="50"/>
      <c r="BN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  <c r="BL198" s="50"/>
      <c r="BM198" s="50"/>
      <c r="BN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  <c r="BL199" s="50"/>
      <c r="BM199" s="50"/>
      <c r="BN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  <c r="BL200" s="50"/>
      <c r="BM200" s="50"/>
      <c r="BN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50"/>
      <c r="BN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/>
      <c r="BL202" s="50"/>
      <c r="BM202" s="50"/>
      <c r="BN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  <c r="BL203" s="50"/>
      <c r="BM203" s="50"/>
      <c r="BN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  <c r="BL204" s="50"/>
      <c r="BM204" s="50"/>
      <c r="BN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  <c r="BK205" s="50"/>
      <c r="BL205" s="50"/>
      <c r="BM205" s="50"/>
      <c r="BN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  <c r="BK206" s="50"/>
      <c r="BL206" s="50"/>
      <c r="BM206" s="50"/>
      <c r="BN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  <c r="BL207" s="50"/>
      <c r="BM207" s="50"/>
      <c r="BN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  <c r="BL208" s="50"/>
      <c r="BM208" s="50"/>
      <c r="BN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  <c r="BL209" s="50"/>
      <c r="BM209" s="50"/>
      <c r="BN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  <c r="BL210" s="50"/>
      <c r="BM210" s="50"/>
      <c r="BN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  <c r="BM212" s="50"/>
      <c r="BN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50"/>
      <c r="BN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  <c r="BL214" s="50"/>
      <c r="BM214" s="50"/>
      <c r="BN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  <c r="BL215" s="50"/>
      <c r="BM215" s="50"/>
      <c r="BN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  <c r="BL216" s="50"/>
      <c r="BM216" s="50"/>
      <c r="BN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  <c r="BM217" s="50"/>
      <c r="BN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  <c r="BL218" s="50"/>
      <c r="BM218" s="50"/>
      <c r="BN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  <c r="BL219" s="50"/>
      <c r="BM219" s="50"/>
      <c r="BN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  <c r="BL220" s="50"/>
      <c r="BM220" s="50"/>
      <c r="BN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  <c r="BL221" s="50"/>
      <c r="BM221" s="50"/>
      <c r="BN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  <c r="BL222" s="50"/>
      <c r="BM222" s="50"/>
      <c r="BN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  <c r="BL223" s="50"/>
      <c r="BM223" s="50"/>
      <c r="BN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  <c r="BL224" s="50"/>
      <c r="BM224" s="50"/>
      <c r="BN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/>
      <c r="BL228" s="50"/>
      <c r="BM228" s="50"/>
      <c r="BN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  <c r="BM230" s="50"/>
      <c r="BN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  <c r="BL231" s="50"/>
      <c r="BM231" s="50"/>
      <c r="BN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  <c r="BK232" s="50"/>
      <c r="BL232" s="50"/>
      <c r="BM232" s="50"/>
      <c r="BN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50"/>
      <c r="BN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  <c r="BI234" s="50"/>
      <c r="BJ234" s="50"/>
      <c r="BK234" s="50"/>
      <c r="BL234" s="50"/>
      <c r="BM234" s="50"/>
      <c r="BN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  <c r="BK235" s="50"/>
      <c r="BL235" s="50"/>
      <c r="BM235" s="50"/>
      <c r="BN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  <c r="BK236" s="50"/>
      <c r="BL236" s="50"/>
      <c r="BM236" s="50"/>
      <c r="BN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  <c r="BL237" s="50"/>
      <c r="BM237" s="50"/>
      <c r="BN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  <c r="BL239" s="50"/>
      <c r="BM239" s="50"/>
      <c r="BN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  <c r="BK240" s="50"/>
      <c r="BL240" s="50"/>
      <c r="BM240" s="50"/>
      <c r="BN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  <c r="BK241" s="50"/>
      <c r="BL241" s="50"/>
      <c r="BM241" s="50"/>
      <c r="BN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  <c r="BL242" s="50"/>
      <c r="BM242" s="50"/>
      <c r="BN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  <c r="BL243" s="50"/>
      <c r="BM243" s="50"/>
      <c r="BN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  <c r="BL244" s="50"/>
      <c r="BM244" s="50"/>
      <c r="BN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50"/>
      <c r="BN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50"/>
      <c r="BN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  <c r="BL247" s="50"/>
      <c r="BM247" s="50"/>
      <c r="BN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/>
      <c r="BE248" s="50"/>
      <c r="BF248" s="50"/>
      <c r="BG248" s="50"/>
      <c r="BH248" s="50"/>
      <c r="BI248" s="50"/>
      <c r="BJ248" s="50"/>
      <c r="BK248" s="50"/>
      <c r="BL248" s="50"/>
      <c r="BM248" s="50"/>
      <c r="BN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  <c r="BL249" s="50"/>
      <c r="BM249" s="50"/>
      <c r="BN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/>
      <c r="BL250" s="50"/>
      <c r="BM250" s="50"/>
      <c r="BN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  <c r="BK251" s="50"/>
      <c r="BL251" s="50"/>
      <c r="BM251" s="50"/>
      <c r="BN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/>
      <c r="BL252" s="50"/>
      <c r="BM252" s="50"/>
      <c r="BN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/>
      <c r="BL253" s="50"/>
      <c r="BM253" s="50"/>
      <c r="BN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/>
      <c r="BL254" s="50"/>
      <c r="BM254" s="50"/>
      <c r="BN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/>
      <c r="BE255" s="50"/>
      <c r="BF255" s="50"/>
      <c r="BG255" s="50"/>
      <c r="BH255" s="50"/>
      <c r="BI255" s="50"/>
      <c r="BJ255" s="50"/>
      <c r="BK255" s="50"/>
      <c r="BL255" s="50"/>
      <c r="BM255" s="50"/>
      <c r="BN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  <c r="BK256" s="50"/>
      <c r="BL256" s="50"/>
      <c r="BM256" s="50"/>
      <c r="BN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  <c r="BK257" s="50"/>
      <c r="BL257" s="50"/>
      <c r="BM257" s="50"/>
      <c r="BN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  <c r="BK258" s="50"/>
      <c r="BL258" s="50"/>
      <c r="BM258" s="50"/>
      <c r="BN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  <c r="BK259" s="50"/>
      <c r="BL259" s="50"/>
      <c r="BM259" s="50"/>
      <c r="BN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/>
      <c r="BE260" s="50"/>
      <c r="BF260" s="50"/>
      <c r="BG260" s="50"/>
      <c r="BH260" s="50"/>
      <c r="BI260" s="50"/>
      <c r="BJ260" s="50"/>
      <c r="BK260" s="50"/>
      <c r="BL260" s="50"/>
      <c r="BM260" s="50"/>
      <c r="BN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  <c r="BL261" s="50"/>
      <c r="BM261" s="50"/>
      <c r="BN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/>
      <c r="BL262" s="50"/>
      <c r="BM262" s="50"/>
      <c r="BN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/>
      <c r="BL263" s="50"/>
      <c r="BM263" s="50"/>
      <c r="BN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/>
      <c r="BL264" s="50"/>
      <c r="BM264" s="50"/>
      <c r="BN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  <c r="BL266" s="50"/>
      <c r="BM266" s="50"/>
      <c r="BN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  <c r="BK268" s="50"/>
      <c r="BL268" s="50"/>
      <c r="BM268" s="50"/>
      <c r="BN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  <c r="BL270" s="50"/>
      <c r="BM270" s="50"/>
      <c r="BN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50"/>
      <c r="BN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  <c r="BL272" s="50"/>
      <c r="BM272" s="50"/>
      <c r="BN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  <c r="BK273" s="50"/>
      <c r="BL273" s="50"/>
      <c r="BM273" s="50"/>
      <c r="BN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  <c r="BK274" s="50"/>
      <c r="BL274" s="50"/>
      <c r="BM274" s="50"/>
      <c r="BN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  <c r="BK275" s="50"/>
      <c r="BL275" s="50"/>
      <c r="BM275" s="50"/>
      <c r="BN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  <c r="BI276" s="50"/>
      <c r="BJ276" s="50"/>
      <c r="BK276" s="50"/>
      <c r="BL276" s="50"/>
      <c r="BM276" s="50"/>
      <c r="BN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  <c r="BI277" s="50"/>
      <c r="BJ277" s="50"/>
      <c r="BK277" s="50"/>
      <c r="BL277" s="50"/>
      <c r="BM277" s="50"/>
      <c r="BN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  <c r="BL278" s="50"/>
      <c r="BM278" s="50"/>
      <c r="BN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  <c r="BK279" s="50"/>
      <c r="BL279" s="50"/>
      <c r="BM279" s="50"/>
      <c r="BN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  <c r="BI280" s="50"/>
      <c r="BJ280" s="50"/>
      <c r="BK280" s="50"/>
      <c r="BL280" s="50"/>
      <c r="BM280" s="50"/>
      <c r="BN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/>
      <c r="BJ281" s="50"/>
      <c r="BK281" s="50"/>
      <c r="BL281" s="50"/>
      <c r="BM281" s="50"/>
      <c r="BN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0"/>
      <c r="BK282" s="50"/>
      <c r="BL282" s="50"/>
      <c r="BM282" s="50"/>
      <c r="BN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  <c r="BK283" s="50"/>
      <c r="BL283" s="50"/>
      <c r="BM283" s="50"/>
      <c r="BN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  <c r="BL284" s="50"/>
      <c r="BM284" s="50"/>
      <c r="BN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  <c r="BK285" s="50"/>
      <c r="BL285" s="50"/>
      <c r="BM285" s="50"/>
      <c r="BN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50"/>
      <c r="BE286" s="50"/>
      <c r="BF286" s="50"/>
      <c r="BG286" s="50"/>
      <c r="BH286" s="50"/>
      <c r="BI286" s="50"/>
      <c r="BJ286" s="50"/>
      <c r="BK286" s="50"/>
      <c r="BL286" s="50"/>
      <c r="BM286" s="50"/>
      <c r="BN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/>
      <c r="BJ287" s="50"/>
      <c r="BK287" s="50"/>
      <c r="BL287" s="50"/>
      <c r="BM287" s="50"/>
      <c r="BN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0"/>
      <c r="BE288" s="50"/>
      <c r="BF288" s="50"/>
      <c r="BG288" s="50"/>
      <c r="BH288" s="50"/>
      <c r="BI288" s="50"/>
      <c r="BJ288" s="50"/>
      <c r="BK288" s="50"/>
      <c r="BL288" s="50"/>
      <c r="BM288" s="50"/>
      <c r="BN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/>
      <c r="BJ289" s="50"/>
      <c r="BK289" s="50"/>
      <c r="BL289" s="50"/>
      <c r="BM289" s="50"/>
      <c r="BN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  <c r="BI290" s="50"/>
      <c r="BJ290" s="50"/>
      <c r="BK290" s="50"/>
      <c r="BL290" s="50"/>
      <c r="BM290" s="50"/>
      <c r="BN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  <c r="BI291" s="50"/>
      <c r="BJ291" s="50"/>
      <c r="BK291" s="50"/>
      <c r="BL291" s="50"/>
      <c r="BM291" s="50"/>
      <c r="BN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  <c r="BI292" s="50"/>
      <c r="BJ292" s="50"/>
      <c r="BK292" s="50"/>
      <c r="BL292" s="50"/>
      <c r="BM292" s="50"/>
      <c r="BN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/>
      <c r="BJ293" s="50"/>
      <c r="BK293" s="50"/>
      <c r="BL293" s="50"/>
      <c r="BM293" s="50"/>
      <c r="BN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  <c r="BI294" s="50"/>
      <c r="BJ294" s="50"/>
      <c r="BK294" s="50"/>
      <c r="BL294" s="50"/>
      <c r="BM294" s="50"/>
      <c r="BN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/>
      <c r="BJ295" s="50"/>
      <c r="BK295" s="50"/>
      <c r="BL295" s="50"/>
      <c r="BM295" s="50"/>
      <c r="BN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/>
      <c r="BJ296" s="50"/>
      <c r="BK296" s="50"/>
      <c r="BL296" s="50"/>
      <c r="BM296" s="50"/>
      <c r="BN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/>
      <c r="BJ297" s="50"/>
      <c r="BK297" s="50"/>
      <c r="BL297" s="50"/>
      <c r="BM297" s="50"/>
      <c r="BN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/>
      <c r="BE298" s="50"/>
      <c r="BF298" s="50"/>
      <c r="BG298" s="50"/>
      <c r="BH298" s="50"/>
      <c r="BI298" s="50"/>
      <c r="BJ298" s="50"/>
      <c r="BK298" s="50"/>
      <c r="BL298" s="50"/>
      <c r="BM298" s="50"/>
      <c r="BN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  <c r="BI299" s="50"/>
      <c r="BJ299" s="50"/>
      <c r="BK299" s="50"/>
      <c r="BL299" s="50"/>
      <c r="BM299" s="50"/>
      <c r="BN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/>
      <c r="BE300" s="50"/>
      <c r="BF300" s="50"/>
      <c r="BG300" s="50"/>
      <c r="BH300" s="50"/>
      <c r="BI300" s="50"/>
      <c r="BJ300" s="50"/>
      <c r="BK300" s="50"/>
      <c r="BL300" s="50"/>
      <c r="BM300" s="50"/>
      <c r="BN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/>
      <c r="BJ301" s="50"/>
      <c r="BK301" s="50"/>
      <c r="BL301" s="50"/>
      <c r="BM301" s="50"/>
      <c r="BN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50"/>
      <c r="BH302" s="50"/>
      <c r="BI302" s="50"/>
      <c r="BJ302" s="50"/>
      <c r="BK302" s="50"/>
      <c r="BL302" s="50"/>
      <c r="BM302" s="50"/>
      <c r="BN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/>
      <c r="BJ303" s="50"/>
      <c r="BK303" s="50"/>
      <c r="BL303" s="50"/>
      <c r="BM303" s="50"/>
      <c r="BN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/>
      <c r="BJ304" s="50"/>
      <c r="BK304" s="50"/>
      <c r="BL304" s="50"/>
      <c r="BM304" s="50"/>
      <c r="BN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0"/>
      <c r="BE306" s="50"/>
      <c r="BF306" s="50"/>
      <c r="BG306" s="50"/>
      <c r="BH306" s="50"/>
      <c r="BI306" s="50"/>
      <c r="BJ306" s="50"/>
      <c r="BK306" s="50"/>
      <c r="BL306" s="50"/>
      <c r="BM306" s="50"/>
      <c r="BN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  <c r="BI308" s="50"/>
      <c r="BJ308" s="50"/>
      <c r="BK308" s="50"/>
      <c r="BL308" s="50"/>
      <c r="BM308" s="50"/>
      <c r="BN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/>
      <c r="BE310" s="50"/>
      <c r="BF310" s="50"/>
      <c r="BG310" s="50"/>
      <c r="BH310" s="50"/>
      <c r="BI310" s="50"/>
      <c r="BJ310" s="50"/>
      <c r="BK310" s="50"/>
      <c r="BL310" s="50"/>
      <c r="BM310" s="50"/>
      <c r="BN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50"/>
      <c r="BF311" s="50"/>
      <c r="BG311" s="50"/>
      <c r="BH311" s="50"/>
      <c r="BI311" s="50"/>
      <c r="BJ311" s="50"/>
      <c r="BK311" s="50"/>
      <c r="BL311" s="50"/>
      <c r="BM311" s="50"/>
      <c r="BN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/>
      <c r="BJ312" s="50"/>
      <c r="BK312" s="50"/>
      <c r="BL312" s="50"/>
      <c r="BM312" s="50"/>
      <c r="BN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/>
      <c r="BJ313" s="50"/>
      <c r="BK313" s="50"/>
      <c r="BL313" s="50"/>
      <c r="BM313" s="50"/>
      <c r="BN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/>
      <c r="BJ314" s="50"/>
      <c r="BK314" s="50"/>
      <c r="BL314" s="50"/>
      <c r="BM314" s="50"/>
      <c r="BN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/>
      <c r="BJ315" s="50"/>
      <c r="BK315" s="50"/>
      <c r="BL315" s="50"/>
      <c r="BM315" s="50"/>
      <c r="BN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/>
      <c r="BJ316" s="50"/>
      <c r="BK316" s="50"/>
      <c r="BL316" s="50"/>
      <c r="BM316" s="50"/>
      <c r="BN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  <c r="BI317" s="50"/>
      <c r="BJ317" s="50"/>
      <c r="BK317" s="50"/>
      <c r="BL317" s="50"/>
      <c r="BM317" s="50"/>
      <c r="BN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  <c r="BI318" s="50"/>
      <c r="BJ318" s="50"/>
      <c r="BK318" s="50"/>
      <c r="BL318" s="50"/>
      <c r="BM318" s="50"/>
      <c r="BN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  <c r="BI319" s="50"/>
      <c r="BJ319" s="50"/>
      <c r="BK319" s="50"/>
      <c r="BL319" s="50"/>
      <c r="BM319" s="50"/>
      <c r="BN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/>
      <c r="BJ320" s="50"/>
      <c r="BK320" s="50"/>
      <c r="BL320" s="50"/>
      <c r="BM320" s="50"/>
      <c r="BN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/>
      <c r="BJ321" s="50"/>
      <c r="BK321" s="50"/>
      <c r="BL321" s="50"/>
      <c r="BM321" s="50"/>
      <c r="BN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  <c r="BL322" s="50"/>
      <c r="BM322" s="50"/>
      <c r="BN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/>
      <c r="BJ323" s="50"/>
      <c r="BK323" s="50"/>
      <c r="BL323" s="50"/>
      <c r="BM323" s="50"/>
      <c r="BN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50"/>
      <c r="BF324" s="50"/>
      <c r="BG324" s="50"/>
      <c r="BH324" s="50"/>
      <c r="BI324" s="50"/>
      <c r="BJ324" s="50"/>
      <c r="BK324" s="50"/>
      <c r="BL324" s="50"/>
      <c r="BM324" s="50"/>
      <c r="BN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  <c r="BI325" s="50"/>
      <c r="BJ325" s="50"/>
      <c r="BK325" s="50"/>
      <c r="BL325" s="50"/>
      <c r="BM325" s="50"/>
      <c r="BN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/>
      <c r="BE326" s="50"/>
      <c r="BF326" s="50"/>
      <c r="BG326" s="50"/>
      <c r="BH326" s="50"/>
      <c r="BI326" s="50"/>
      <c r="BJ326" s="50"/>
      <c r="BK326" s="50"/>
      <c r="BL326" s="50"/>
      <c r="BM326" s="50"/>
      <c r="BN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50"/>
      <c r="BE327" s="50"/>
      <c r="BF327" s="50"/>
      <c r="BG327" s="50"/>
      <c r="BH327" s="50"/>
      <c r="BI327" s="50"/>
      <c r="BJ327" s="50"/>
      <c r="BK327" s="50"/>
      <c r="BL327" s="50"/>
      <c r="BM327" s="50"/>
      <c r="BN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/>
      <c r="BJ328" s="50"/>
      <c r="BK328" s="50"/>
      <c r="BL328" s="50"/>
      <c r="BM328" s="50"/>
      <c r="BN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/>
      <c r="BJ329" s="50"/>
      <c r="BK329" s="50"/>
      <c r="BL329" s="50"/>
      <c r="BM329" s="50"/>
      <c r="BN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0"/>
      <c r="BE330" s="50"/>
      <c r="BF330" s="50"/>
      <c r="BG330" s="50"/>
      <c r="BH330" s="50"/>
      <c r="BI330" s="50"/>
      <c r="BJ330" s="50"/>
      <c r="BK330" s="50"/>
      <c r="BL330" s="50"/>
      <c r="BM330" s="50"/>
      <c r="BN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0"/>
      <c r="BE331" s="50"/>
      <c r="BF331" s="50"/>
      <c r="BG331" s="50"/>
      <c r="BH331" s="50"/>
      <c r="BI331" s="50"/>
      <c r="BJ331" s="50"/>
      <c r="BK331" s="50"/>
      <c r="BL331" s="50"/>
      <c r="BM331" s="50"/>
      <c r="BN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  <c r="BI332" s="50"/>
      <c r="BJ332" s="50"/>
      <c r="BK332" s="50"/>
      <c r="BL332" s="50"/>
      <c r="BM332" s="50"/>
      <c r="BN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50"/>
      <c r="BE333" s="50"/>
      <c r="BF333" s="50"/>
      <c r="BG333" s="50"/>
      <c r="BH333" s="50"/>
      <c r="BI333" s="50"/>
      <c r="BJ333" s="50"/>
      <c r="BK333" s="50"/>
      <c r="BL333" s="50"/>
      <c r="BM333" s="50"/>
      <c r="BN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  <c r="BI334" s="50"/>
      <c r="BJ334" s="50"/>
      <c r="BK334" s="50"/>
      <c r="BL334" s="50"/>
      <c r="BM334" s="50"/>
      <c r="BN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  <c r="BI335" s="50"/>
      <c r="BJ335" s="50"/>
      <c r="BK335" s="50"/>
      <c r="BL335" s="50"/>
      <c r="BM335" s="50"/>
      <c r="BN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0"/>
      <c r="BE336" s="50"/>
      <c r="BF336" s="50"/>
      <c r="BG336" s="50"/>
      <c r="BH336" s="50"/>
      <c r="BI336" s="50"/>
      <c r="BJ336" s="50"/>
      <c r="BK336" s="50"/>
      <c r="BL336" s="50"/>
      <c r="BM336" s="50"/>
      <c r="BN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50"/>
      <c r="AQ337" s="50"/>
      <c r="AR337" s="50"/>
      <c r="AS337" s="50"/>
      <c r="AT337" s="50"/>
      <c r="AU337" s="50"/>
      <c r="AV337" s="50"/>
      <c r="AW337" s="50"/>
      <c r="AX337" s="50"/>
      <c r="AY337" s="50"/>
      <c r="AZ337" s="50"/>
      <c r="BA337" s="50"/>
      <c r="BB337" s="50"/>
      <c r="BC337" s="50"/>
      <c r="BD337" s="50"/>
      <c r="BE337" s="50"/>
      <c r="BF337" s="50"/>
      <c r="BG337" s="50"/>
      <c r="BH337" s="50"/>
      <c r="BI337" s="50"/>
      <c r="BJ337" s="50"/>
      <c r="BK337" s="50"/>
      <c r="BL337" s="50"/>
      <c r="BM337" s="50"/>
      <c r="BN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50"/>
      <c r="AQ338" s="50"/>
      <c r="AR338" s="50"/>
      <c r="AS338" s="50"/>
      <c r="AT338" s="50"/>
      <c r="AU338" s="50"/>
      <c r="AV338" s="50"/>
      <c r="AW338" s="50"/>
      <c r="AX338" s="50"/>
      <c r="AY338" s="50"/>
      <c r="AZ338" s="50"/>
      <c r="BA338" s="50"/>
      <c r="BB338" s="50"/>
      <c r="BC338" s="50"/>
      <c r="BD338" s="50"/>
      <c r="BE338" s="50"/>
      <c r="BF338" s="50"/>
      <c r="BG338" s="50"/>
      <c r="BH338" s="50"/>
      <c r="BI338" s="50"/>
      <c r="BJ338" s="50"/>
      <c r="BK338" s="50"/>
      <c r="BL338" s="50"/>
      <c r="BM338" s="50"/>
      <c r="BN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50"/>
      <c r="AQ339" s="50"/>
      <c r="AR339" s="50"/>
      <c r="AS339" s="50"/>
      <c r="AT339" s="50"/>
      <c r="AU339" s="50"/>
      <c r="AV339" s="50"/>
      <c r="AW339" s="50"/>
      <c r="AX339" s="50"/>
      <c r="AY339" s="50"/>
      <c r="AZ339" s="50"/>
      <c r="BA339" s="50"/>
      <c r="BB339" s="50"/>
      <c r="BC339" s="50"/>
      <c r="BD339" s="50"/>
      <c r="BE339" s="50"/>
      <c r="BF339" s="50"/>
      <c r="BG339" s="50"/>
      <c r="BH339" s="50"/>
      <c r="BI339" s="50"/>
      <c r="BJ339" s="50"/>
      <c r="BK339" s="50"/>
      <c r="BL339" s="50"/>
      <c r="BM339" s="50"/>
      <c r="BN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0"/>
      <c r="BC340" s="50"/>
      <c r="BD340" s="50"/>
      <c r="BE340" s="50"/>
      <c r="BF340" s="50"/>
      <c r="BG340" s="50"/>
      <c r="BH340" s="50"/>
      <c r="BI340" s="50"/>
      <c r="BJ340" s="50"/>
      <c r="BK340" s="50"/>
      <c r="BL340" s="50"/>
      <c r="BM340" s="50"/>
      <c r="BN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50"/>
      <c r="BF341" s="50"/>
      <c r="BG341" s="50"/>
      <c r="BH341" s="50"/>
      <c r="BI341" s="50"/>
      <c r="BJ341" s="50"/>
      <c r="BK341" s="50"/>
      <c r="BL341" s="50"/>
      <c r="BM341" s="50"/>
      <c r="BN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50"/>
      <c r="BE342" s="50"/>
      <c r="BF342" s="50"/>
      <c r="BG342" s="50"/>
      <c r="BH342" s="50"/>
      <c r="BI342" s="50"/>
      <c r="BJ342" s="50"/>
      <c r="BK342" s="50"/>
      <c r="BL342" s="50"/>
      <c r="BM342" s="50"/>
      <c r="BN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50"/>
      <c r="BE343" s="50"/>
      <c r="BF343" s="50"/>
      <c r="BG343" s="50"/>
      <c r="BH343" s="50"/>
      <c r="BI343" s="50"/>
      <c r="BJ343" s="50"/>
      <c r="BK343" s="50"/>
      <c r="BL343" s="50"/>
      <c r="BM343" s="50"/>
      <c r="BN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  <c r="AQ344" s="50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0"/>
      <c r="BC344" s="50"/>
      <c r="BD344" s="50"/>
      <c r="BE344" s="50"/>
      <c r="BF344" s="50"/>
      <c r="BG344" s="50"/>
      <c r="BH344" s="50"/>
      <c r="BI344" s="50"/>
      <c r="BJ344" s="50"/>
      <c r="BK344" s="50"/>
      <c r="BL344" s="50"/>
      <c r="BM344" s="50"/>
      <c r="BN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/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  <c r="AQ346" s="50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0"/>
      <c r="BC346" s="50"/>
      <c r="BD346" s="50"/>
      <c r="BE346" s="50"/>
      <c r="BF346" s="50"/>
      <c r="BG346" s="50"/>
      <c r="BH346" s="50"/>
      <c r="BI346" s="50"/>
      <c r="BJ346" s="50"/>
      <c r="BK346" s="50"/>
      <c r="BL346" s="50"/>
      <c r="BM346" s="50"/>
      <c r="BN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/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  <c r="AQ348" s="50"/>
      <c r="AR348" s="50"/>
      <c r="AS348" s="50"/>
      <c r="AT348" s="50"/>
      <c r="AU348" s="50"/>
      <c r="AV348" s="50"/>
      <c r="AW348" s="50"/>
      <c r="AX348" s="50"/>
      <c r="AY348" s="50"/>
      <c r="AZ348" s="50"/>
      <c r="BA348" s="50"/>
      <c r="BB348" s="50"/>
      <c r="BC348" s="50"/>
      <c r="BD348" s="50"/>
      <c r="BE348" s="50"/>
      <c r="BF348" s="50"/>
      <c r="BG348" s="50"/>
      <c r="BH348" s="50"/>
      <c r="BI348" s="50"/>
      <c r="BJ348" s="50"/>
      <c r="BK348" s="50"/>
      <c r="BL348" s="50"/>
      <c r="BM348" s="50"/>
      <c r="BN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/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50"/>
      <c r="AQ350" s="50"/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0"/>
      <c r="BC350" s="50"/>
      <c r="BD350" s="50"/>
      <c r="BE350" s="50"/>
      <c r="BF350" s="50"/>
      <c r="BG350" s="50"/>
      <c r="BH350" s="50"/>
      <c r="BI350" s="50"/>
      <c r="BJ350" s="50"/>
      <c r="BK350" s="50"/>
      <c r="BL350" s="50"/>
      <c r="BM350" s="50"/>
      <c r="BN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0"/>
      <c r="BC351" s="50"/>
      <c r="BD351" s="50"/>
      <c r="BE351" s="50"/>
      <c r="BF351" s="50"/>
      <c r="BG351" s="50"/>
      <c r="BH351" s="50"/>
      <c r="BI351" s="50"/>
      <c r="BJ351" s="50"/>
      <c r="BK351" s="50"/>
      <c r="BL351" s="50"/>
      <c r="BM351" s="50"/>
      <c r="BN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  <c r="AR352" s="50"/>
      <c r="AS352" s="50"/>
      <c r="AT352" s="50"/>
      <c r="AU352" s="50"/>
      <c r="AV352" s="50"/>
      <c r="AW352" s="50"/>
      <c r="AX352" s="50"/>
      <c r="AY352" s="50"/>
      <c r="AZ352" s="50"/>
      <c r="BA352" s="50"/>
      <c r="BB352" s="50"/>
      <c r="BC352" s="50"/>
      <c r="BD352" s="50"/>
      <c r="BE352" s="50"/>
      <c r="BF352" s="50"/>
      <c r="BG352" s="50"/>
      <c r="BH352" s="50"/>
      <c r="BI352" s="50"/>
      <c r="BJ352" s="50"/>
      <c r="BK352" s="50"/>
      <c r="BL352" s="50"/>
      <c r="BM352" s="50"/>
      <c r="BN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  <c r="AR353" s="50"/>
      <c r="AS353" s="50"/>
      <c r="AT353" s="50"/>
      <c r="AU353" s="50"/>
      <c r="AV353" s="50"/>
      <c r="AW353" s="50"/>
      <c r="AX353" s="50"/>
      <c r="AY353" s="50"/>
      <c r="AZ353" s="50"/>
      <c r="BA353" s="50"/>
      <c r="BB353" s="50"/>
      <c r="BC353" s="50"/>
      <c r="BD353" s="50"/>
      <c r="BE353" s="50"/>
      <c r="BF353" s="50"/>
      <c r="BG353" s="50"/>
      <c r="BH353" s="50"/>
      <c r="BI353" s="50"/>
      <c r="BJ353" s="50"/>
      <c r="BK353" s="50"/>
      <c r="BL353" s="50"/>
      <c r="BM353" s="50"/>
      <c r="BN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0"/>
      <c r="BC354" s="50"/>
      <c r="BD354" s="50"/>
      <c r="BE354" s="50"/>
      <c r="BF354" s="50"/>
      <c r="BG354" s="50"/>
      <c r="BH354" s="50"/>
      <c r="BI354" s="50"/>
      <c r="BJ354" s="50"/>
      <c r="BK354" s="50"/>
      <c r="BL354" s="50"/>
      <c r="BM354" s="50"/>
      <c r="BN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50"/>
      <c r="BE355" s="50"/>
      <c r="BF355" s="50"/>
      <c r="BG355" s="50"/>
      <c r="BH355" s="50"/>
      <c r="BI355" s="50"/>
      <c r="BJ355" s="50"/>
      <c r="BK355" s="50"/>
      <c r="BL355" s="50"/>
      <c r="BM355" s="50"/>
      <c r="BN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  <c r="AQ356" s="50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0"/>
      <c r="BC356" s="50"/>
      <c r="BD356" s="50"/>
      <c r="BE356" s="50"/>
      <c r="BF356" s="50"/>
      <c r="BG356" s="50"/>
      <c r="BH356" s="50"/>
      <c r="BI356" s="50"/>
      <c r="BJ356" s="50"/>
      <c r="BK356" s="50"/>
      <c r="BL356" s="50"/>
      <c r="BM356" s="50"/>
      <c r="BN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0"/>
      <c r="BC357" s="50"/>
      <c r="BD357" s="50"/>
      <c r="BE357" s="50"/>
      <c r="BF357" s="50"/>
      <c r="BG357" s="50"/>
      <c r="BH357" s="50"/>
      <c r="BI357" s="50"/>
      <c r="BJ357" s="50"/>
      <c r="BK357" s="50"/>
      <c r="BL357" s="50"/>
      <c r="BM357" s="50"/>
      <c r="BN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50"/>
      <c r="BE358" s="50"/>
      <c r="BF358" s="50"/>
      <c r="BG358" s="50"/>
      <c r="BH358" s="50"/>
      <c r="BI358" s="50"/>
      <c r="BJ358" s="50"/>
      <c r="BK358" s="50"/>
      <c r="BL358" s="50"/>
      <c r="BM358" s="50"/>
      <c r="BN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  <c r="AQ359" s="50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0"/>
      <c r="BC359" s="50"/>
      <c r="BD359" s="50"/>
      <c r="BE359" s="50"/>
      <c r="BF359" s="50"/>
      <c r="BG359" s="50"/>
      <c r="BH359" s="50"/>
      <c r="BI359" s="50"/>
      <c r="BJ359" s="50"/>
      <c r="BK359" s="50"/>
      <c r="BL359" s="50"/>
      <c r="BM359" s="50"/>
      <c r="BN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  <c r="AV360" s="50"/>
      <c r="AW360" s="50"/>
      <c r="AX360" s="50"/>
      <c r="AY360" s="50"/>
      <c r="AZ360" s="50"/>
      <c r="BA360" s="50"/>
      <c r="BB360" s="50"/>
      <c r="BC360" s="50"/>
      <c r="BD360" s="50"/>
      <c r="BE360" s="50"/>
      <c r="BF360" s="50"/>
      <c r="BG360" s="50"/>
      <c r="BH360" s="50"/>
      <c r="BI360" s="50"/>
      <c r="BJ360" s="50"/>
      <c r="BK360" s="50"/>
      <c r="BL360" s="50"/>
      <c r="BM360" s="50"/>
      <c r="BN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50"/>
      <c r="AQ361" s="50"/>
      <c r="AR361" s="50"/>
      <c r="AS361" s="50"/>
      <c r="AT361" s="50"/>
      <c r="AU361" s="50"/>
      <c r="AV361" s="50"/>
      <c r="AW361" s="50"/>
      <c r="AX361" s="50"/>
      <c r="AY361" s="50"/>
      <c r="AZ361" s="50"/>
      <c r="BA361" s="50"/>
      <c r="BB361" s="50"/>
      <c r="BC361" s="50"/>
      <c r="BD361" s="50"/>
      <c r="BE361" s="50"/>
      <c r="BF361" s="50"/>
      <c r="BG361" s="50"/>
      <c r="BH361" s="50"/>
      <c r="BI361" s="50"/>
      <c r="BJ361" s="50"/>
      <c r="BK361" s="50"/>
      <c r="BL361" s="50"/>
      <c r="BM361" s="50"/>
      <c r="BN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50"/>
      <c r="AQ362" s="50"/>
      <c r="AR362" s="50"/>
      <c r="AS362" s="50"/>
      <c r="AT362" s="50"/>
      <c r="AU362" s="50"/>
      <c r="AV362" s="50"/>
      <c r="AW362" s="50"/>
      <c r="AX362" s="50"/>
      <c r="AY362" s="50"/>
      <c r="AZ362" s="50"/>
      <c r="BA362" s="50"/>
      <c r="BB362" s="50"/>
      <c r="BC362" s="50"/>
      <c r="BD362" s="50"/>
      <c r="BE362" s="50"/>
      <c r="BF362" s="50"/>
      <c r="BG362" s="50"/>
      <c r="BH362" s="50"/>
      <c r="BI362" s="50"/>
      <c r="BJ362" s="50"/>
      <c r="BK362" s="50"/>
      <c r="BL362" s="50"/>
      <c r="BM362" s="50"/>
      <c r="BN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50"/>
      <c r="AQ363" s="50"/>
      <c r="AR363" s="50"/>
      <c r="AS363" s="50"/>
      <c r="AT363" s="50"/>
      <c r="AU363" s="50"/>
      <c r="AV363" s="50"/>
      <c r="AW363" s="50"/>
      <c r="AX363" s="50"/>
      <c r="AY363" s="50"/>
      <c r="AZ363" s="50"/>
      <c r="BA363" s="50"/>
      <c r="BB363" s="50"/>
      <c r="BC363" s="50"/>
      <c r="BD363" s="50"/>
      <c r="BE363" s="50"/>
      <c r="BF363" s="50"/>
      <c r="BG363" s="50"/>
      <c r="BH363" s="50"/>
      <c r="BI363" s="50"/>
      <c r="BJ363" s="50"/>
      <c r="BK363" s="50"/>
      <c r="BL363" s="50"/>
      <c r="BM363" s="50"/>
      <c r="BN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50"/>
      <c r="AQ364" s="50"/>
      <c r="AR364" s="50"/>
      <c r="AS364" s="50"/>
      <c r="AT364" s="50"/>
      <c r="AU364" s="50"/>
      <c r="AV364" s="50"/>
      <c r="AW364" s="50"/>
      <c r="AX364" s="50"/>
      <c r="AY364" s="50"/>
      <c r="AZ364" s="50"/>
      <c r="BA364" s="50"/>
      <c r="BB364" s="50"/>
      <c r="BC364" s="50"/>
      <c r="BD364" s="50"/>
      <c r="BE364" s="50"/>
      <c r="BF364" s="50"/>
      <c r="BG364" s="50"/>
      <c r="BH364" s="50"/>
      <c r="BI364" s="50"/>
      <c r="BJ364" s="50"/>
      <c r="BK364" s="50"/>
      <c r="BL364" s="50"/>
      <c r="BM364" s="50"/>
      <c r="BN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50"/>
      <c r="AQ365" s="50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0"/>
      <c r="BC365" s="50"/>
      <c r="BD365" s="50"/>
      <c r="BE365" s="50"/>
      <c r="BF365" s="50"/>
      <c r="BG365" s="50"/>
      <c r="BH365" s="50"/>
      <c r="BI365" s="50"/>
      <c r="BJ365" s="50"/>
      <c r="BK365" s="50"/>
      <c r="BL365" s="50"/>
      <c r="BM365" s="50"/>
      <c r="BN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50"/>
      <c r="AQ366" s="50"/>
      <c r="AR366" s="50"/>
      <c r="AS366" s="50"/>
      <c r="AT366" s="50"/>
      <c r="AU366" s="50"/>
      <c r="AV366" s="50"/>
      <c r="AW366" s="50"/>
      <c r="AX366" s="50"/>
      <c r="AY366" s="50"/>
      <c r="AZ366" s="50"/>
      <c r="BA366" s="50"/>
      <c r="BB366" s="50"/>
      <c r="BC366" s="50"/>
      <c r="BD366" s="50"/>
      <c r="BE366" s="50"/>
      <c r="BF366" s="50"/>
      <c r="BG366" s="50"/>
      <c r="BH366" s="50"/>
      <c r="BI366" s="50"/>
      <c r="BJ366" s="50"/>
      <c r="BK366" s="50"/>
      <c r="BL366" s="50"/>
      <c r="BM366" s="50"/>
      <c r="BN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50"/>
      <c r="AQ367" s="50"/>
      <c r="AR367" s="50"/>
      <c r="AS367" s="50"/>
      <c r="AT367" s="50"/>
      <c r="AU367" s="50"/>
      <c r="AV367" s="50"/>
      <c r="AW367" s="50"/>
      <c r="AX367" s="50"/>
      <c r="AY367" s="50"/>
      <c r="AZ367" s="50"/>
      <c r="BA367" s="50"/>
      <c r="BB367" s="50"/>
      <c r="BC367" s="50"/>
      <c r="BD367" s="50"/>
      <c r="BE367" s="50"/>
      <c r="BF367" s="50"/>
      <c r="BG367" s="50"/>
      <c r="BH367" s="50"/>
      <c r="BI367" s="50"/>
      <c r="BJ367" s="50"/>
      <c r="BK367" s="50"/>
      <c r="BL367" s="50"/>
      <c r="BM367" s="50"/>
      <c r="BN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50"/>
      <c r="BE368" s="50"/>
      <c r="BF368" s="50"/>
      <c r="BG368" s="50"/>
      <c r="BH368" s="50"/>
      <c r="BI368" s="50"/>
      <c r="BJ368" s="50"/>
      <c r="BK368" s="50"/>
      <c r="BL368" s="50"/>
      <c r="BM368" s="50"/>
      <c r="BN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50"/>
      <c r="AQ369" s="50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0"/>
      <c r="BC369" s="50"/>
      <c r="BD369" s="50"/>
      <c r="BE369" s="50"/>
      <c r="BF369" s="50"/>
      <c r="BG369" s="50"/>
      <c r="BH369" s="50"/>
      <c r="BI369" s="50"/>
      <c r="BJ369" s="50"/>
      <c r="BK369" s="50"/>
      <c r="BL369" s="50"/>
      <c r="BM369" s="50"/>
      <c r="BN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50"/>
      <c r="BE370" s="50"/>
      <c r="BF370" s="50"/>
      <c r="BG370" s="50"/>
      <c r="BH370" s="50"/>
      <c r="BI370" s="50"/>
      <c r="BJ370" s="50"/>
      <c r="BK370" s="50"/>
      <c r="BL370" s="50"/>
      <c r="BM370" s="50"/>
      <c r="BN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0"/>
      <c r="BC371" s="50"/>
      <c r="BD371" s="50"/>
      <c r="BE371" s="50"/>
      <c r="BF371" s="50"/>
      <c r="BG371" s="50"/>
      <c r="BH371" s="50"/>
      <c r="BI371" s="50"/>
      <c r="BJ371" s="50"/>
      <c r="BK371" s="50"/>
      <c r="BL371" s="50"/>
      <c r="BM371" s="50"/>
      <c r="BN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0"/>
      <c r="AR372" s="50"/>
      <c r="AS372" s="50"/>
      <c r="AT372" s="50"/>
      <c r="AU372" s="50"/>
      <c r="AV372" s="50"/>
      <c r="AW372" s="50"/>
      <c r="AX372" s="50"/>
      <c r="AY372" s="50"/>
      <c r="AZ372" s="50"/>
      <c r="BA372" s="50"/>
      <c r="BB372" s="50"/>
      <c r="BC372" s="50"/>
      <c r="BD372" s="50"/>
      <c r="BE372" s="50"/>
      <c r="BF372" s="50"/>
      <c r="BG372" s="50"/>
      <c r="BH372" s="50"/>
      <c r="BI372" s="50"/>
      <c r="BJ372" s="50"/>
      <c r="BK372" s="50"/>
      <c r="BL372" s="50"/>
      <c r="BM372" s="50"/>
      <c r="BN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50"/>
      <c r="AQ373" s="50"/>
      <c r="AR373" s="50"/>
      <c r="AS373" s="50"/>
      <c r="AT373" s="50"/>
      <c r="AU373" s="50"/>
      <c r="AV373" s="50"/>
      <c r="AW373" s="50"/>
      <c r="AX373" s="50"/>
      <c r="AY373" s="50"/>
      <c r="AZ373" s="50"/>
      <c r="BA373" s="50"/>
      <c r="BB373" s="50"/>
      <c r="BC373" s="50"/>
      <c r="BD373" s="50"/>
      <c r="BE373" s="50"/>
      <c r="BF373" s="50"/>
      <c r="BG373" s="50"/>
      <c r="BH373" s="50"/>
      <c r="BI373" s="50"/>
      <c r="BJ373" s="50"/>
      <c r="BK373" s="50"/>
      <c r="BL373" s="50"/>
      <c r="BM373" s="50"/>
      <c r="BN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  <c r="BL374" s="50"/>
      <c r="BM374" s="50"/>
      <c r="BN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50"/>
      <c r="AQ375" s="50"/>
      <c r="AR375" s="50"/>
      <c r="AS375" s="50"/>
      <c r="AT375" s="50"/>
      <c r="AU375" s="50"/>
      <c r="AV375" s="50"/>
      <c r="AW375" s="50"/>
      <c r="AX375" s="50"/>
      <c r="AY375" s="50"/>
      <c r="AZ375" s="50"/>
      <c r="BA375" s="50"/>
      <c r="BB375" s="50"/>
      <c r="BC375" s="50"/>
      <c r="BD375" s="50"/>
      <c r="BE375" s="50"/>
      <c r="BF375" s="50"/>
      <c r="BG375" s="50"/>
      <c r="BH375" s="50"/>
      <c r="BI375" s="50"/>
      <c r="BJ375" s="50"/>
      <c r="BK375" s="50"/>
      <c r="BL375" s="50"/>
      <c r="BM375" s="50"/>
      <c r="BN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50"/>
      <c r="AQ376" s="50"/>
      <c r="AR376" s="50"/>
      <c r="AS376" s="50"/>
      <c r="AT376" s="50"/>
      <c r="AU376" s="50"/>
      <c r="AV376" s="50"/>
      <c r="AW376" s="50"/>
      <c r="AX376" s="50"/>
      <c r="AY376" s="50"/>
      <c r="AZ376" s="50"/>
      <c r="BA376" s="50"/>
      <c r="BB376" s="50"/>
      <c r="BC376" s="50"/>
      <c r="BD376" s="50"/>
      <c r="BE376" s="50"/>
      <c r="BF376" s="50"/>
      <c r="BG376" s="50"/>
      <c r="BH376" s="50"/>
      <c r="BI376" s="50"/>
      <c r="BJ376" s="50"/>
      <c r="BK376" s="50"/>
      <c r="BL376" s="50"/>
      <c r="BM376" s="50"/>
      <c r="BN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50"/>
      <c r="AQ377" s="50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0"/>
      <c r="BC377" s="50"/>
      <c r="BD377" s="50"/>
      <c r="BE377" s="50"/>
      <c r="BF377" s="50"/>
      <c r="BG377" s="50"/>
      <c r="BH377" s="50"/>
      <c r="BI377" s="50"/>
      <c r="BJ377" s="50"/>
      <c r="BK377" s="50"/>
      <c r="BL377" s="50"/>
      <c r="BM377" s="50"/>
      <c r="BN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  <c r="AQ378" s="50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50"/>
      <c r="BE378" s="50"/>
      <c r="BF378" s="50"/>
      <c r="BG378" s="50"/>
      <c r="BH378" s="50"/>
      <c r="BI378" s="50"/>
      <c r="BJ378" s="50"/>
      <c r="BK378" s="50"/>
      <c r="BL378" s="50"/>
      <c r="BM378" s="50"/>
      <c r="BN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50"/>
      <c r="AQ379" s="50"/>
      <c r="AR379" s="50"/>
      <c r="AS379" s="50"/>
      <c r="AT379" s="50"/>
      <c r="AU379" s="50"/>
      <c r="AV379" s="50"/>
      <c r="AW379" s="50"/>
      <c r="AX379" s="50"/>
      <c r="AY379" s="50"/>
      <c r="AZ379" s="50"/>
      <c r="BA379" s="50"/>
      <c r="BB379" s="50"/>
      <c r="BC379" s="50"/>
      <c r="BD379" s="50"/>
      <c r="BE379" s="50"/>
      <c r="BF379" s="50"/>
      <c r="BG379" s="50"/>
      <c r="BH379" s="50"/>
      <c r="BI379" s="50"/>
      <c r="BJ379" s="50"/>
      <c r="BK379" s="50"/>
      <c r="BL379" s="50"/>
      <c r="BM379" s="50"/>
      <c r="BN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50"/>
      <c r="AQ380" s="50"/>
      <c r="AR380" s="50"/>
      <c r="AS380" s="50"/>
      <c r="AT380" s="50"/>
      <c r="AU380" s="50"/>
      <c r="AV380" s="50"/>
      <c r="AW380" s="50"/>
      <c r="AX380" s="50"/>
      <c r="AY380" s="50"/>
      <c r="AZ380" s="50"/>
      <c r="BA380" s="50"/>
      <c r="BB380" s="50"/>
      <c r="BC380" s="50"/>
      <c r="BD380" s="50"/>
      <c r="BE380" s="50"/>
      <c r="BF380" s="50"/>
      <c r="BG380" s="50"/>
      <c r="BH380" s="50"/>
      <c r="BI380" s="50"/>
      <c r="BJ380" s="50"/>
      <c r="BK380" s="50"/>
      <c r="BL380" s="50"/>
      <c r="BM380" s="50"/>
      <c r="BN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50"/>
      <c r="AQ381" s="50"/>
      <c r="AR381" s="50"/>
      <c r="AS381" s="50"/>
      <c r="AT381" s="50"/>
      <c r="AU381" s="50"/>
      <c r="AV381" s="50"/>
      <c r="AW381" s="50"/>
      <c r="AX381" s="50"/>
      <c r="AY381" s="50"/>
      <c r="AZ381" s="50"/>
      <c r="BA381" s="50"/>
      <c r="BB381" s="50"/>
      <c r="BC381" s="50"/>
      <c r="BD381" s="50"/>
      <c r="BE381" s="50"/>
      <c r="BF381" s="50"/>
      <c r="BG381" s="50"/>
      <c r="BH381" s="50"/>
      <c r="BI381" s="50"/>
      <c r="BJ381" s="50"/>
      <c r="BK381" s="50"/>
      <c r="BL381" s="50"/>
      <c r="BM381" s="50"/>
      <c r="BN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50"/>
      <c r="AQ382" s="50"/>
      <c r="AR382" s="50"/>
      <c r="AS382" s="50"/>
      <c r="AT382" s="50"/>
      <c r="AU382" s="50"/>
      <c r="AV382" s="50"/>
      <c r="AW382" s="50"/>
      <c r="AX382" s="50"/>
      <c r="AY382" s="50"/>
      <c r="AZ382" s="50"/>
      <c r="BA382" s="50"/>
      <c r="BB382" s="50"/>
      <c r="BC382" s="50"/>
      <c r="BD382" s="50"/>
      <c r="BE382" s="50"/>
      <c r="BF382" s="50"/>
      <c r="BG382" s="50"/>
      <c r="BH382" s="50"/>
      <c r="BI382" s="50"/>
      <c r="BJ382" s="50"/>
      <c r="BK382" s="50"/>
      <c r="BL382" s="50"/>
      <c r="BM382" s="50"/>
      <c r="BN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50"/>
      <c r="AQ383" s="50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50"/>
      <c r="BE383" s="50"/>
      <c r="BF383" s="50"/>
      <c r="BG383" s="50"/>
      <c r="BH383" s="50"/>
      <c r="BI383" s="50"/>
      <c r="BJ383" s="50"/>
      <c r="BK383" s="50"/>
      <c r="BL383" s="50"/>
      <c r="BM383" s="50"/>
      <c r="BN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50"/>
      <c r="AQ384" s="50"/>
      <c r="AR384" s="50"/>
      <c r="AS384" s="50"/>
      <c r="AT384" s="50"/>
      <c r="AU384" s="50"/>
      <c r="AV384" s="50"/>
      <c r="AW384" s="50"/>
      <c r="AX384" s="50"/>
      <c r="AY384" s="50"/>
      <c r="AZ384" s="50"/>
      <c r="BA384" s="50"/>
      <c r="BB384" s="50"/>
      <c r="BC384" s="50"/>
      <c r="BD384" s="50"/>
      <c r="BE384" s="50"/>
      <c r="BF384" s="50"/>
      <c r="BG384" s="50"/>
      <c r="BH384" s="50"/>
      <c r="BI384" s="50"/>
      <c r="BJ384" s="50"/>
      <c r="BK384" s="50"/>
      <c r="BL384" s="50"/>
      <c r="BM384" s="50"/>
      <c r="BN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/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50"/>
      <c r="AQ386" s="50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0"/>
      <c r="BE386" s="50"/>
      <c r="BF386" s="50"/>
      <c r="BG386" s="50"/>
      <c r="BH386" s="50"/>
      <c r="BI386" s="50"/>
      <c r="BJ386" s="50"/>
      <c r="BK386" s="50"/>
      <c r="BL386" s="50"/>
      <c r="BM386" s="50"/>
      <c r="BN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50"/>
      <c r="AR388" s="50"/>
      <c r="AS388" s="50"/>
      <c r="AT388" s="50"/>
      <c r="AU388" s="50"/>
      <c r="AV388" s="50"/>
      <c r="AW388" s="50"/>
      <c r="AX388" s="50"/>
      <c r="AY388" s="50"/>
      <c r="AZ388" s="50"/>
      <c r="BA388" s="50"/>
      <c r="BB388" s="50"/>
      <c r="BC388" s="50"/>
      <c r="BD388" s="50"/>
      <c r="BE388" s="50"/>
      <c r="BF388" s="50"/>
      <c r="BG388" s="50"/>
      <c r="BH388" s="50"/>
      <c r="BI388" s="50"/>
      <c r="BJ388" s="50"/>
      <c r="BK388" s="50"/>
      <c r="BL388" s="50"/>
      <c r="BM388" s="50"/>
      <c r="BN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/>
      <c r="BE390" s="50"/>
      <c r="BF390" s="50"/>
      <c r="BG390" s="50"/>
      <c r="BH390" s="50"/>
      <c r="BI390" s="50"/>
      <c r="BJ390" s="50"/>
      <c r="BK390" s="50"/>
      <c r="BL390" s="50"/>
      <c r="BM390" s="50"/>
      <c r="BN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  <c r="AQ391" s="50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50"/>
      <c r="BE391" s="50"/>
      <c r="BF391" s="50"/>
      <c r="BG391" s="50"/>
      <c r="BH391" s="50"/>
      <c r="BI391" s="50"/>
      <c r="BJ391" s="50"/>
      <c r="BK391" s="50"/>
      <c r="BL391" s="50"/>
      <c r="BM391" s="50"/>
      <c r="BN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  <c r="AQ392" s="50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50"/>
      <c r="BE392" s="50"/>
      <c r="BF392" s="50"/>
      <c r="BG392" s="50"/>
      <c r="BH392" s="50"/>
      <c r="BI392" s="50"/>
      <c r="BJ392" s="50"/>
      <c r="BK392" s="50"/>
      <c r="BL392" s="50"/>
      <c r="BM392" s="50"/>
      <c r="BN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50"/>
      <c r="AQ393" s="50"/>
      <c r="AR393" s="50"/>
      <c r="AS393" s="50"/>
      <c r="AT393" s="50"/>
      <c r="AU393" s="50"/>
      <c r="AV393" s="50"/>
      <c r="AW393" s="50"/>
      <c r="AX393" s="50"/>
      <c r="AY393" s="50"/>
      <c r="AZ393" s="50"/>
      <c r="BA393" s="50"/>
      <c r="BB393" s="50"/>
      <c r="BC393" s="50"/>
      <c r="BD393" s="50"/>
      <c r="BE393" s="50"/>
      <c r="BF393" s="50"/>
      <c r="BG393" s="50"/>
      <c r="BH393" s="50"/>
      <c r="BI393" s="50"/>
      <c r="BJ393" s="50"/>
      <c r="BK393" s="50"/>
      <c r="BL393" s="50"/>
      <c r="BM393" s="50"/>
      <c r="BN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50"/>
      <c r="AQ394" s="50"/>
      <c r="AR394" s="50"/>
      <c r="AS394" s="50"/>
      <c r="AT394" s="50"/>
      <c r="AU394" s="50"/>
      <c r="AV394" s="50"/>
      <c r="AW394" s="50"/>
      <c r="AX394" s="50"/>
      <c r="AY394" s="50"/>
      <c r="AZ394" s="50"/>
      <c r="BA394" s="50"/>
      <c r="BB394" s="50"/>
      <c r="BC394" s="50"/>
      <c r="BD394" s="50"/>
      <c r="BE394" s="50"/>
      <c r="BF394" s="50"/>
      <c r="BG394" s="50"/>
      <c r="BH394" s="50"/>
      <c r="BI394" s="50"/>
      <c r="BJ394" s="50"/>
      <c r="BK394" s="50"/>
      <c r="BL394" s="50"/>
      <c r="BM394" s="50"/>
      <c r="BN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50"/>
      <c r="AQ395" s="50"/>
      <c r="AR395" s="50"/>
      <c r="AS395" s="50"/>
      <c r="AT395" s="50"/>
      <c r="AU395" s="50"/>
      <c r="AV395" s="50"/>
      <c r="AW395" s="50"/>
      <c r="AX395" s="50"/>
      <c r="AY395" s="50"/>
      <c r="AZ395" s="50"/>
      <c r="BA395" s="50"/>
      <c r="BB395" s="50"/>
      <c r="BC395" s="50"/>
      <c r="BD395" s="50"/>
      <c r="BE395" s="50"/>
      <c r="BF395" s="50"/>
      <c r="BG395" s="50"/>
      <c r="BH395" s="50"/>
      <c r="BI395" s="50"/>
      <c r="BJ395" s="50"/>
      <c r="BK395" s="50"/>
      <c r="BL395" s="50"/>
      <c r="BM395" s="50"/>
      <c r="BN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  <c r="AQ396" s="50"/>
      <c r="AR396" s="50"/>
      <c r="AS396" s="50"/>
      <c r="AT396" s="50"/>
      <c r="AU396" s="50"/>
      <c r="AV396" s="50"/>
      <c r="AW396" s="50"/>
      <c r="AX396" s="50"/>
      <c r="AY396" s="50"/>
      <c r="AZ396" s="50"/>
      <c r="BA396" s="50"/>
      <c r="BB396" s="50"/>
      <c r="BC396" s="50"/>
      <c r="BD396" s="50"/>
      <c r="BE396" s="50"/>
      <c r="BF396" s="50"/>
      <c r="BG396" s="50"/>
      <c r="BH396" s="50"/>
      <c r="BI396" s="50"/>
      <c r="BJ396" s="50"/>
      <c r="BK396" s="50"/>
      <c r="BL396" s="50"/>
      <c r="BM396" s="50"/>
      <c r="BN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50"/>
      <c r="AQ397" s="50"/>
      <c r="AR397" s="50"/>
      <c r="AS397" s="50"/>
      <c r="AT397" s="50"/>
      <c r="AU397" s="50"/>
      <c r="AV397" s="50"/>
      <c r="AW397" s="50"/>
      <c r="AX397" s="50"/>
      <c r="AY397" s="50"/>
      <c r="AZ397" s="50"/>
      <c r="BA397" s="50"/>
      <c r="BB397" s="50"/>
      <c r="BC397" s="50"/>
      <c r="BD397" s="50"/>
      <c r="BE397" s="50"/>
      <c r="BF397" s="50"/>
      <c r="BG397" s="50"/>
      <c r="BH397" s="50"/>
      <c r="BI397" s="50"/>
      <c r="BJ397" s="50"/>
      <c r="BK397" s="50"/>
      <c r="BL397" s="50"/>
      <c r="BM397" s="50"/>
      <c r="BN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50"/>
      <c r="AQ398" s="50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0"/>
      <c r="BE398" s="50"/>
      <c r="BF398" s="50"/>
      <c r="BG398" s="50"/>
      <c r="BH398" s="50"/>
      <c r="BI398" s="50"/>
      <c r="BJ398" s="50"/>
      <c r="BK398" s="50"/>
      <c r="BL398" s="50"/>
      <c r="BM398" s="50"/>
      <c r="BN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50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0"/>
      <c r="BE399" s="50"/>
      <c r="BF399" s="50"/>
      <c r="BG399" s="50"/>
      <c r="BH399" s="50"/>
      <c r="BI399" s="50"/>
      <c r="BJ399" s="50"/>
      <c r="BK399" s="50"/>
      <c r="BL399" s="50"/>
      <c r="BM399" s="50"/>
      <c r="BN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50"/>
      <c r="AQ400" s="50"/>
      <c r="AR400" s="50"/>
      <c r="AS400" s="50"/>
      <c r="AT400" s="50"/>
      <c r="AU400" s="50"/>
      <c r="AV400" s="50"/>
      <c r="AW400" s="50"/>
      <c r="AX400" s="50"/>
      <c r="AY400" s="50"/>
      <c r="AZ400" s="50"/>
      <c r="BA400" s="50"/>
      <c r="BB400" s="50"/>
      <c r="BC400" s="50"/>
      <c r="BD400" s="50"/>
      <c r="BE400" s="50"/>
      <c r="BF400" s="50"/>
      <c r="BG400" s="50"/>
      <c r="BH400" s="50"/>
      <c r="BI400" s="50"/>
      <c r="BJ400" s="50"/>
      <c r="BK400" s="50"/>
      <c r="BL400" s="50"/>
      <c r="BM400" s="50"/>
      <c r="BN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  <c r="AQ401" s="50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0"/>
      <c r="BE401" s="50"/>
      <c r="BF401" s="50"/>
      <c r="BG401" s="50"/>
      <c r="BH401" s="50"/>
      <c r="BI401" s="50"/>
      <c r="BJ401" s="50"/>
      <c r="BK401" s="50"/>
      <c r="BL401" s="50"/>
      <c r="BM401" s="50"/>
      <c r="BN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  <c r="AQ402" s="50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50"/>
      <c r="BE402" s="50"/>
      <c r="BF402" s="50"/>
      <c r="BG402" s="50"/>
      <c r="BH402" s="50"/>
      <c r="BI402" s="50"/>
      <c r="BJ402" s="50"/>
      <c r="BK402" s="50"/>
      <c r="BL402" s="50"/>
      <c r="BM402" s="50"/>
      <c r="BN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50"/>
      <c r="AQ403" s="50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0"/>
      <c r="BC403" s="50"/>
      <c r="BD403" s="50"/>
      <c r="BE403" s="50"/>
      <c r="BF403" s="50"/>
      <c r="BG403" s="50"/>
      <c r="BH403" s="50"/>
      <c r="BI403" s="50"/>
      <c r="BJ403" s="50"/>
      <c r="BK403" s="50"/>
      <c r="BL403" s="50"/>
      <c r="BM403" s="50"/>
      <c r="BN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50"/>
      <c r="AQ404" s="50"/>
      <c r="AR404" s="50"/>
      <c r="AS404" s="50"/>
      <c r="AT404" s="50"/>
      <c r="AU404" s="50"/>
      <c r="AV404" s="50"/>
      <c r="AW404" s="50"/>
      <c r="AX404" s="50"/>
      <c r="AY404" s="50"/>
      <c r="AZ404" s="50"/>
      <c r="BA404" s="50"/>
      <c r="BB404" s="50"/>
      <c r="BC404" s="50"/>
      <c r="BD404" s="50"/>
      <c r="BE404" s="50"/>
      <c r="BF404" s="50"/>
      <c r="BG404" s="50"/>
      <c r="BH404" s="50"/>
      <c r="BI404" s="50"/>
      <c r="BJ404" s="50"/>
      <c r="BK404" s="50"/>
      <c r="BL404" s="50"/>
      <c r="BM404" s="50"/>
      <c r="BN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50"/>
      <c r="AQ405" s="50"/>
      <c r="AR405" s="50"/>
      <c r="AS405" s="50"/>
      <c r="AT405" s="50"/>
      <c r="AU405" s="50"/>
      <c r="AV405" s="50"/>
      <c r="AW405" s="50"/>
      <c r="AX405" s="50"/>
      <c r="AY405" s="50"/>
      <c r="AZ405" s="50"/>
      <c r="BA405" s="50"/>
      <c r="BB405" s="50"/>
      <c r="BC405" s="50"/>
      <c r="BD405" s="50"/>
      <c r="BE405" s="50"/>
      <c r="BF405" s="50"/>
      <c r="BG405" s="50"/>
      <c r="BH405" s="50"/>
      <c r="BI405" s="50"/>
      <c r="BJ405" s="50"/>
      <c r="BK405" s="50"/>
      <c r="BL405" s="50"/>
      <c r="BM405" s="50"/>
      <c r="BN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/>
      <c r="AR406" s="50"/>
      <c r="AS406" s="50"/>
      <c r="AT406" s="50"/>
      <c r="AU406" s="50"/>
      <c r="AV406" s="50"/>
      <c r="AW406" s="50"/>
      <c r="AX406" s="50"/>
      <c r="AY406" s="50"/>
      <c r="AZ406" s="50"/>
      <c r="BA406" s="50"/>
      <c r="BB406" s="50"/>
      <c r="BC406" s="50"/>
      <c r="BD406" s="50"/>
      <c r="BE406" s="50"/>
      <c r="BF406" s="50"/>
      <c r="BG406" s="50"/>
      <c r="BH406" s="50"/>
      <c r="BI406" s="50"/>
      <c r="BJ406" s="50"/>
      <c r="BK406" s="50"/>
      <c r="BL406" s="50"/>
      <c r="BM406" s="50"/>
      <c r="BN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  <c r="AQ407" s="50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0"/>
      <c r="BC407" s="50"/>
      <c r="BD407" s="50"/>
      <c r="BE407" s="50"/>
      <c r="BF407" s="50"/>
      <c r="BG407" s="50"/>
      <c r="BH407" s="50"/>
      <c r="BI407" s="50"/>
      <c r="BJ407" s="50"/>
      <c r="BK407" s="50"/>
      <c r="BL407" s="50"/>
      <c r="BM407" s="50"/>
      <c r="BN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50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0"/>
      <c r="BC408" s="50"/>
      <c r="BD408" s="50"/>
      <c r="BE408" s="50"/>
      <c r="BF408" s="50"/>
      <c r="BG408" s="50"/>
      <c r="BH408" s="50"/>
      <c r="BI408" s="50"/>
      <c r="BJ408" s="50"/>
      <c r="BK408" s="50"/>
      <c r="BL408" s="50"/>
      <c r="BM408" s="50"/>
      <c r="BN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50"/>
      <c r="AQ409" s="50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0"/>
      <c r="BC409" s="50"/>
      <c r="BD409" s="50"/>
      <c r="BE409" s="50"/>
      <c r="BF409" s="50"/>
      <c r="BG409" s="50"/>
      <c r="BH409" s="50"/>
      <c r="BI409" s="50"/>
      <c r="BJ409" s="50"/>
      <c r="BK409" s="50"/>
      <c r="BL409" s="50"/>
      <c r="BM409" s="50"/>
      <c r="BN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50"/>
      <c r="AQ410" s="50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50"/>
      <c r="BE410" s="50"/>
      <c r="BF410" s="50"/>
      <c r="BG410" s="50"/>
      <c r="BH410" s="50"/>
      <c r="BI410" s="50"/>
      <c r="BJ410" s="50"/>
      <c r="BK410" s="50"/>
      <c r="BL410" s="50"/>
      <c r="BM410" s="50"/>
      <c r="BN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50"/>
      <c r="AQ411" s="50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0"/>
      <c r="BC411" s="50"/>
      <c r="BD411" s="50"/>
      <c r="BE411" s="50"/>
      <c r="BF411" s="50"/>
      <c r="BG411" s="50"/>
      <c r="BH411" s="50"/>
      <c r="BI411" s="50"/>
      <c r="BJ411" s="50"/>
      <c r="BK411" s="50"/>
      <c r="BL411" s="50"/>
      <c r="BM411" s="50"/>
      <c r="BN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  <c r="AQ412" s="50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0"/>
      <c r="BC412" s="50"/>
      <c r="BD412" s="50"/>
      <c r="BE412" s="50"/>
      <c r="BF412" s="50"/>
      <c r="BG412" s="50"/>
      <c r="BH412" s="50"/>
      <c r="BI412" s="50"/>
      <c r="BJ412" s="50"/>
      <c r="BK412" s="50"/>
      <c r="BL412" s="50"/>
      <c r="BM412" s="50"/>
      <c r="BN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50"/>
      <c r="AQ413" s="50"/>
      <c r="AR413" s="50"/>
      <c r="AS413" s="50"/>
      <c r="AT413" s="50"/>
      <c r="AU413" s="50"/>
      <c r="AV413" s="50"/>
      <c r="AW413" s="50"/>
      <c r="AX413" s="50"/>
      <c r="AY413" s="50"/>
      <c r="AZ413" s="50"/>
      <c r="BA413" s="50"/>
      <c r="BB413" s="50"/>
      <c r="BC413" s="50"/>
      <c r="BD413" s="50"/>
      <c r="BE413" s="50"/>
      <c r="BF413" s="50"/>
      <c r="BG413" s="50"/>
      <c r="BH413" s="50"/>
      <c r="BI413" s="50"/>
      <c r="BJ413" s="50"/>
      <c r="BK413" s="50"/>
      <c r="BL413" s="50"/>
      <c r="BM413" s="50"/>
      <c r="BN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50"/>
      <c r="AQ414" s="50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50"/>
      <c r="BE414" s="50"/>
      <c r="BF414" s="50"/>
      <c r="BG414" s="50"/>
      <c r="BH414" s="50"/>
      <c r="BI414" s="50"/>
      <c r="BJ414" s="50"/>
      <c r="BK414" s="50"/>
      <c r="BL414" s="50"/>
      <c r="BM414" s="50"/>
      <c r="BN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0"/>
      <c r="BC415" s="50"/>
      <c r="BD415" s="50"/>
      <c r="BE415" s="50"/>
      <c r="BF415" s="50"/>
      <c r="BG415" s="50"/>
      <c r="BH415" s="50"/>
      <c r="BI415" s="50"/>
      <c r="BJ415" s="50"/>
      <c r="BK415" s="50"/>
      <c r="BL415" s="50"/>
      <c r="BM415" s="50"/>
      <c r="BN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50"/>
      <c r="AQ416" s="50"/>
      <c r="AR416" s="50"/>
      <c r="AS416" s="50"/>
      <c r="AT416" s="50"/>
      <c r="AU416" s="50"/>
      <c r="AV416" s="50"/>
      <c r="AW416" s="50"/>
      <c r="AX416" s="50"/>
      <c r="AY416" s="50"/>
      <c r="AZ416" s="50"/>
      <c r="BA416" s="50"/>
      <c r="BB416" s="50"/>
      <c r="BC416" s="50"/>
      <c r="BD416" s="50"/>
      <c r="BE416" s="50"/>
      <c r="BF416" s="50"/>
      <c r="BG416" s="50"/>
      <c r="BH416" s="50"/>
      <c r="BI416" s="50"/>
      <c r="BJ416" s="50"/>
      <c r="BK416" s="50"/>
      <c r="BL416" s="50"/>
      <c r="BM416" s="50"/>
      <c r="BN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50"/>
      <c r="AQ417" s="50"/>
      <c r="AR417" s="50"/>
      <c r="AS417" s="50"/>
      <c r="AT417" s="50"/>
      <c r="AU417" s="50"/>
      <c r="AV417" s="50"/>
      <c r="AW417" s="50"/>
      <c r="AX417" s="50"/>
      <c r="AY417" s="50"/>
      <c r="AZ417" s="50"/>
      <c r="BA417" s="50"/>
      <c r="BB417" s="50"/>
      <c r="BC417" s="50"/>
      <c r="BD417" s="50"/>
      <c r="BE417" s="50"/>
      <c r="BF417" s="50"/>
      <c r="BG417" s="50"/>
      <c r="BH417" s="50"/>
      <c r="BI417" s="50"/>
      <c r="BJ417" s="50"/>
      <c r="BK417" s="50"/>
      <c r="BL417" s="50"/>
      <c r="BM417" s="50"/>
      <c r="BN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50"/>
      <c r="AQ418" s="50"/>
      <c r="AR418" s="50"/>
      <c r="AS418" s="50"/>
      <c r="AT418" s="50"/>
      <c r="AU418" s="50"/>
      <c r="AV418" s="50"/>
      <c r="AW418" s="50"/>
      <c r="AX418" s="50"/>
      <c r="AY418" s="50"/>
      <c r="AZ418" s="50"/>
      <c r="BA418" s="50"/>
      <c r="BB418" s="50"/>
      <c r="BC418" s="50"/>
      <c r="BD418" s="50"/>
      <c r="BE418" s="50"/>
      <c r="BF418" s="50"/>
      <c r="BG418" s="50"/>
      <c r="BH418" s="50"/>
      <c r="BI418" s="50"/>
      <c r="BJ418" s="50"/>
      <c r="BK418" s="50"/>
      <c r="BL418" s="50"/>
      <c r="BM418" s="50"/>
      <c r="BN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50"/>
      <c r="AQ419" s="50"/>
      <c r="AR419" s="50"/>
      <c r="AS419" s="50"/>
      <c r="AT419" s="50"/>
      <c r="AU419" s="50"/>
      <c r="AV419" s="50"/>
      <c r="AW419" s="50"/>
      <c r="AX419" s="50"/>
      <c r="AY419" s="50"/>
      <c r="AZ419" s="50"/>
      <c r="BA419" s="50"/>
      <c r="BB419" s="50"/>
      <c r="BC419" s="50"/>
      <c r="BD419" s="50"/>
      <c r="BE419" s="50"/>
      <c r="BF419" s="50"/>
      <c r="BG419" s="50"/>
      <c r="BH419" s="50"/>
      <c r="BI419" s="50"/>
      <c r="BJ419" s="50"/>
      <c r="BK419" s="50"/>
      <c r="BL419" s="50"/>
      <c r="BM419" s="50"/>
      <c r="BN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50"/>
      <c r="AQ420" s="50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0"/>
      <c r="BC420" s="50"/>
      <c r="BD420" s="50"/>
      <c r="BE420" s="50"/>
      <c r="BF420" s="50"/>
      <c r="BG420" s="50"/>
      <c r="BH420" s="50"/>
      <c r="BI420" s="50"/>
      <c r="BJ420" s="50"/>
      <c r="BK420" s="50"/>
      <c r="BL420" s="50"/>
      <c r="BM420" s="50"/>
      <c r="BN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50"/>
      <c r="AQ421" s="50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0"/>
      <c r="BC421" s="50"/>
      <c r="BD421" s="50"/>
      <c r="BE421" s="50"/>
      <c r="BF421" s="50"/>
      <c r="BG421" s="50"/>
      <c r="BH421" s="50"/>
      <c r="BI421" s="50"/>
      <c r="BJ421" s="50"/>
      <c r="BK421" s="50"/>
      <c r="BL421" s="50"/>
      <c r="BM421" s="50"/>
      <c r="BN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50"/>
      <c r="AQ422" s="50"/>
      <c r="AR422" s="50"/>
      <c r="AS422" s="50"/>
      <c r="AT422" s="50"/>
      <c r="AU422" s="50"/>
      <c r="AV422" s="50"/>
      <c r="AW422" s="50"/>
      <c r="AX422" s="50"/>
      <c r="AY422" s="50"/>
      <c r="AZ422" s="50"/>
      <c r="BA422" s="50"/>
      <c r="BB422" s="50"/>
      <c r="BC422" s="50"/>
      <c r="BD422" s="50"/>
      <c r="BE422" s="50"/>
      <c r="BF422" s="50"/>
      <c r="BG422" s="50"/>
      <c r="BH422" s="50"/>
      <c r="BI422" s="50"/>
      <c r="BJ422" s="50"/>
      <c r="BK422" s="50"/>
      <c r="BL422" s="50"/>
      <c r="BM422" s="50"/>
      <c r="BN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50"/>
      <c r="AQ423" s="50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0"/>
      <c r="BC423" s="50"/>
      <c r="BD423" s="50"/>
      <c r="BE423" s="50"/>
      <c r="BF423" s="50"/>
      <c r="BG423" s="50"/>
      <c r="BH423" s="50"/>
      <c r="BI423" s="50"/>
      <c r="BJ423" s="50"/>
      <c r="BK423" s="50"/>
      <c r="BL423" s="50"/>
      <c r="BM423" s="50"/>
      <c r="BN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  <c r="AQ424" s="50"/>
      <c r="AR424" s="50"/>
      <c r="AS424" s="50"/>
      <c r="AT424" s="50"/>
      <c r="AU424" s="50"/>
      <c r="AV424" s="50"/>
      <c r="AW424" s="50"/>
      <c r="AX424" s="50"/>
      <c r="AY424" s="50"/>
      <c r="AZ424" s="50"/>
      <c r="BA424" s="50"/>
      <c r="BB424" s="50"/>
      <c r="BC424" s="50"/>
      <c r="BD424" s="50"/>
      <c r="BE424" s="50"/>
      <c r="BF424" s="50"/>
      <c r="BG424" s="50"/>
      <c r="BH424" s="50"/>
      <c r="BI424" s="50"/>
      <c r="BJ424" s="50"/>
      <c r="BK424" s="50"/>
      <c r="BL424" s="50"/>
      <c r="BM424" s="50"/>
      <c r="BN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/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/>
      <c r="AR426" s="50"/>
      <c r="AS426" s="50"/>
      <c r="AT426" s="50"/>
      <c r="AU426" s="50"/>
      <c r="AV426" s="50"/>
      <c r="AW426" s="50"/>
      <c r="AX426" s="50"/>
      <c r="AY426" s="50"/>
      <c r="AZ426" s="50"/>
      <c r="BA426" s="50"/>
      <c r="BB426" s="50"/>
      <c r="BC426" s="50"/>
      <c r="BD426" s="50"/>
      <c r="BE426" s="50"/>
      <c r="BF426" s="50"/>
      <c r="BG426" s="50"/>
      <c r="BH426" s="50"/>
      <c r="BI426" s="50"/>
      <c r="BJ426" s="50"/>
      <c r="BK426" s="50"/>
      <c r="BL426" s="50"/>
      <c r="BM426" s="50"/>
      <c r="BN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/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50"/>
      <c r="AQ428" s="50"/>
      <c r="AR428" s="50"/>
      <c r="AS428" s="50"/>
      <c r="AT428" s="50"/>
      <c r="AU428" s="50"/>
      <c r="AV428" s="50"/>
      <c r="AW428" s="50"/>
      <c r="AX428" s="50"/>
      <c r="AY428" s="50"/>
      <c r="AZ428" s="50"/>
      <c r="BA428" s="50"/>
      <c r="BB428" s="50"/>
      <c r="BC428" s="50"/>
      <c r="BD428" s="50"/>
      <c r="BE428" s="50"/>
      <c r="BF428" s="50"/>
      <c r="BG428" s="50"/>
      <c r="BH428" s="50"/>
      <c r="BI428" s="50"/>
      <c r="BJ428" s="50"/>
      <c r="BK428" s="50"/>
      <c r="BL428" s="50"/>
      <c r="BM428" s="50"/>
      <c r="BN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50"/>
      <c r="AQ430" s="50"/>
      <c r="AR430" s="50"/>
      <c r="AS430" s="50"/>
      <c r="AT430" s="50"/>
      <c r="AU430" s="50"/>
      <c r="AV430" s="50"/>
      <c r="AW430" s="50"/>
      <c r="AX430" s="50"/>
      <c r="AY430" s="50"/>
      <c r="AZ430" s="50"/>
      <c r="BA430" s="50"/>
      <c r="BB430" s="50"/>
      <c r="BC430" s="50"/>
      <c r="BD430" s="50"/>
      <c r="BE430" s="50"/>
      <c r="BF430" s="50"/>
      <c r="BG430" s="50"/>
      <c r="BH430" s="50"/>
      <c r="BI430" s="50"/>
      <c r="BJ430" s="50"/>
      <c r="BK430" s="50"/>
      <c r="BL430" s="50"/>
      <c r="BM430" s="50"/>
      <c r="BN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  <c r="AQ431" s="50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50"/>
      <c r="BE431" s="50"/>
      <c r="BF431" s="50"/>
      <c r="BG431" s="50"/>
      <c r="BH431" s="50"/>
      <c r="BI431" s="50"/>
      <c r="BJ431" s="50"/>
      <c r="BK431" s="50"/>
      <c r="BL431" s="50"/>
      <c r="BM431" s="50"/>
      <c r="BN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50"/>
      <c r="AQ432" s="50"/>
      <c r="AR432" s="50"/>
      <c r="AS432" s="50"/>
      <c r="AT432" s="50"/>
      <c r="AU432" s="50"/>
      <c r="AV432" s="50"/>
      <c r="AW432" s="50"/>
      <c r="AX432" s="50"/>
      <c r="AY432" s="50"/>
      <c r="AZ432" s="50"/>
      <c r="BA432" s="50"/>
      <c r="BB432" s="50"/>
      <c r="BC432" s="50"/>
      <c r="BD432" s="50"/>
      <c r="BE432" s="50"/>
      <c r="BF432" s="50"/>
      <c r="BG432" s="50"/>
      <c r="BH432" s="50"/>
      <c r="BI432" s="50"/>
      <c r="BJ432" s="50"/>
      <c r="BK432" s="50"/>
      <c r="BL432" s="50"/>
      <c r="BM432" s="50"/>
      <c r="BN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50"/>
      <c r="AQ433" s="50"/>
      <c r="AR433" s="50"/>
      <c r="AS433" s="50"/>
      <c r="AT433" s="50"/>
      <c r="AU433" s="50"/>
      <c r="AV433" s="50"/>
      <c r="AW433" s="50"/>
      <c r="AX433" s="50"/>
      <c r="AY433" s="50"/>
      <c r="AZ433" s="50"/>
      <c r="BA433" s="50"/>
      <c r="BB433" s="50"/>
      <c r="BC433" s="50"/>
      <c r="BD433" s="50"/>
      <c r="BE433" s="50"/>
      <c r="BF433" s="50"/>
      <c r="BG433" s="50"/>
      <c r="BH433" s="50"/>
      <c r="BI433" s="50"/>
      <c r="BJ433" s="50"/>
      <c r="BK433" s="50"/>
      <c r="BL433" s="50"/>
      <c r="BM433" s="50"/>
      <c r="BN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50"/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0"/>
      <c r="BE434" s="50"/>
      <c r="BF434" s="50"/>
      <c r="BG434" s="50"/>
      <c r="BH434" s="50"/>
      <c r="BI434" s="50"/>
      <c r="BJ434" s="50"/>
      <c r="BK434" s="50"/>
      <c r="BL434" s="50"/>
      <c r="BM434" s="50"/>
      <c r="BN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50"/>
      <c r="AQ435" s="50"/>
      <c r="AR435" s="50"/>
      <c r="AS435" s="50"/>
      <c r="AT435" s="50"/>
      <c r="AU435" s="50"/>
      <c r="AV435" s="50"/>
      <c r="AW435" s="50"/>
      <c r="AX435" s="50"/>
      <c r="AY435" s="50"/>
      <c r="AZ435" s="50"/>
      <c r="BA435" s="50"/>
      <c r="BB435" s="50"/>
      <c r="BC435" s="50"/>
      <c r="BD435" s="50"/>
      <c r="BE435" s="50"/>
      <c r="BF435" s="50"/>
      <c r="BG435" s="50"/>
      <c r="BH435" s="50"/>
      <c r="BI435" s="50"/>
      <c r="BJ435" s="50"/>
      <c r="BK435" s="50"/>
      <c r="BL435" s="50"/>
      <c r="BM435" s="50"/>
      <c r="BN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50"/>
      <c r="AQ436" s="50"/>
      <c r="AR436" s="50"/>
      <c r="AS436" s="50"/>
      <c r="AT436" s="50"/>
      <c r="AU436" s="50"/>
      <c r="AV436" s="50"/>
      <c r="AW436" s="50"/>
      <c r="AX436" s="50"/>
      <c r="AY436" s="50"/>
      <c r="AZ436" s="50"/>
      <c r="BA436" s="50"/>
      <c r="BB436" s="50"/>
      <c r="BC436" s="50"/>
      <c r="BD436" s="50"/>
      <c r="BE436" s="50"/>
      <c r="BF436" s="50"/>
      <c r="BG436" s="50"/>
      <c r="BH436" s="50"/>
      <c r="BI436" s="50"/>
      <c r="BJ436" s="50"/>
      <c r="BK436" s="50"/>
      <c r="BL436" s="50"/>
      <c r="BM436" s="50"/>
      <c r="BN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50"/>
      <c r="AQ437" s="50"/>
      <c r="AR437" s="50"/>
      <c r="AS437" s="50"/>
      <c r="AT437" s="50"/>
      <c r="AU437" s="50"/>
      <c r="AV437" s="50"/>
      <c r="AW437" s="50"/>
      <c r="AX437" s="50"/>
      <c r="AY437" s="50"/>
      <c r="AZ437" s="50"/>
      <c r="BA437" s="50"/>
      <c r="BB437" s="50"/>
      <c r="BC437" s="50"/>
      <c r="BD437" s="50"/>
      <c r="BE437" s="50"/>
      <c r="BF437" s="50"/>
      <c r="BG437" s="50"/>
      <c r="BH437" s="50"/>
      <c r="BI437" s="50"/>
      <c r="BJ437" s="50"/>
      <c r="BK437" s="50"/>
      <c r="BL437" s="50"/>
      <c r="BM437" s="50"/>
      <c r="BN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50"/>
      <c r="AQ438" s="50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0"/>
      <c r="BC438" s="50"/>
      <c r="BD438" s="50"/>
      <c r="BE438" s="50"/>
      <c r="BF438" s="50"/>
      <c r="BG438" s="50"/>
      <c r="BH438" s="50"/>
      <c r="BI438" s="50"/>
      <c r="BJ438" s="50"/>
      <c r="BK438" s="50"/>
      <c r="BL438" s="50"/>
      <c r="BM438" s="50"/>
      <c r="BN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50"/>
      <c r="AQ439" s="50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0"/>
      <c r="BC439" s="50"/>
      <c r="BD439" s="50"/>
      <c r="BE439" s="50"/>
      <c r="BF439" s="50"/>
      <c r="BG439" s="50"/>
      <c r="BH439" s="50"/>
      <c r="BI439" s="50"/>
      <c r="BJ439" s="50"/>
      <c r="BK439" s="50"/>
      <c r="BL439" s="50"/>
      <c r="BM439" s="50"/>
      <c r="BN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50"/>
      <c r="AQ440" s="50"/>
      <c r="AR440" s="50"/>
      <c r="AS440" s="50"/>
      <c r="AT440" s="50"/>
      <c r="AU440" s="50"/>
      <c r="AV440" s="50"/>
      <c r="AW440" s="50"/>
      <c r="AX440" s="50"/>
      <c r="AY440" s="50"/>
      <c r="AZ440" s="50"/>
      <c r="BA440" s="50"/>
      <c r="BB440" s="50"/>
      <c r="BC440" s="50"/>
      <c r="BD440" s="50"/>
      <c r="BE440" s="50"/>
      <c r="BF440" s="50"/>
      <c r="BG440" s="50"/>
      <c r="BH440" s="50"/>
      <c r="BI440" s="50"/>
      <c r="BJ440" s="50"/>
      <c r="BK440" s="50"/>
      <c r="BL440" s="50"/>
      <c r="BM440" s="50"/>
      <c r="BN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50"/>
      <c r="AQ441" s="50"/>
      <c r="AR441" s="50"/>
      <c r="AS441" s="50"/>
      <c r="AT441" s="50"/>
      <c r="AU441" s="50"/>
      <c r="AV441" s="50"/>
      <c r="AW441" s="50"/>
      <c r="AX441" s="50"/>
      <c r="AY441" s="50"/>
      <c r="AZ441" s="50"/>
      <c r="BA441" s="50"/>
      <c r="BB441" s="50"/>
      <c r="BC441" s="50"/>
      <c r="BD441" s="50"/>
      <c r="BE441" s="50"/>
      <c r="BF441" s="50"/>
      <c r="BG441" s="50"/>
      <c r="BH441" s="50"/>
      <c r="BI441" s="50"/>
      <c r="BJ441" s="50"/>
      <c r="BK441" s="50"/>
      <c r="BL441" s="50"/>
      <c r="BM441" s="50"/>
      <c r="BN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  <c r="AQ442" s="50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50"/>
      <c r="BE442" s="50"/>
      <c r="BF442" s="50"/>
      <c r="BG442" s="50"/>
      <c r="BH442" s="50"/>
      <c r="BI442" s="50"/>
      <c r="BJ442" s="50"/>
      <c r="BK442" s="50"/>
      <c r="BL442" s="50"/>
      <c r="BM442" s="50"/>
      <c r="BN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50"/>
      <c r="BE443" s="50"/>
      <c r="BF443" s="50"/>
      <c r="BG443" s="50"/>
      <c r="BH443" s="50"/>
      <c r="BI443" s="50"/>
      <c r="BJ443" s="50"/>
      <c r="BK443" s="50"/>
      <c r="BL443" s="50"/>
      <c r="BM443" s="50"/>
      <c r="BN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  <c r="AQ444" s="50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0"/>
      <c r="BC444" s="50"/>
      <c r="BD444" s="50"/>
      <c r="BE444" s="50"/>
      <c r="BF444" s="50"/>
      <c r="BG444" s="50"/>
      <c r="BH444" s="50"/>
      <c r="BI444" s="50"/>
      <c r="BJ444" s="50"/>
      <c r="BK444" s="50"/>
      <c r="BL444" s="50"/>
      <c r="BM444" s="50"/>
      <c r="BN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50"/>
      <c r="AQ445" s="50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0"/>
      <c r="BC445" s="50"/>
      <c r="BD445" s="50"/>
      <c r="BE445" s="50"/>
      <c r="BF445" s="50"/>
      <c r="BG445" s="50"/>
      <c r="BH445" s="50"/>
      <c r="BI445" s="50"/>
      <c r="BJ445" s="50"/>
      <c r="BK445" s="50"/>
      <c r="BL445" s="50"/>
      <c r="BM445" s="50"/>
      <c r="BN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50"/>
      <c r="AQ446" s="50"/>
      <c r="AR446" s="50"/>
      <c r="AS446" s="50"/>
      <c r="AT446" s="50"/>
      <c r="AU446" s="50"/>
      <c r="AV446" s="50"/>
      <c r="AW446" s="50"/>
      <c r="AX446" s="50"/>
      <c r="AY446" s="50"/>
      <c r="AZ446" s="50"/>
      <c r="BA446" s="50"/>
      <c r="BB446" s="50"/>
      <c r="BC446" s="50"/>
      <c r="BD446" s="50"/>
      <c r="BE446" s="50"/>
      <c r="BF446" s="50"/>
      <c r="BG446" s="50"/>
      <c r="BH446" s="50"/>
      <c r="BI446" s="50"/>
      <c r="BJ446" s="50"/>
      <c r="BK446" s="50"/>
      <c r="BL446" s="50"/>
      <c r="BM446" s="50"/>
      <c r="BN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50"/>
      <c r="AQ447" s="50"/>
      <c r="AR447" s="50"/>
      <c r="AS447" s="50"/>
      <c r="AT447" s="50"/>
      <c r="AU447" s="50"/>
      <c r="AV447" s="50"/>
      <c r="AW447" s="50"/>
      <c r="AX447" s="50"/>
      <c r="AY447" s="50"/>
      <c r="AZ447" s="50"/>
      <c r="BA447" s="50"/>
      <c r="BB447" s="50"/>
      <c r="BC447" s="50"/>
      <c r="BD447" s="50"/>
      <c r="BE447" s="50"/>
      <c r="BF447" s="50"/>
      <c r="BG447" s="50"/>
      <c r="BH447" s="50"/>
      <c r="BI447" s="50"/>
      <c r="BJ447" s="50"/>
      <c r="BK447" s="50"/>
      <c r="BL447" s="50"/>
      <c r="BM447" s="50"/>
      <c r="BN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50"/>
      <c r="AQ448" s="50"/>
      <c r="AR448" s="50"/>
      <c r="AS448" s="50"/>
      <c r="AT448" s="50"/>
      <c r="AU448" s="50"/>
      <c r="AV448" s="50"/>
      <c r="AW448" s="50"/>
      <c r="AX448" s="50"/>
      <c r="AY448" s="50"/>
      <c r="AZ448" s="50"/>
      <c r="BA448" s="50"/>
      <c r="BB448" s="50"/>
      <c r="BC448" s="50"/>
      <c r="BD448" s="50"/>
      <c r="BE448" s="50"/>
      <c r="BF448" s="50"/>
      <c r="BG448" s="50"/>
      <c r="BH448" s="50"/>
      <c r="BI448" s="50"/>
      <c r="BJ448" s="50"/>
      <c r="BK448" s="50"/>
      <c r="BL448" s="50"/>
      <c r="BM448" s="50"/>
      <c r="BN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50"/>
      <c r="AQ449" s="50"/>
      <c r="AR449" s="50"/>
      <c r="AS449" s="50"/>
      <c r="AT449" s="50"/>
      <c r="AU449" s="50"/>
      <c r="AV449" s="50"/>
      <c r="AW449" s="50"/>
      <c r="AX449" s="50"/>
      <c r="AY449" s="50"/>
      <c r="AZ449" s="50"/>
      <c r="BA449" s="50"/>
      <c r="BB449" s="50"/>
      <c r="BC449" s="50"/>
      <c r="BD449" s="50"/>
      <c r="BE449" s="50"/>
      <c r="BF449" s="50"/>
      <c r="BG449" s="50"/>
      <c r="BH449" s="50"/>
      <c r="BI449" s="50"/>
      <c r="BJ449" s="50"/>
      <c r="BK449" s="50"/>
      <c r="BL449" s="50"/>
      <c r="BM449" s="50"/>
      <c r="BN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50"/>
      <c r="AQ450" s="50"/>
      <c r="AR450" s="50"/>
      <c r="AS450" s="50"/>
      <c r="AT450" s="50"/>
      <c r="AU450" s="50"/>
      <c r="AV450" s="50"/>
      <c r="AW450" s="50"/>
      <c r="AX450" s="50"/>
      <c r="AY450" s="50"/>
      <c r="AZ450" s="50"/>
      <c r="BA450" s="50"/>
      <c r="BB450" s="50"/>
      <c r="BC450" s="50"/>
      <c r="BD450" s="50"/>
      <c r="BE450" s="50"/>
      <c r="BF450" s="50"/>
      <c r="BG450" s="50"/>
      <c r="BH450" s="50"/>
      <c r="BI450" s="50"/>
      <c r="BJ450" s="50"/>
      <c r="BK450" s="50"/>
      <c r="BL450" s="50"/>
      <c r="BM450" s="50"/>
      <c r="BN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50"/>
      <c r="AQ451" s="50"/>
      <c r="AR451" s="50"/>
      <c r="AS451" s="50"/>
      <c r="AT451" s="50"/>
      <c r="AU451" s="50"/>
      <c r="AV451" s="50"/>
      <c r="AW451" s="50"/>
      <c r="AX451" s="50"/>
      <c r="AY451" s="50"/>
      <c r="AZ451" s="50"/>
      <c r="BA451" s="50"/>
      <c r="BB451" s="50"/>
      <c r="BC451" s="50"/>
      <c r="BD451" s="50"/>
      <c r="BE451" s="50"/>
      <c r="BF451" s="50"/>
      <c r="BG451" s="50"/>
      <c r="BH451" s="50"/>
      <c r="BI451" s="50"/>
      <c r="BJ451" s="50"/>
      <c r="BK451" s="50"/>
      <c r="BL451" s="50"/>
      <c r="BM451" s="50"/>
      <c r="BN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50"/>
      <c r="AC452" s="50"/>
      <c r="AD452" s="50"/>
      <c r="AE452" s="50"/>
      <c r="AF452" s="50"/>
      <c r="AG452" s="50"/>
      <c r="AH452" s="50"/>
      <c r="AI452" s="50"/>
      <c r="AJ452" s="50"/>
      <c r="AK452" s="50"/>
      <c r="AL452" s="50"/>
      <c r="AM452" s="50"/>
      <c r="AN452" s="50"/>
      <c r="AO452" s="50"/>
      <c r="AP452" s="50"/>
      <c r="AQ452" s="50"/>
      <c r="AR452" s="50"/>
      <c r="AS452" s="50"/>
      <c r="AT452" s="50"/>
      <c r="AU452" s="50"/>
      <c r="AV452" s="50"/>
      <c r="AW452" s="50"/>
      <c r="AX452" s="50"/>
      <c r="AY452" s="50"/>
      <c r="AZ452" s="50"/>
      <c r="BA452" s="50"/>
      <c r="BB452" s="50"/>
      <c r="BC452" s="50"/>
      <c r="BD452" s="50"/>
      <c r="BE452" s="50"/>
      <c r="BF452" s="50"/>
      <c r="BG452" s="50"/>
      <c r="BH452" s="50"/>
      <c r="BI452" s="50"/>
      <c r="BJ452" s="50"/>
      <c r="BK452" s="50"/>
      <c r="BL452" s="50"/>
      <c r="BM452" s="50"/>
      <c r="BN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  <c r="AL453" s="50"/>
      <c r="AM453" s="50"/>
      <c r="AN453" s="50"/>
      <c r="AO453" s="50"/>
      <c r="AP453" s="50"/>
      <c r="AQ453" s="50"/>
      <c r="AR453" s="50"/>
      <c r="AS453" s="50"/>
      <c r="AT453" s="50"/>
      <c r="AU453" s="50"/>
      <c r="AV453" s="50"/>
      <c r="AW453" s="50"/>
      <c r="AX453" s="50"/>
      <c r="AY453" s="50"/>
      <c r="AZ453" s="50"/>
      <c r="BA453" s="50"/>
      <c r="BB453" s="50"/>
      <c r="BC453" s="50"/>
      <c r="BD453" s="50"/>
      <c r="BE453" s="50"/>
      <c r="BF453" s="50"/>
      <c r="BG453" s="50"/>
      <c r="BH453" s="50"/>
      <c r="BI453" s="50"/>
      <c r="BJ453" s="50"/>
      <c r="BK453" s="50"/>
      <c r="BL453" s="50"/>
      <c r="BM453" s="50"/>
      <c r="BN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50"/>
      <c r="AC454" s="50"/>
      <c r="AD454" s="50"/>
      <c r="AE454" s="50"/>
      <c r="AF454" s="50"/>
      <c r="AG454" s="50"/>
      <c r="AH454" s="50"/>
      <c r="AI454" s="50"/>
      <c r="AJ454" s="50"/>
      <c r="AK454" s="50"/>
      <c r="AL454" s="50"/>
      <c r="AM454" s="50"/>
      <c r="AN454" s="50"/>
      <c r="AO454" s="50"/>
      <c r="AP454" s="50"/>
      <c r="AQ454" s="50"/>
      <c r="AR454" s="50"/>
      <c r="AS454" s="50"/>
      <c r="AT454" s="50"/>
      <c r="AU454" s="50"/>
      <c r="AV454" s="50"/>
      <c r="AW454" s="50"/>
      <c r="AX454" s="50"/>
      <c r="AY454" s="50"/>
      <c r="AZ454" s="50"/>
      <c r="BA454" s="50"/>
      <c r="BB454" s="50"/>
      <c r="BC454" s="50"/>
      <c r="BD454" s="50"/>
      <c r="BE454" s="50"/>
      <c r="BF454" s="50"/>
      <c r="BG454" s="50"/>
      <c r="BH454" s="50"/>
      <c r="BI454" s="50"/>
      <c r="BJ454" s="50"/>
      <c r="BK454" s="50"/>
      <c r="BL454" s="50"/>
      <c r="BM454" s="50"/>
      <c r="BN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50"/>
      <c r="AC455" s="50"/>
      <c r="AD455" s="50"/>
      <c r="AE455" s="50"/>
      <c r="AF455" s="50"/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  <c r="AQ455" s="50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50"/>
      <c r="BE455" s="50"/>
      <c r="BF455" s="50"/>
      <c r="BG455" s="50"/>
      <c r="BH455" s="50"/>
      <c r="BI455" s="50"/>
      <c r="BJ455" s="50"/>
      <c r="BK455" s="50"/>
      <c r="BL455" s="50"/>
      <c r="BM455" s="50"/>
      <c r="BN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50"/>
      <c r="AC456" s="50"/>
      <c r="AD456" s="50"/>
      <c r="AE456" s="50"/>
      <c r="AF456" s="50"/>
      <c r="AG456" s="50"/>
      <c r="AH456" s="50"/>
      <c r="AI456" s="50"/>
      <c r="AJ456" s="50"/>
      <c r="AK456" s="50"/>
      <c r="AL456" s="50"/>
      <c r="AM456" s="50"/>
      <c r="AN456" s="50"/>
      <c r="AO456" s="50"/>
      <c r="AP456" s="50"/>
      <c r="AQ456" s="50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0"/>
      <c r="BC456" s="50"/>
      <c r="BD456" s="50"/>
      <c r="BE456" s="50"/>
      <c r="BF456" s="50"/>
      <c r="BG456" s="50"/>
      <c r="BH456" s="50"/>
      <c r="BI456" s="50"/>
      <c r="BJ456" s="50"/>
      <c r="BK456" s="50"/>
      <c r="BL456" s="50"/>
      <c r="BM456" s="50"/>
      <c r="BN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50"/>
      <c r="AC457" s="50"/>
      <c r="AD457" s="50"/>
      <c r="AE457" s="50"/>
      <c r="AF457" s="50"/>
      <c r="AG457" s="50"/>
      <c r="AH457" s="50"/>
      <c r="AI457" s="50"/>
      <c r="AJ457" s="50"/>
      <c r="AK457" s="50"/>
      <c r="AL457" s="50"/>
      <c r="AM457" s="50"/>
      <c r="AN457" s="50"/>
      <c r="AO457" s="50"/>
      <c r="AP457" s="50"/>
      <c r="AQ457" s="50"/>
      <c r="AR457" s="50"/>
      <c r="AS457" s="50"/>
      <c r="AT457" s="50"/>
      <c r="AU457" s="50"/>
      <c r="AV457" s="50"/>
      <c r="AW457" s="50"/>
      <c r="AX457" s="50"/>
      <c r="AY457" s="50"/>
      <c r="AZ457" s="50"/>
      <c r="BA457" s="50"/>
      <c r="BB457" s="50"/>
      <c r="BC457" s="50"/>
      <c r="BD457" s="50"/>
      <c r="BE457" s="50"/>
      <c r="BF457" s="50"/>
      <c r="BG457" s="50"/>
      <c r="BH457" s="50"/>
      <c r="BI457" s="50"/>
      <c r="BJ457" s="50"/>
      <c r="BK457" s="50"/>
      <c r="BL457" s="50"/>
      <c r="BM457" s="50"/>
      <c r="BN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50"/>
      <c r="AC458" s="50"/>
      <c r="AD458" s="50"/>
      <c r="AE458" s="50"/>
      <c r="AF458" s="50"/>
      <c r="AG458" s="50"/>
      <c r="AH458" s="50"/>
      <c r="AI458" s="50"/>
      <c r="AJ458" s="50"/>
      <c r="AK458" s="50"/>
      <c r="AL458" s="50"/>
      <c r="AM458" s="50"/>
      <c r="AN458" s="50"/>
      <c r="AO458" s="50"/>
      <c r="AP458" s="50"/>
      <c r="AQ458" s="50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50"/>
      <c r="BE458" s="50"/>
      <c r="BF458" s="50"/>
      <c r="BG458" s="50"/>
      <c r="BH458" s="50"/>
      <c r="BI458" s="50"/>
      <c r="BJ458" s="50"/>
      <c r="BK458" s="50"/>
      <c r="BL458" s="50"/>
      <c r="BM458" s="50"/>
      <c r="BN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50"/>
      <c r="AC459" s="50"/>
      <c r="AD459" s="50"/>
      <c r="AE459" s="50"/>
      <c r="AF459" s="50"/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50"/>
      <c r="BE459" s="50"/>
      <c r="BF459" s="50"/>
      <c r="BG459" s="50"/>
      <c r="BH459" s="50"/>
      <c r="BI459" s="50"/>
      <c r="BJ459" s="50"/>
      <c r="BK459" s="50"/>
      <c r="BL459" s="50"/>
      <c r="BM459" s="50"/>
      <c r="BN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  <c r="AQ460" s="50"/>
      <c r="AR460" s="50"/>
      <c r="AS460" s="50"/>
      <c r="AT460" s="50"/>
      <c r="AU460" s="50"/>
      <c r="AV460" s="50"/>
      <c r="AW460" s="50"/>
      <c r="AX460" s="50"/>
      <c r="AY460" s="50"/>
      <c r="AZ460" s="50"/>
      <c r="BA460" s="50"/>
      <c r="BB460" s="50"/>
      <c r="BC460" s="50"/>
      <c r="BD460" s="50"/>
      <c r="BE460" s="50"/>
      <c r="BF460" s="50"/>
      <c r="BG460" s="50"/>
      <c r="BH460" s="50"/>
      <c r="BI460" s="50"/>
      <c r="BJ460" s="50"/>
      <c r="BK460" s="50"/>
      <c r="BL460" s="50"/>
      <c r="BM460" s="50"/>
      <c r="BN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50"/>
      <c r="AN461" s="50"/>
      <c r="AO461" s="50"/>
      <c r="AP461" s="50"/>
      <c r="AQ461" s="50"/>
      <c r="AR461" s="50"/>
      <c r="AS461" s="50"/>
      <c r="AT461" s="50"/>
      <c r="AU461" s="50"/>
      <c r="AV461" s="50"/>
      <c r="AW461" s="50"/>
      <c r="AX461" s="50"/>
      <c r="AY461" s="50"/>
      <c r="AZ461" s="50"/>
      <c r="BA461" s="50"/>
      <c r="BB461" s="50"/>
      <c r="BC461" s="50"/>
      <c r="BD461" s="50"/>
      <c r="BE461" s="50"/>
      <c r="BF461" s="50"/>
      <c r="BG461" s="50"/>
      <c r="BH461" s="50"/>
      <c r="BI461" s="50"/>
      <c r="BJ461" s="50"/>
      <c r="BK461" s="50"/>
      <c r="BL461" s="50"/>
      <c r="BM461" s="50"/>
      <c r="BN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0"/>
      <c r="AN462" s="50"/>
      <c r="AO462" s="50"/>
      <c r="AP462" s="50"/>
      <c r="AQ462" s="50"/>
      <c r="AR462" s="50"/>
      <c r="AS462" s="50"/>
      <c r="AT462" s="50"/>
      <c r="AU462" s="50"/>
      <c r="AV462" s="50"/>
      <c r="AW462" s="50"/>
      <c r="AX462" s="50"/>
      <c r="AY462" s="50"/>
      <c r="AZ462" s="50"/>
      <c r="BA462" s="50"/>
      <c r="BB462" s="50"/>
      <c r="BC462" s="50"/>
      <c r="BD462" s="50"/>
      <c r="BE462" s="50"/>
      <c r="BF462" s="50"/>
      <c r="BG462" s="50"/>
      <c r="BH462" s="50"/>
      <c r="BI462" s="50"/>
      <c r="BJ462" s="50"/>
      <c r="BK462" s="50"/>
      <c r="BL462" s="50"/>
      <c r="BM462" s="50"/>
      <c r="BN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50"/>
      <c r="AC463" s="50"/>
      <c r="AD463" s="50"/>
      <c r="AE463" s="50"/>
      <c r="AF463" s="50"/>
      <c r="AG463" s="50"/>
      <c r="AH463" s="50"/>
      <c r="AI463" s="50"/>
      <c r="AJ463" s="50"/>
      <c r="AK463" s="50"/>
      <c r="AL463" s="50"/>
      <c r="AM463" s="50"/>
      <c r="AN463" s="50"/>
      <c r="AO463" s="50"/>
      <c r="AP463" s="50"/>
      <c r="AQ463" s="50"/>
      <c r="AR463" s="50"/>
      <c r="AS463" s="50"/>
      <c r="AT463" s="50"/>
      <c r="AU463" s="50"/>
      <c r="AV463" s="50"/>
      <c r="AW463" s="50"/>
      <c r="AX463" s="50"/>
      <c r="AY463" s="50"/>
      <c r="AZ463" s="50"/>
      <c r="BA463" s="50"/>
      <c r="BB463" s="50"/>
      <c r="BC463" s="50"/>
      <c r="BD463" s="50"/>
      <c r="BE463" s="50"/>
      <c r="BF463" s="50"/>
      <c r="BG463" s="50"/>
      <c r="BH463" s="50"/>
      <c r="BI463" s="50"/>
      <c r="BJ463" s="50"/>
      <c r="BK463" s="50"/>
      <c r="BL463" s="50"/>
      <c r="BM463" s="50"/>
      <c r="BN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50"/>
      <c r="AC464" s="50"/>
      <c r="AD464" s="50"/>
      <c r="AE464" s="50"/>
      <c r="AF464" s="50"/>
      <c r="AG464" s="50"/>
      <c r="AH464" s="50"/>
      <c r="AI464" s="50"/>
      <c r="AJ464" s="50"/>
      <c r="AK464" s="50"/>
      <c r="AL464" s="50"/>
      <c r="AM464" s="50"/>
      <c r="AN464" s="50"/>
      <c r="AO464" s="50"/>
      <c r="AP464" s="50"/>
      <c r="AQ464" s="50"/>
      <c r="AR464" s="50"/>
      <c r="AS464" s="50"/>
      <c r="AT464" s="50"/>
      <c r="AU464" s="50"/>
      <c r="AV464" s="50"/>
      <c r="AW464" s="50"/>
      <c r="AX464" s="50"/>
      <c r="AY464" s="50"/>
      <c r="AZ464" s="50"/>
      <c r="BA464" s="50"/>
      <c r="BB464" s="50"/>
      <c r="BC464" s="50"/>
      <c r="BD464" s="50"/>
      <c r="BE464" s="50"/>
      <c r="BF464" s="50"/>
      <c r="BG464" s="50"/>
      <c r="BH464" s="50"/>
      <c r="BI464" s="50"/>
      <c r="BJ464" s="50"/>
      <c r="BK464" s="50"/>
      <c r="BL464" s="50"/>
      <c r="BM464" s="50"/>
      <c r="BN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/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50"/>
      <c r="AC466" s="50"/>
      <c r="AD466" s="50"/>
      <c r="AE466" s="50"/>
      <c r="AF466" s="50"/>
      <c r="AG466" s="50"/>
      <c r="AH466" s="50"/>
      <c r="AI466" s="50"/>
      <c r="AJ466" s="50"/>
      <c r="AK466" s="50"/>
      <c r="AL466" s="50"/>
      <c r="AM466" s="50"/>
      <c r="AN466" s="50"/>
      <c r="AO466" s="50"/>
      <c r="AP466" s="50"/>
      <c r="AQ466" s="50"/>
      <c r="AR466" s="50"/>
      <c r="AS466" s="50"/>
      <c r="AT466" s="50"/>
      <c r="AU466" s="50"/>
      <c r="AV466" s="50"/>
      <c r="AW466" s="50"/>
      <c r="AX466" s="50"/>
      <c r="AY466" s="50"/>
      <c r="AZ466" s="50"/>
      <c r="BA466" s="50"/>
      <c r="BB466" s="50"/>
      <c r="BC466" s="50"/>
      <c r="BD466" s="50"/>
      <c r="BE466" s="50"/>
      <c r="BF466" s="50"/>
      <c r="BG466" s="50"/>
      <c r="BH466" s="50"/>
      <c r="BI466" s="50"/>
      <c r="BJ466" s="50"/>
      <c r="BK466" s="50"/>
      <c r="BL466" s="50"/>
      <c r="BM466" s="50"/>
      <c r="BN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/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/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50"/>
      <c r="AC468" s="50"/>
      <c r="AD468" s="50"/>
      <c r="AE468" s="50"/>
      <c r="AF468" s="50"/>
      <c r="AG468" s="50"/>
      <c r="AH468" s="50"/>
      <c r="AI468" s="50"/>
      <c r="AJ468" s="50"/>
      <c r="AK468" s="50"/>
      <c r="AL468" s="50"/>
      <c r="AM468" s="50"/>
      <c r="AN468" s="50"/>
      <c r="AO468" s="50"/>
      <c r="AP468" s="50"/>
      <c r="AQ468" s="50"/>
      <c r="AR468" s="50"/>
      <c r="AS468" s="50"/>
      <c r="AT468" s="50"/>
      <c r="AU468" s="50"/>
      <c r="AV468" s="50"/>
      <c r="AW468" s="50"/>
      <c r="AX468" s="50"/>
      <c r="AY468" s="50"/>
      <c r="AZ468" s="50"/>
      <c r="BA468" s="50"/>
      <c r="BB468" s="50"/>
      <c r="BC468" s="50"/>
      <c r="BD468" s="50"/>
      <c r="BE468" s="50"/>
      <c r="BF468" s="50"/>
      <c r="BG468" s="50"/>
      <c r="BH468" s="50"/>
      <c r="BI468" s="50"/>
      <c r="BJ468" s="50"/>
      <c r="BK468" s="50"/>
      <c r="BL468" s="50"/>
      <c r="BM468" s="50"/>
      <c r="BN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/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/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50"/>
      <c r="AC470" s="50"/>
      <c r="AD470" s="50"/>
      <c r="AE470" s="50"/>
      <c r="AF470" s="50"/>
      <c r="AG470" s="50"/>
      <c r="AH470" s="50"/>
      <c r="AI470" s="50"/>
      <c r="AJ470" s="50"/>
      <c r="AK470" s="50"/>
      <c r="AL470" s="50"/>
      <c r="AM470" s="50"/>
      <c r="AN470" s="50"/>
      <c r="AO470" s="50"/>
      <c r="AP470" s="50"/>
      <c r="AQ470" s="50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50"/>
      <c r="BE470" s="50"/>
      <c r="BF470" s="50"/>
      <c r="BG470" s="50"/>
      <c r="BH470" s="50"/>
      <c r="BI470" s="50"/>
      <c r="BJ470" s="50"/>
      <c r="BK470" s="50"/>
      <c r="BL470" s="50"/>
      <c r="BM470" s="50"/>
      <c r="BN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50"/>
      <c r="AC471" s="50"/>
      <c r="AD471" s="50"/>
      <c r="AE471" s="50"/>
      <c r="AF471" s="50"/>
      <c r="AG471" s="50"/>
      <c r="AH471" s="50"/>
      <c r="AI471" s="50"/>
      <c r="AJ471" s="50"/>
      <c r="AK471" s="50"/>
      <c r="AL471" s="50"/>
      <c r="AM471" s="50"/>
      <c r="AN471" s="50"/>
      <c r="AO471" s="50"/>
      <c r="AP471" s="50"/>
      <c r="AQ471" s="50"/>
      <c r="AR471" s="50"/>
      <c r="AS471" s="50"/>
      <c r="AT471" s="50"/>
      <c r="AU471" s="50"/>
      <c r="AV471" s="50"/>
      <c r="AW471" s="50"/>
      <c r="AX471" s="50"/>
      <c r="AY471" s="50"/>
      <c r="AZ471" s="50"/>
      <c r="BA471" s="50"/>
      <c r="BB471" s="50"/>
      <c r="BC471" s="50"/>
      <c r="BD471" s="50"/>
      <c r="BE471" s="50"/>
      <c r="BF471" s="50"/>
      <c r="BG471" s="50"/>
      <c r="BH471" s="50"/>
      <c r="BI471" s="50"/>
      <c r="BJ471" s="50"/>
      <c r="BK471" s="50"/>
      <c r="BL471" s="50"/>
      <c r="BM471" s="50"/>
      <c r="BN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50"/>
      <c r="AC472" s="50"/>
      <c r="AD472" s="50"/>
      <c r="AE472" s="50"/>
      <c r="AF472" s="50"/>
      <c r="AG472" s="50"/>
      <c r="AH472" s="50"/>
      <c r="AI472" s="50"/>
      <c r="AJ472" s="50"/>
      <c r="AK472" s="50"/>
      <c r="AL472" s="50"/>
      <c r="AM472" s="50"/>
      <c r="AN472" s="50"/>
      <c r="AO472" s="50"/>
      <c r="AP472" s="50"/>
      <c r="AQ472" s="50"/>
      <c r="AR472" s="50"/>
      <c r="AS472" s="50"/>
      <c r="AT472" s="50"/>
      <c r="AU472" s="50"/>
      <c r="AV472" s="50"/>
      <c r="AW472" s="50"/>
      <c r="AX472" s="50"/>
      <c r="AY472" s="50"/>
      <c r="AZ472" s="50"/>
      <c r="BA472" s="50"/>
      <c r="BB472" s="50"/>
      <c r="BC472" s="50"/>
      <c r="BD472" s="50"/>
      <c r="BE472" s="50"/>
      <c r="BF472" s="50"/>
      <c r="BG472" s="50"/>
      <c r="BH472" s="50"/>
      <c r="BI472" s="50"/>
      <c r="BJ472" s="50"/>
      <c r="BK472" s="50"/>
      <c r="BL472" s="50"/>
      <c r="BM472" s="50"/>
      <c r="BN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50"/>
      <c r="AC473" s="50"/>
      <c r="AD473" s="50"/>
      <c r="AE473" s="50"/>
      <c r="AF473" s="50"/>
      <c r="AG473" s="50"/>
      <c r="AH473" s="50"/>
      <c r="AI473" s="50"/>
      <c r="AJ473" s="50"/>
      <c r="AK473" s="50"/>
      <c r="AL473" s="50"/>
      <c r="AM473" s="50"/>
      <c r="AN473" s="50"/>
      <c r="AO473" s="50"/>
      <c r="AP473" s="50"/>
      <c r="AQ473" s="50"/>
      <c r="AR473" s="50"/>
      <c r="AS473" s="50"/>
      <c r="AT473" s="50"/>
      <c r="AU473" s="50"/>
      <c r="AV473" s="50"/>
      <c r="AW473" s="50"/>
      <c r="AX473" s="50"/>
      <c r="AY473" s="50"/>
      <c r="AZ473" s="50"/>
      <c r="BA473" s="50"/>
      <c r="BB473" s="50"/>
      <c r="BC473" s="50"/>
      <c r="BD473" s="50"/>
      <c r="BE473" s="50"/>
      <c r="BF473" s="50"/>
      <c r="BG473" s="50"/>
      <c r="BH473" s="50"/>
      <c r="BI473" s="50"/>
      <c r="BJ473" s="50"/>
      <c r="BK473" s="50"/>
      <c r="BL473" s="50"/>
      <c r="BM473" s="50"/>
      <c r="BN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50"/>
      <c r="AC474" s="50"/>
      <c r="AD474" s="50"/>
      <c r="AE474" s="50"/>
      <c r="AF474" s="50"/>
      <c r="AG474" s="50"/>
      <c r="AH474" s="50"/>
      <c r="AI474" s="50"/>
      <c r="AJ474" s="50"/>
      <c r="AK474" s="50"/>
      <c r="AL474" s="50"/>
      <c r="AM474" s="50"/>
      <c r="AN474" s="50"/>
      <c r="AO474" s="50"/>
      <c r="AP474" s="50"/>
      <c r="AQ474" s="50"/>
      <c r="AR474" s="50"/>
      <c r="AS474" s="50"/>
      <c r="AT474" s="50"/>
      <c r="AU474" s="50"/>
      <c r="AV474" s="50"/>
      <c r="AW474" s="50"/>
      <c r="AX474" s="50"/>
      <c r="AY474" s="50"/>
      <c r="AZ474" s="50"/>
      <c r="BA474" s="50"/>
      <c r="BB474" s="50"/>
      <c r="BC474" s="50"/>
      <c r="BD474" s="50"/>
      <c r="BE474" s="50"/>
      <c r="BF474" s="50"/>
      <c r="BG474" s="50"/>
      <c r="BH474" s="50"/>
      <c r="BI474" s="50"/>
      <c r="BJ474" s="50"/>
      <c r="BK474" s="50"/>
      <c r="BL474" s="50"/>
      <c r="BM474" s="50"/>
      <c r="BN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50"/>
      <c r="AC475" s="50"/>
      <c r="AD475" s="50"/>
      <c r="AE475" s="50"/>
      <c r="AF475" s="50"/>
      <c r="AG475" s="50"/>
      <c r="AH475" s="50"/>
      <c r="AI475" s="50"/>
      <c r="AJ475" s="50"/>
      <c r="AK475" s="50"/>
      <c r="AL475" s="50"/>
      <c r="AM475" s="50"/>
      <c r="AN475" s="50"/>
      <c r="AO475" s="50"/>
      <c r="AP475" s="50"/>
      <c r="AQ475" s="50"/>
      <c r="AR475" s="50"/>
      <c r="AS475" s="50"/>
      <c r="AT475" s="50"/>
      <c r="AU475" s="50"/>
      <c r="AV475" s="50"/>
      <c r="AW475" s="50"/>
      <c r="AX475" s="50"/>
      <c r="AY475" s="50"/>
      <c r="AZ475" s="50"/>
      <c r="BA475" s="50"/>
      <c r="BB475" s="50"/>
      <c r="BC475" s="50"/>
      <c r="BD475" s="50"/>
      <c r="BE475" s="50"/>
      <c r="BF475" s="50"/>
      <c r="BG475" s="50"/>
      <c r="BH475" s="50"/>
      <c r="BI475" s="50"/>
      <c r="BJ475" s="50"/>
      <c r="BK475" s="50"/>
      <c r="BL475" s="50"/>
      <c r="BM475" s="50"/>
      <c r="BN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50"/>
      <c r="AC476" s="50"/>
      <c r="AD476" s="50"/>
      <c r="AE476" s="50"/>
      <c r="AF476" s="50"/>
      <c r="AG476" s="50"/>
      <c r="AH476" s="50"/>
      <c r="AI476" s="50"/>
      <c r="AJ476" s="50"/>
      <c r="AK476" s="50"/>
      <c r="AL476" s="50"/>
      <c r="AM476" s="50"/>
      <c r="AN476" s="50"/>
      <c r="AO476" s="50"/>
      <c r="AP476" s="50"/>
      <c r="AQ476" s="50"/>
      <c r="AR476" s="50"/>
      <c r="AS476" s="50"/>
      <c r="AT476" s="50"/>
      <c r="AU476" s="50"/>
      <c r="AV476" s="50"/>
      <c r="AW476" s="50"/>
      <c r="AX476" s="50"/>
      <c r="AY476" s="50"/>
      <c r="AZ476" s="50"/>
      <c r="BA476" s="50"/>
      <c r="BB476" s="50"/>
      <c r="BC476" s="50"/>
      <c r="BD476" s="50"/>
      <c r="BE476" s="50"/>
      <c r="BF476" s="50"/>
      <c r="BG476" s="50"/>
      <c r="BH476" s="50"/>
      <c r="BI476" s="50"/>
      <c r="BJ476" s="50"/>
      <c r="BK476" s="50"/>
      <c r="BL476" s="50"/>
      <c r="BM476" s="50"/>
      <c r="BN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50"/>
      <c r="AC477" s="50"/>
      <c r="AD477" s="50"/>
      <c r="AE477" s="50"/>
      <c r="AF477" s="50"/>
      <c r="AG477" s="50"/>
      <c r="AH477" s="50"/>
      <c r="AI477" s="50"/>
      <c r="AJ477" s="50"/>
      <c r="AK477" s="50"/>
      <c r="AL477" s="50"/>
      <c r="AM477" s="50"/>
      <c r="AN477" s="50"/>
      <c r="AO477" s="50"/>
      <c r="AP477" s="50"/>
      <c r="AQ477" s="50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50"/>
      <c r="BE477" s="50"/>
      <c r="BF477" s="50"/>
      <c r="BG477" s="50"/>
      <c r="BH477" s="50"/>
      <c r="BI477" s="50"/>
      <c r="BJ477" s="50"/>
      <c r="BK477" s="50"/>
      <c r="BL477" s="50"/>
      <c r="BM477" s="50"/>
      <c r="BN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50"/>
      <c r="AC478" s="50"/>
      <c r="AD478" s="50"/>
      <c r="AE478" s="50"/>
      <c r="AF478" s="50"/>
      <c r="AG478" s="50"/>
      <c r="AH478" s="50"/>
      <c r="AI478" s="50"/>
      <c r="AJ478" s="50"/>
      <c r="AK478" s="50"/>
      <c r="AL478" s="50"/>
      <c r="AM478" s="50"/>
      <c r="AN478" s="50"/>
      <c r="AO478" s="50"/>
      <c r="AP478" s="50"/>
      <c r="AQ478" s="50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50"/>
      <c r="BE478" s="50"/>
      <c r="BF478" s="50"/>
      <c r="BG478" s="50"/>
      <c r="BH478" s="50"/>
      <c r="BI478" s="50"/>
      <c r="BJ478" s="50"/>
      <c r="BK478" s="50"/>
      <c r="BL478" s="50"/>
      <c r="BM478" s="50"/>
      <c r="BN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50"/>
      <c r="AR479" s="50"/>
      <c r="AS479" s="50"/>
      <c r="AT479" s="50"/>
      <c r="AU479" s="50"/>
      <c r="AV479" s="50"/>
      <c r="AW479" s="50"/>
      <c r="AX479" s="50"/>
      <c r="AY479" s="50"/>
      <c r="AZ479" s="50"/>
      <c r="BA479" s="50"/>
      <c r="BB479" s="50"/>
      <c r="BC479" s="50"/>
      <c r="BD479" s="50"/>
      <c r="BE479" s="50"/>
      <c r="BF479" s="50"/>
      <c r="BG479" s="50"/>
      <c r="BH479" s="50"/>
      <c r="BI479" s="50"/>
      <c r="BJ479" s="50"/>
      <c r="BK479" s="50"/>
      <c r="BL479" s="50"/>
      <c r="BM479" s="50"/>
      <c r="BN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  <c r="AQ480" s="50"/>
      <c r="AR480" s="50"/>
      <c r="AS480" s="50"/>
      <c r="AT480" s="50"/>
      <c r="AU480" s="50"/>
      <c r="AV480" s="50"/>
      <c r="AW480" s="50"/>
      <c r="AX480" s="50"/>
      <c r="AY480" s="50"/>
      <c r="AZ480" s="50"/>
      <c r="BA480" s="50"/>
      <c r="BB480" s="50"/>
      <c r="BC480" s="50"/>
      <c r="BD480" s="50"/>
      <c r="BE480" s="50"/>
      <c r="BF480" s="50"/>
      <c r="BG480" s="50"/>
      <c r="BH480" s="50"/>
      <c r="BI480" s="50"/>
      <c r="BJ480" s="50"/>
      <c r="BK480" s="50"/>
      <c r="BL480" s="50"/>
      <c r="BM480" s="50"/>
      <c r="BN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50"/>
      <c r="AC481" s="50"/>
      <c r="AD481" s="50"/>
      <c r="AE481" s="50"/>
      <c r="AF481" s="50"/>
      <c r="AG481" s="50"/>
      <c r="AH481" s="50"/>
      <c r="AI481" s="50"/>
      <c r="AJ481" s="50"/>
      <c r="AK481" s="50"/>
      <c r="AL481" s="50"/>
      <c r="AM481" s="50"/>
      <c r="AN481" s="50"/>
      <c r="AO481" s="50"/>
      <c r="AP481" s="50"/>
      <c r="AQ481" s="50"/>
      <c r="AR481" s="50"/>
      <c r="AS481" s="50"/>
      <c r="AT481" s="50"/>
      <c r="AU481" s="50"/>
      <c r="AV481" s="50"/>
      <c r="AW481" s="50"/>
      <c r="AX481" s="50"/>
      <c r="AY481" s="50"/>
      <c r="AZ481" s="50"/>
      <c r="BA481" s="50"/>
      <c r="BB481" s="50"/>
      <c r="BC481" s="50"/>
      <c r="BD481" s="50"/>
      <c r="BE481" s="50"/>
      <c r="BF481" s="50"/>
      <c r="BG481" s="50"/>
      <c r="BH481" s="50"/>
      <c r="BI481" s="50"/>
      <c r="BJ481" s="50"/>
      <c r="BK481" s="50"/>
      <c r="BL481" s="50"/>
      <c r="BM481" s="50"/>
      <c r="BN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50"/>
      <c r="AC482" s="50"/>
      <c r="AD482" s="50"/>
      <c r="AE482" s="50"/>
      <c r="AF482" s="50"/>
      <c r="AG482" s="50"/>
      <c r="AH482" s="50"/>
      <c r="AI482" s="50"/>
      <c r="AJ482" s="50"/>
      <c r="AK482" s="50"/>
      <c r="AL482" s="50"/>
      <c r="AM482" s="50"/>
      <c r="AN482" s="50"/>
      <c r="AO482" s="50"/>
      <c r="AP482" s="50"/>
      <c r="AQ482" s="50"/>
      <c r="AR482" s="50"/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50"/>
      <c r="BE482" s="50"/>
      <c r="BF482" s="50"/>
      <c r="BG482" s="50"/>
      <c r="BH482" s="50"/>
      <c r="BI482" s="50"/>
      <c r="BJ482" s="50"/>
      <c r="BK482" s="50"/>
      <c r="BL482" s="50"/>
      <c r="BM482" s="50"/>
      <c r="BN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50"/>
      <c r="AC483" s="50"/>
      <c r="AD483" s="50"/>
      <c r="AE483" s="50"/>
      <c r="AF483" s="50"/>
      <c r="AG483" s="50"/>
      <c r="AH483" s="50"/>
      <c r="AI483" s="50"/>
      <c r="AJ483" s="50"/>
      <c r="AK483" s="50"/>
      <c r="AL483" s="50"/>
      <c r="AM483" s="50"/>
      <c r="AN483" s="50"/>
      <c r="AO483" s="50"/>
      <c r="AP483" s="50"/>
      <c r="AQ483" s="50"/>
      <c r="AR483" s="50"/>
      <c r="AS483" s="50"/>
      <c r="AT483" s="50"/>
      <c r="AU483" s="50"/>
      <c r="AV483" s="50"/>
      <c r="AW483" s="50"/>
      <c r="AX483" s="50"/>
      <c r="AY483" s="50"/>
      <c r="AZ483" s="50"/>
      <c r="BA483" s="50"/>
      <c r="BB483" s="50"/>
      <c r="BC483" s="50"/>
      <c r="BD483" s="50"/>
      <c r="BE483" s="50"/>
      <c r="BF483" s="50"/>
      <c r="BG483" s="50"/>
      <c r="BH483" s="50"/>
      <c r="BI483" s="50"/>
      <c r="BJ483" s="50"/>
      <c r="BK483" s="50"/>
      <c r="BL483" s="50"/>
      <c r="BM483" s="50"/>
      <c r="BN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50"/>
      <c r="AC484" s="50"/>
      <c r="AD484" s="50"/>
      <c r="AE484" s="50"/>
      <c r="AF484" s="50"/>
      <c r="AG484" s="50"/>
      <c r="AH484" s="50"/>
      <c r="AI484" s="50"/>
      <c r="AJ484" s="50"/>
      <c r="AK484" s="50"/>
      <c r="AL484" s="50"/>
      <c r="AM484" s="50"/>
      <c r="AN484" s="50"/>
      <c r="AO484" s="50"/>
      <c r="AP484" s="50"/>
      <c r="AQ484" s="50"/>
      <c r="AR484" s="50"/>
      <c r="AS484" s="50"/>
      <c r="AT484" s="50"/>
      <c r="AU484" s="50"/>
      <c r="AV484" s="50"/>
      <c r="AW484" s="50"/>
      <c r="AX484" s="50"/>
      <c r="AY484" s="50"/>
      <c r="AZ484" s="50"/>
      <c r="BA484" s="50"/>
      <c r="BB484" s="50"/>
      <c r="BC484" s="50"/>
      <c r="BD484" s="50"/>
      <c r="BE484" s="50"/>
      <c r="BF484" s="50"/>
      <c r="BG484" s="50"/>
      <c r="BH484" s="50"/>
      <c r="BI484" s="50"/>
      <c r="BJ484" s="50"/>
      <c r="BK484" s="50"/>
      <c r="BL484" s="50"/>
      <c r="BM484" s="50"/>
      <c r="BN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50"/>
      <c r="AC485" s="50"/>
      <c r="AD485" s="50"/>
      <c r="AE485" s="50"/>
      <c r="AF485" s="50"/>
      <c r="AG485" s="50"/>
      <c r="AH485" s="50"/>
      <c r="AI485" s="50"/>
      <c r="AJ485" s="50"/>
      <c r="AK485" s="50"/>
      <c r="AL485" s="50"/>
      <c r="AM485" s="50"/>
      <c r="AN485" s="50"/>
      <c r="AO485" s="50"/>
      <c r="AP485" s="50"/>
      <c r="AQ485" s="50"/>
      <c r="AR485" s="50"/>
      <c r="AS485" s="50"/>
      <c r="AT485" s="50"/>
      <c r="AU485" s="50"/>
      <c r="AV485" s="50"/>
      <c r="AW485" s="50"/>
      <c r="AX485" s="50"/>
      <c r="AY485" s="50"/>
      <c r="AZ485" s="50"/>
      <c r="BA485" s="50"/>
      <c r="BB485" s="50"/>
      <c r="BC485" s="50"/>
      <c r="BD485" s="50"/>
      <c r="BE485" s="50"/>
      <c r="BF485" s="50"/>
      <c r="BG485" s="50"/>
      <c r="BH485" s="50"/>
      <c r="BI485" s="50"/>
      <c r="BJ485" s="50"/>
      <c r="BK485" s="50"/>
      <c r="BL485" s="50"/>
      <c r="BM485" s="50"/>
      <c r="BN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50"/>
      <c r="AC486" s="50"/>
      <c r="AD486" s="50"/>
      <c r="AE486" s="50"/>
      <c r="AF486" s="50"/>
      <c r="AG486" s="50"/>
      <c r="AH486" s="50"/>
      <c r="AI486" s="50"/>
      <c r="AJ486" s="50"/>
      <c r="AK486" s="50"/>
      <c r="AL486" s="50"/>
      <c r="AM486" s="50"/>
      <c r="AN486" s="50"/>
      <c r="AO486" s="50"/>
      <c r="AP486" s="50"/>
      <c r="AQ486" s="50"/>
      <c r="AR486" s="50"/>
      <c r="AS486" s="50"/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50"/>
      <c r="BE486" s="50"/>
      <c r="BF486" s="50"/>
      <c r="BG486" s="50"/>
      <c r="BH486" s="50"/>
      <c r="BI486" s="50"/>
      <c r="BJ486" s="50"/>
      <c r="BK486" s="50"/>
      <c r="BL486" s="50"/>
      <c r="BM486" s="50"/>
      <c r="BN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50"/>
      <c r="AC487" s="50"/>
      <c r="AD487" s="50"/>
      <c r="AE487" s="50"/>
      <c r="AF487" s="50"/>
      <c r="AG487" s="50"/>
      <c r="AH487" s="50"/>
      <c r="AI487" s="50"/>
      <c r="AJ487" s="50"/>
      <c r="AK487" s="50"/>
      <c r="AL487" s="50"/>
      <c r="AM487" s="50"/>
      <c r="AN487" s="50"/>
      <c r="AO487" s="50"/>
      <c r="AP487" s="50"/>
      <c r="AQ487" s="50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0"/>
      <c r="BC487" s="50"/>
      <c r="BD487" s="50"/>
      <c r="BE487" s="50"/>
      <c r="BF487" s="50"/>
      <c r="BG487" s="50"/>
      <c r="BH487" s="50"/>
      <c r="BI487" s="50"/>
      <c r="BJ487" s="50"/>
      <c r="BK487" s="50"/>
      <c r="BL487" s="50"/>
      <c r="BM487" s="50"/>
      <c r="BN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/>
      <c r="AL488" s="50"/>
      <c r="AM488" s="50"/>
      <c r="AN488" s="50"/>
      <c r="AO488" s="50"/>
      <c r="AP488" s="50"/>
      <c r="AQ488" s="50"/>
      <c r="AR488" s="50"/>
      <c r="AS488" s="50"/>
      <c r="AT488" s="50"/>
      <c r="AU488" s="50"/>
      <c r="AV488" s="50"/>
      <c r="AW488" s="50"/>
      <c r="AX488" s="50"/>
      <c r="AY488" s="50"/>
      <c r="AZ488" s="50"/>
      <c r="BA488" s="50"/>
      <c r="BB488" s="50"/>
      <c r="BC488" s="50"/>
      <c r="BD488" s="50"/>
      <c r="BE488" s="50"/>
      <c r="BF488" s="50"/>
      <c r="BG488" s="50"/>
      <c r="BH488" s="50"/>
      <c r="BI488" s="50"/>
      <c r="BJ488" s="50"/>
      <c r="BK488" s="50"/>
      <c r="BL488" s="50"/>
      <c r="BM488" s="50"/>
      <c r="BN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50"/>
      <c r="AC489" s="50"/>
      <c r="AD489" s="50"/>
      <c r="AE489" s="50"/>
      <c r="AF489" s="50"/>
      <c r="AG489" s="50"/>
      <c r="AH489" s="50"/>
      <c r="AI489" s="50"/>
      <c r="AJ489" s="50"/>
      <c r="AK489" s="50"/>
      <c r="AL489" s="50"/>
      <c r="AM489" s="50"/>
      <c r="AN489" s="50"/>
      <c r="AO489" s="50"/>
      <c r="AP489" s="50"/>
      <c r="AQ489" s="50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0"/>
      <c r="BC489" s="50"/>
      <c r="BD489" s="50"/>
      <c r="BE489" s="50"/>
      <c r="BF489" s="50"/>
      <c r="BG489" s="50"/>
      <c r="BH489" s="50"/>
      <c r="BI489" s="50"/>
      <c r="BJ489" s="50"/>
      <c r="BK489" s="50"/>
      <c r="BL489" s="50"/>
      <c r="BM489" s="50"/>
      <c r="BN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50"/>
      <c r="AC490" s="50"/>
      <c r="AD490" s="50"/>
      <c r="AE490" s="50"/>
      <c r="AF490" s="50"/>
      <c r="AG490" s="50"/>
      <c r="AH490" s="50"/>
      <c r="AI490" s="50"/>
      <c r="AJ490" s="50"/>
      <c r="AK490" s="50"/>
      <c r="AL490" s="50"/>
      <c r="AM490" s="50"/>
      <c r="AN490" s="50"/>
      <c r="AO490" s="50"/>
      <c r="AP490" s="50"/>
      <c r="AQ490" s="50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50"/>
      <c r="BE490" s="50"/>
      <c r="BF490" s="50"/>
      <c r="BG490" s="50"/>
      <c r="BH490" s="50"/>
      <c r="BI490" s="50"/>
      <c r="BJ490" s="50"/>
      <c r="BK490" s="50"/>
      <c r="BL490" s="50"/>
      <c r="BM490" s="50"/>
      <c r="BN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50"/>
      <c r="AC491" s="50"/>
      <c r="AD491" s="50"/>
      <c r="AE491" s="50"/>
      <c r="AF491" s="50"/>
      <c r="AG491" s="50"/>
      <c r="AH491" s="50"/>
      <c r="AI491" s="50"/>
      <c r="AJ491" s="50"/>
      <c r="AK491" s="50"/>
      <c r="AL491" s="50"/>
      <c r="AM491" s="50"/>
      <c r="AN491" s="50"/>
      <c r="AO491" s="50"/>
      <c r="AP491" s="50"/>
      <c r="AQ491" s="50"/>
      <c r="AR491" s="50"/>
      <c r="AS491" s="50"/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50"/>
      <c r="BE491" s="50"/>
      <c r="BF491" s="50"/>
      <c r="BG491" s="50"/>
      <c r="BH491" s="50"/>
      <c r="BI491" s="50"/>
      <c r="BJ491" s="50"/>
      <c r="BK491" s="50"/>
      <c r="BL491" s="50"/>
      <c r="BM491" s="50"/>
      <c r="BN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50"/>
      <c r="AC492" s="50"/>
      <c r="AD492" s="50"/>
      <c r="AE492" s="50"/>
      <c r="AF492" s="50"/>
      <c r="AG492" s="50"/>
      <c r="AH492" s="50"/>
      <c r="AI492" s="50"/>
      <c r="AJ492" s="50"/>
      <c r="AK492" s="50"/>
      <c r="AL492" s="50"/>
      <c r="AM492" s="50"/>
      <c r="AN492" s="50"/>
      <c r="AO492" s="50"/>
      <c r="AP492" s="50"/>
      <c r="AQ492" s="50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0"/>
      <c r="BC492" s="50"/>
      <c r="BD492" s="50"/>
      <c r="BE492" s="50"/>
      <c r="BF492" s="50"/>
      <c r="BG492" s="50"/>
      <c r="BH492" s="50"/>
      <c r="BI492" s="50"/>
      <c r="BJ492" s="50"/>
      <c r="BK492" s="50"/>
      <c r="BL492" s="50"/>
      <c r="BM492" s="50"/>
      <c r="BN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50"/>
      <c r="AC493" s="50"/>
      <c r="AD493" s="50"/>
      <c r="AE493" s="50"/>
      <c r="AF493" s="50"/>
      <c r="AG493" s="50"/>
      <c r="AH493" s="50"/>
      <c r="AI493" s="50"/>
      <c r="AJ493" s="50"/>
      <c r="AK493" s="50"/>
      <c r="AL493" s="50"/>
      <c r="AM493" s="50"/>
      <c r="AN493" s="50"/>
      <c r="AO493" s="50"/>
      <c r="AP493" s="50"/>
      <c r="AQ493" s="50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0"/>
      <c r="BC493" s="50"/>
      <c r="BD493" s="50"/>
      <c r="BE493" s="50"/>
      <c r="BF493" s="50"/>
      <c r="BG493" s="50"/>
      <c r="BH493" s="50"/>
      <c r="BI493" s="50"/>
      <c r="BJ493" s="50"/>
      <c r="BK493" s="50"/>
      <c r="BL493" s="50"/>
      <c r="BM493" s="50"/>
      <c r="BN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  <c r="AL494" s="50"/>
      <c r="AM494" s="50"/>
      <c r="AN494" s="50"/>
      <c r="AO494" s="50"/>
      <c r="AP494" s="50"/>
      <c r="AQ494" s="50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50"/>
      <c r="BE494" s="50"/>
      <c r="BF494" s="50"/>
      <c r="BG494" s="50"/>
      <c r="BH494" s="50"/>
      <c r="BI494" s="50"/>
      <c r="BJ494" s="50"/>
      <c r="BK494" s="50"/>
      <c r="BL494" s="50"/>
      <c r="BM494" s="50"/>
      <c r="BN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50"/>
      <c r="AC495" s="50"/>
      <c r="AD495" s="50"/>
      <c r="AE495" s="50"/>
      <c r="AF495" s="50"/>
      <c r="AG495" s="50"/>
      <c r="AH495" s="50"/>
      <c r="AI495" s="50"/>
      <c r="AJ495" s="50"/>
      <c r="AK495" s="50"/>
      <c r="AL495" s="50"/>
      <c r="AM495" s="50"/>
      <c r="AN495" s="50"/>
      <c r="AO495" s="50"/>
      <c r="AP495" s="50"/>
      <c r="AQ495" s="50"/>
      <c r="AR495" s="50"/>
      <c r="AS495" s="50"/>
      <c r="AT495" s="50"/>
      <c r="AU495" s="50"/>
      <c r="AV495" s="50"/>
      <c r="AW495" s="50"/>
      <c r="AX495" s="50"/>
      <c r="AY495" s="50"/>
      <c r="AZ495" s="50"/>
      <c r="BA495" s="50"/>
      <c r="BB495" s="50"/>
      <c r="BC495" s="50"/>
      <c r="BD495" s="50"/>
      <c r="BE495" s="50"/>
      <c r="BF495" s="50"/>
      <c r="BG495" s="50"/>
      <c r="BH495" s="50"/>
      <c r="BI495" s="50"/>
      <c r="BJ495" s="50"/>
      <c r="BK495" s="50"/>
      <c r="BL495" s="50"/>
      <c r="BM495" s="50"/>
      <c r="BN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50"/>
      <c r="AR496" s="50"/>
      <c r="AS496" s="50"/>
      <c r="AT496" s="50"/>
      <c r="AU496" s="50"/>
      <c r="AV496" s="50"/>
      <c r="AW496" s="50"/>
      <c r="AX496" s="50"/>
      <c r="AY496" s="50"/>
      <c r="AZ496" s="50"/>
      <c r="BA496" s="50"/>
      <c r="BB496" s="50"/>
      <c r="BC496" s="50"/>
      <c r="BD496" s="50"/>
      <c r="BE496" s="50"/>
      <c r="BF496" s="50"/>
      <c r="BG496" s="50"/>
      <c r="BH496" s="50"/>
      <c r="BI496" s="50"/>
      <c r="BJ496" s="50"/>
      <c r="BK496" s="50"/>
      <c r="BL496" s="50"/>
      <c r="BM496" s="50"/>
      <c r="BN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  <c r="AQ497" s="50"/>
      <c r="AR497" s="50"/>
      <c r="AS497" s="50"/>
      <c r="AT497" s="50"/>
      <c r="AU497" s="50"/>
      <c r="AV497" s="50"/>
      <c r="AW497" s="50"/>
      <c r="AX497" s="50"/>
      <c r="AY497" s="50"/>
      <c r="AZ497" s="50"/>
      <c r="BA497" s="50"/>
      <c r="BB497" s="50"/>
      <c r="BC497" s="50"/>
      <c r="BD497" s="50"/>
      <c r="BE497" s="50"/>
      <c r="BF497" s="50"/>
      <c r="BG497" s="50"/>
      <c r="BH497" s="50"/>
      <c r="BI497" s="50"/>
      <c r="BJ497" s="50"/>
      <c r="BK497" s="50"/>
      <c r="BL497" s="50"/>
      <c r="BM497" s="50"/>
      <c r="BN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  <c r="AL498" s="50"/>
      <c r="AM498" s="50"/>
      <c r="AN498" s="50"/>
      <c r="AO498" s="50"/>
      <c r="AP498" s="50"/>
      <c r="AQ498" s="50"/>
      <c r="AR498" s="50"/>
      <c r="AS498" s="50"/>
      <c r="AT498" s="50"/>
      <c r="AU498" s="50"/>
      <c r="AV498" s="50"/>
      <c r="AW498" s="50"/>
      <c r="AX498" s="50"/>
      <c r="AY498" s="50"/>
      <c r="AZ498" s="50"/>
      <c r="BA498" s="50"/>
      <c r="BB498" s="50"/>
      <c r="BC498" s="50"/>
      <c r="BD498" s="50"/>
      <c r="BE498" s="50"/>
      <c r="BF498" s="50"/>
      <c r="BG498" s="50"/>
      <c r="BH498" s="50"/>
      <c r="BI498" s="50"/>
      <c r="BJ498" s="50"/>
      <c r="BK498" s="50"/>
      <c r="BL498" s="50"/>
      <c r="BM498" s="50"/>
      <c r="BN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50"/>
      <c r="AC499" s="50"/>
      <c r="AD499" s="50"/>
      <c r="AE499" s="50"/>
      <c r="AF499" s="50"/>
      <c r="AG499" s="50"/>
      <c r="AH499" s="50"/>
      <c r="AI499" s="50"/>
      <c r="AJ499" s="50"/>
      <c r="AK499" s="50"/>
      <c r="AL499" s="50"/>
      <c r="AM499" s="50"/>
      <c r="AN499" s="50"/>
      <c r="AO499" s="50"/>
      <c r="AP499" s="50"/>
      <c r="AQ499" s="50"/>
      <c r="AR499" s="50"/>
      <c r="AS499" s="50"/>
      <c r="AT499" s="50"/>
      <c r="AU499" s="50"/>
      <c r="AV499" s="50"/>
      <c r="AW499" s="50"/>
      <c r="AX499" s="50"/>
      <c r="AY499" s="50"/>
      <c r="AZ499" s="50"/>
      <c r="BA499" s="50"/>
      <c r="BB499" s="50"/>
      <c r="BC499" s="50"/>
      <c r="BD499" s="50"/>
      <c r="BE499" s="50"/>
      <c r="BF499" s="50"/>
      <c r="BG499" s="50"/>
      <c r="BH499" s="50"/>
      <c r="BI499" s="50"/>
      <c r="BJ499" s="50"/>
      <c r="BK499" s="50"/>
      <c r="BL499" s="50"/>
      <c r="BM499" s="50"/>
      <c r="BN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50"/>
      <c r="AC500" s="50"/>
      <c r="AD500" s="50"/>
      <c r="AE500" s="50"/>
      <c r="AF500" s="50"/>
      <c r="AG500" s="50"/>
      <c r="AH500" s="50"/>
      <c r="AI500" s="50"/>
      <c r="AJ500" s="50"/>
      <c r="AK500" s="50"/>
      <c r="AL500" s="50"/>
      <c r="AM500" s="50"/>
      <c r="AN500" s="50"/>
      <c r="AO500" s="50"/>
      <c r="AP500" s="50"/>
      <c r="AQ500" s="50"/>
      <c r="AR500" s="50"/>
      <c r="AS500" s="50"/>
      <c r="AT500" s="50"/>
      <c r="AU500" s="50"/>
      <c r="AV500" s="50"/>
      <c r="AW500" s="50"/>
      <c r="AX500" s="50"/>
      <c r="AY500" s="50"/>
      <c r="AZ500" s="50"/>
      <c r="BA500" s="50"/>
      <c r="BB500" s="50"/>
      <c r="BC500" s="50"/>
      <c r="BD500" s="50"/>
      <c r="BE500" s="50"/>
      <c r="BF500" s="50"/>
      <c r="BG500" s="50"/>
      <c r="BH500" s="50"/>
      <c r="BI500" s="50"/>
      <c r="BJ500" s="50"/>
      <c r="BK500" s="50"/>
      <c r="BL500" s="50"/>
      <c r="BM500" s="50"/>
      <c r="BN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50"/>
      <c r="AC501" s="50"/>
      <c r="AD501" s="50"/>
      <c r="AE501" s="50"/>
      <c r="AF501" s="50"/>
      <c r="AG501" s="50"/>
      <c r="AH501" s="50"/>
      <c r="AI501" s="50"/>
      <c r="AJ501" s="50"/>
      <c r="AK501" s="50"/>
      <c r="AL501" s="50"/>
      <c r="AM501" s="50"/>
      <c r="AN501" s="50"/>
      <c r="AO501" s="50"/>
      <c r="AP501" s="50"/>
      <c r="AQ501" s="50"/>
      <c r="AR501" s="50"/>
      <c r="AS501" s="50"/>
      <c r="AT501" s="50"/>
      <c r="AU501" s="50"/>
      <c r="AV501" s="50"/>
      <c r="AW501" s="50"/>
      <c r="AX501" s="50"/>
      <c r="AY501" s="50"/>
      <c r="AZ501" s="50"/>
      <c r="BA501" s="50"/>
      <c r="BB501" s="50"/>
      <c r="BC501" s="50"/>
      <c r="BD501" s="50"/>
      <c r="BE501" s="50"/>
      <c r="BF501" s="50"/>
      <c r="BG501" s="50"/>
      <c r="BH501" s="50"/>
      <c r="BI501" s="50"/>
      <c r="BJ501" s="50"/>
      <c r="BK501" s="50"/>
      <c r="BL501" s="50"/>
      <c r="BM501" s="50"/>
      <c r="BN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50"/>
      <c r="AN502" s="50"/>
      <c r="AO502" s="50"/>
      <c r="AP502" s="50"/>
      <c r="AQ502" s="50"/>
      <c r="AR502" s="50"/>
      <c r="AS502" s="50"/>
      <c r="AT502" s="50"/>
      <c r="AU502" s="50"/>
      <c r="AV502" s="50"/>
      <c r="AW502" s="50"/>
      <c r="AX502" s="50"/>
      <c r="AY502" s="50"/>
      <c r="AZ502" s="50"/>
      <c r="BA502" s="50"/>
      <c r="BB502" s="50"/>
      <c r="BC502" s="50"/>
      <c r="BD502" s="50"/>
      <c r="BE502" s="50"/>
      <c r="BF502" s="50"/>
      <c r="BG502" s="50"/>
      <c r="BH502" s="50"/>
      <c r="BI502" s="50"/>
      <c r="BJ502" s="50"/>
      <c r="BK502" s="50"/>
      <c r="BL502" s="50"/>
      <c r="BM502" s="50"/>
      <c r="BN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50"/>
      <c r="AC503" s="50"/>
      <c r="AD503" s="50"/>
      <c r="AE503" s="50"/>
      <c r="AF503" s="50"/>
      <c r="AG503" s="50"/>
      <c r="AH503" s="50"/>
      <c r="AI503" s="50"/>
      <c r="AJ503" s="50"/>
      <c r="AK503" s="50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  <c r="AV503" s="50"/>
      <c r="AW503" s="50"/>
      <c r="AX503" s="50"/>
      <c r="AY503" s="50"/>
      <c r="AZ503" s="50"/>
      <c r="BA503" s="50"/>
      <c r="BB503" s="50"/>
      <c r="BC503" s="50"/>
      <c r="BD503" s="50"/>
      <c r="BE503" s="50"/>
      <c r="BF503" s="50"/>
      <c r="BG503" s="50"/>
      <c r="BH503" s="50"/>
      <c r="BI503" s="50"/>
      <c r="BJ503" s="50"/>
      <c r="BK503" s="50"/>
      <c r="BL503" s="50"/>
      <c r="BM503" s="50"/>
      <c r="BN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50"/>
      <c r="AC504" s="50"/>
      <c r="AD504" s="50"/>
      <c r="AE504" s="50"/>
      <c r="AF504" s="50"/>
      <c r="AG504" s="50"/>
      <c r="AH504" s="50"/>
      <c r="AI504" s="50"/>
      <c r="AJ504" s="50"/>
      <c r="AK504" s="50"/>
      <c r="AL504" s="50"/>
      <c r="AM504" s="50"/>
      <c r="AN504" s="50"/>
      <c r="AO504" s="50"/>
      <c r="AP504" s="50"/>
      <c r="AQ504" s="50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0"/>
      <c r="BC504" s="50"/>
      <c r="BD504" s="50"/>
      <c r="BE504" s="50"/>
      <c r="BF504" s="50"/>
      <c r="BG504" s="50"/>
      <c r="BH504" s="50"/>
      <c r="BI504" s="50"/>
      <c r="BJ504" s="50"/>
      <c r="BK504" s="50"/>
      <c r="BL504" s="50"/>
      <c r="BM504" s="50"/>
      <c r="BN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/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/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50"/>
      <c r="AC506" s="50"/>
      <c r="AD506" s="50"/>
      <c r="AE506" s="50"/>
      <c r="AF506" s="50"/>
      <c r="AG506" s="50"/>
      <c r="AH506" s="50"/>
      <c r="AI506" s="50"/>
      <c r="AJ506" s="50"/>
      <c r="AK506" s="50"/>
      <c r="AL506" s="50"/>
      <c r="AM506" s="50"/>
      <c r="AN506" s="50"/>
      <c r="AO506" s="50"/>
      <c r="AP506" s="50"/>
      <c r="AQ506" s="50"/>
      <c r="AR506" s="50"/>
      <c r="AS506" s="50"/>
      <c r="AT506" s="50"/>
      <c r="AU506" s="50"/>
      <c r="AV506" s="50"/>
      <c r="AW506" s="50"/>
      <c r="AX506" s="50"/>
      <c r="AY506" s="50"/>
      <c r="AZ506" s="50"/>
      <c r="BA506" s="50"/>
      <c r="BB506" s="50"/>
      <c r="BC506" s="50"/>
      <c r="BD506" s="50"/>
      <c r="BE506" s="50"/>
      <c r="BF506" s="50"/>
      <c r="BG506" s="50"/>
      <c r="BH506" s="50"/>
      <c r="BI506" s="50"/>
      <c r="BJ506" s="50"/>
      <c r="BK506" s="50"/>
      <c r="BL506" s="50"/>
      <c r="BM506" s="50"/>
      <c r="BN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/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/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50"/>
      <c r="AC508" s="50"/>
      <c r="AD508" s="50"/>
      <c r="AE508" s="50"/>
      <c r="AF508" s="50"/>
      <c r="AG508" s="50"/>
      <c r="AH508" s="50"/>
      <c r="AI508" s="50"/>
      <c r="AJ508" s="50"/>
      <c r="AK508" s="50"/>
      <c r="AL508" s="50"/>
      <c r="AM508" s="50"/>
      <c r="AN508" s="50"/>
      <c r="AO508" s="50"/>
      <c r="AP508" s="50"/>
      <c r="AQ508" s="50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0"/>
      <c r="BC508" s="50"/>
      <c r="BD508" s="50"/>
      <c r="BE508" s="50"/>
      <c r="BF508" s="50"/>
      <c r="BG508" s="50"/>
      <c r="BH508" s="50"/>
      <c r="BI508" s="50"/>
      <c r="BJ508" s="50"/>
      <c r="BK508" s="50"/>
      <c r="BL508" s="50"/>
      <c r="BM508" s="50"/>
      <c r="BN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/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/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50"/>
      <c r="AC510" s="50"/>
      <c r="AD510" s="50"/>
      <c r="AE510" s="50"/>
      <c r="AF510" s="50"/>
      <c r="AG510" s="50"/>
      <c r="AH510" s="50"/>
      <c r="AI510" s="50"/>
      <c r="AJ510" s="50"/>
      <c r="AK510" s="50"/>
      <c r="AL510" s="50"/>
      <c r="AM510" s="50"/>
      <c r="AN510" s="50"/>
      <c r="AO510" s="50"/>
      <c r="AP510" s="50"/>
      <c r="AQ510" s="50"/>
      <c r="AR510" s="50"/>
      <c r="AS510" s="50"/>
      <c r="AT510" s="50"/>
      <c r="AU510" s="50"/>
      <c r="AV510" s="50"/>
      <c r="AW510" s="50"/>
      <c r="AX510" s="50"/>
      <c r="AY510" s="50"/>
      <c r="AZ510" s="50"/>
      <c r="BA510" s="50"/>
      <c r="BB510" s="50"/>
      <c r="BC510" s="50"/>
      <c r="BD510" s="50"/>
      <c r="BE510" s="50"/>
      <c r="BF510" s="50"/>
      <c r="BG510" s="50"/>
      <c r="BH510" s="50"/>
      <c r="BI510" s="50"/>
      <c r="BJ510" s="50"/>
      <c r="BK510" s="50"/>
      <c r="BL510" s="50"/>
      <c r="BM510" s="50"/>
      <c r="BN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50"/>
      <c r="AC511" s="50"/>
      <c r="AD511" s="50"/>
      <c r="AE511" s="50"/>
      <c r="AF511" s="50"/>
      <c r="AG511" s="50"/>
      <c r="AH511" s="50"/>
      <c r="AI511" s="50"/>
      <c r="AJ511" s="50"/>
      <c r="AK511" s="50"/>
      <c r="AL511" s="50"/>
      <c r="AM511" s="50"/>
      <c r="AN511" s="50"/>
      <c r="AO511" s="50"/>
      <c r="AP511" s="50"/>
      <c r="AQ511" s="50"/>
      <c r="AR511" s="50"/>
      <c r="AS511" s="50"/>
      <c r="AT511" s="50"/>
      <c r="AU511" s="50"/>
      <c r="AV511" s="50"/>
      <c r="AW511" s="50"/>
      <c r="AX511" s="50"/>
      <c r="AY511" s="50"/>
      <c r="AZ511" s="50"/>
      <c r="BA511" s="50"/>
      <c r="BB511" s="50"/>
      <c r="BC511" s="50"/>
      <c r="BD511" s="50"/>
      <c r="BE511" s="50"/>
      <c r="BF511" s="50"/>
      <c r="BG511" s="50"/>
      <c r="BH511" s="50"/>
      <c r="BI511" s="50"/>
      <c r="BJ511" s="50"/>
      <c r="BK511" s="50"/>
      <c r="BL511" s="50"/>
      <c r="BM511" s="50"/>
      <c r="BN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50"/>
      <c r="AC512" s="50"/>
      <c r="AD512" s="50"/>
      <c r="AE512" s="50"/>
      <c r="AF512" s="50"/>
      <c r="AG512" s="50"/>
      <c r="AH512" s="50"/>
      <c r="AI512" s="50"/>
      <c r="AJ512" s="50"/>
      <c r="AK512" s="50"/>
      <c r="AL512" s="50"/>
      <c r="AM512" s="50"/>
      <c r="AN512" s="50"/>
      <c r="AO512" s="50"/>
      <c r="AP512" s="50"/>
      <c r="AQ512" s="50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0"/>
      <c r="BC512" s="50"/>
      <c r="BD512" s="50"/>
      <c r="BE512" s="50"/>
      <c r="BF512" s="50"/>
      <c r="BG512" s="50"/>
      <c r="BH512" s="50"/>
      <c r="BI512" s="50"/>
      <c r="BJ512" s="50"/>
      <c r="BK512" s="50"/>
      <c r="BL512" s="50"/>
      <c r="BM512" s="50"/>
      <c r="BN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50"/>
      <c r="AC513" s="50"/>
      <c r="AD513" s="50"/>
      <c r="AE513" s="50"/>
      <c r="AF513" s="50"/>
      <c r="AG513" s="50"/>
      <c r="AH513" s="50"/>
      <c r="AI513" s="50"/>
      <c r="AJ513" s="50"/>
      <c r="AK513" s="50"/>
      <c r="AL513" s="50"/>
      <c r="AM513" s="50"/>
      <c r="AN513" s="50"/>
      <c r="AO513" s="50"/>
      <c r="AP513" s="50"/>
      <c r="AQ513" s="50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50"/>
      <c r="BE513" s="50"/>
      <c r="BF513" s="50"/>
      <c r="BG513" s="50"/>
      <c r="BH513" s="50"/>
      <c r="BI513" s="50"/>
      <c r="BJ513" s="50"/>
      <c r="BK513" s="50"/>
      <c r="BL513" s="50"/>
      <c r="BM513" s="50"/>
      <c r="BN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50"/>
      <c r="BE514" s="50"/>
      <c r="BF514" s="50"/>
      <c r="BG514" s="50"/>
      <c r="BH514" s="50"/>
      <c r="BI514" s="50"/>
      <c r="BJ514" s="50"/>
      <c r="BK514" s="50"/>
      <c r="BL514" s="50"/>
      <c r="BM514" s="50"/>
      <c r="BN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  <c r="AQ515" s="50"/>
      <c r="AR515" s="50"/>
      <c r="AS515" s="50"/>
      <c r="AT515" s="50"/>
      <c r="AU515" s="50"/>
      <c r="AV515" s="50"/>
      <c r="AW515" s="50"/>
      <c r="AX515" s="50"/>
      <c r="AY515" s="50"/>
      <c r="AZ515" s="50"/>
      <c r="BA515" s="50"/>
      <c r="BB515" s="50"/>
      <c r="BC515" s="50"/>
      <c r="BD515" s="50"/>
      <c r="BE515" s="50"/>
      <c r="BF515" s="50"/>
      <c r="BG515" s="50"/>
      <c r="BH515" s="50"/>
      <c r="BI515" s="50"/>
      <c r="BJ515" s="50"/>
      <c r="BK515" s="50"/>
      <c r="BL515" s="50"/>
      <c r="BM515" s="50"/>
      <c r="BN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  <c r="AM516" s="50"/>
      <c r="AN516" s="50"/>
      <c r="AO516" s="50"/>
      <c r="AP516" s="50"/>
      <c r="AQ516" s="50"/>
      <c r="AR516" s="50"/>
      <c r="AS516" s="50"/>
      <c r="AT516" s="50"/>
      <c r="AU516" s="50"/>
      <c r="AV516" s="50"/>
      <c r="AW516" s="50"/>
      <c r="AX516" s="50"/>
      <c r="AY516" s="50"/>
      <c r="AZ516" s="50"/>
      <c r="BA516" s="50"/>
      <c r="BB516" s="50"/>
      <c r="BC516" s="50"/>
      <c r="BD516" s="50"/>
      <c r="BE516" s="50"/>
      <c r="BF516" s="50"/>
      <c r="BG516" s="50"/>
      <c r="BH516" s="50"/>
      <c r="BI516" s="50"/>
      <c r="BJ516" s="50"/>
      <c r="BK516" s="50"/>
      <c r="BL516" s="50"/>
      <c r="BM516" s="50"/>
      <c r="BN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50"/>
      <c r="AC517" s="50"/>
      <c r="AD517" s="50"/>
      <c r="AE517" s="50"/>
      <c r="AF517" s="50"/>
      <c r="AG517" s="50"/>
      <c r="AH517" s="50"/>
      <c r="AI517" s="50"/>
      <c r="AJ517" s="50"/>
      <c r="AK517" s="50"/>
      <c r="AL517" s="50"/>
      <c r="AM517" s="50"/>
      <c r="AN517" s="50"/>
      <c r="AO517" s="50"/>
      <c r="AP517" s="50"/>
      <c r="AQ517" s="50"/>
      <c r="AR517" s="50"/>
      <c r="AS517" s="50"/>
      <c r="AT517" s="50"/>
      <c r="AU517" s="50"/>
      <c r="AV517" s="50"/>
      <c r="AW517" s="50"/>
      <c r="AX517" s="50"/>
      <c r="AY517" s="50"/>
      <c r="AZ517" s="50"/>
      <c r="BA517" s="50"/>
      <c r="BB517" s="50"/>
      <c r="BC517" s="50"/>
      <c r="BD517" s="50"/>
      <c r="BE517" s="50"/>
      <c r="BF517" s="50"/>
      <c r="BG517" s="50"/>
      <c r="BH517" s="50"/>
      <c r="BI517" s="50"/>
      <c r="BJ517" s="50"/>
      <c r="BK517" s="50"/>
      <c r="BL517" s="50"/>
      <c r="BM517" s="50"/>
      <c r="BN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/>
      <c r="AL518" s="50"/>
      <c r="AM518" s="50"/>
      <c r="AN518" s="50"/>
      <c r="AO518" s="50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0"/>
      <c r="BE518" s="50"/>
      <c r="BF518" s="50"/>
      <c r="BG518" s="50"/>
      <c r="BH518" s="50"/>
      <c r="BI518" s="50"/>
      <c r="BJ518" s="50"/>
      <c r="BK518" s="50"/>
      <c r="BL518" s="50"/>
      <c r="BM518" s="50"/>
      <c r="BN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50"/>
      <c r="AC519" s="50"/>
      <c r="AD519" s="50"/>
      <c r="AE519" s="50"/>
      <c r="AF519" s="50"/>
      <c r="AG519" s="50"/>
      <c r="AH519" s="50"/>
      <c r="AI519" s="50"/>
      <c r="AJ519" s="50"/>
      <c r="AK519" s="50"/>
      <c r="AL519" s="50"/>
      <c r="AM519" s="50"/>
      <c r="AN519" s="50"/>
      <c r="AO519" s="50"/>
      <c r="AP519" s="50"/>
      <c r="AQ519" s="50"/>
      <c r="AR519" s="50"/>
      <c r="AS519" s="50"/>
      <c r="AT519" s="50"/>
      <c r="AU519" s="50"/>
      <c r="AV519" s="50"/>
      <c r="AW519" s="50"/>
      <c r="AX519" s="50"/>
      <c r="AY519" s="50"/>
      <c r="AZ519" s="50"/>
      <c r="BA519" s="50"/>
      <c r="BB519" s="50"/>
      <c r="BC519" s="50"/>
      <c r="BD519" s="50"/>
      <c r="BE519" s="50"/>
      <c r="BF519" s="50"/>
      <c r="BG519" s="50"/>
      <c r="BH519" s="50"/>
      <c r="BI519" s="50"/>
      <c r="BJ519" s="50"/>
      <c r="BK519" s="50"/>
      <c r="BL519" s="50"/>
      <c r="BM519" s="50"/>
      <c r="BN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  <c r="AV520" s="50"/>
      <c r="AW520" s="50"/>
      <c r="AX520" s="50"/>
      <c r="AY520" s="50"/>
      <c r="AZ520" s="50"/>
      <c r="BA520" s="50"/>
      <c r="BB520" s="50"/>
      <c r="BC520" s="50"/>
      <c r="BD520" s="50"/>
      <c r="BE520" s="50"/>
      <c r="BF520" s="50"/>
      <c r="BG520" s="50"/>
      <c r="BH520" s="50"/>
      <c r="BI520" s="50"/>
      <c r="BJ520" s="50"/>
      <c r="BK520" s="50"/>
      <c r="BL520" s="50"/>
      <c r="BM520" s="50"/>
      <c r="BN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/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  <c r="AV521" s="50"/>
      <c r="AW521" s="50"/>
      <c r="AX521" s="50"/>
      <c r="AY521" s="50"/>
      <c r="AZ521" s="50"/>
      <c r="BA521" s="50"/>
      <c r="BB521" s="50"/>
      <c r="BC521" s="50"/>
      <c r="BD521" s="50"/>
      <c r="BE521" s="50"/>
      <c r="BF521" s="50"/>
      <c r="BG521" s="50"/>
      <c r="BH521" s="50"/>
      <c r="BI521" s="50"/>
      <c r="BJ521" s="50"/>
      <c r="BK521" s="50"/>
      <c r="BL521" s="50"/>
      <c r="BM521" s="50"/>
      <c r="BN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50"/>
      <c r="AC522" s="50"/>
      <c r="AD522" s="50"/>
      <c r="AE522" s="50"/>
      <c r="AF522" s="50"/>
      <c r="AG522" s="50"/>
      <c r="AH522" s="50"/>
      <c r="AI522" s="50"/>
      <c r="AJ522" s="50"/>
      <c r="AK522" s="50"/>
      <c r="AL522" s="50"/>
      <c r="AM522" s="50"/>
      <c r="AN522" s="50"/>
      <c r="AO522" s="50"/>
      <c r="AP522" s="50"/>
      <c r="AQ522" s="50"/>
      <c r="AR522" s="50"/>
      <c r="AS522" s="50"/>
      <c r="AT522" s="50"/>
      <c r="AU522" s="50"/>
      <c r="AV522" s="50"/>
      <c r="AW522" s="50"/>
      <c r="AX522" s="50"/>
      <c r="AY522" s="50"/>
      <c r="AZ522" s="50"/>
      <c r="BA522" s="50"/>
      <c r="BB522" s="50"/>
      <c r="BC522" s="50"/>
      <c r="BD522" s="50"/>
      <c r="BE522" s="50"/>
      <c r="BF522" s="50"/>
      <c r="BG522" s="50"/>
      <c r="BH522" s="50"/>
      <c r="BI522" s="50"/>
      <c r="BJ522" s="50"/>
      <c r="BK522" s="50"/>
      <c r="BL522" s="50"/>
      <c r="BM522" s="50"/>
      <c r="BN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50"/>
      <c r="AC523" s="50"/>
      <c r="AD523" s="50"/>
      <c r="AE523" s="50"/>
      <c r="AF523" s="50"/>
      <c r="AG523" s="50"/>
      <c r="AH523" s="50"/>
      <c r="AI523" s="50"/>
      <c r="AJ523" s="50"/>
      <c r="AK523" s="50"/>
      <c r="AL523" s="50"/>
      <c r="AM523" s="50"/>
      <c r="AN523" s="50"/>
      <c r="AO523" s="50"/>
      <c r="AP523" s="50"/>
      <c r="AQ523" s="50"/>
      <c r="AR523" s="50"/>
      <c r="AS523" s="50"/>
      <c r="AT523" s="50"/>
      <c r="AU523" s="50"/>
      <c r="AV523" s="50"/>
      <c r="AW523" s="50"/>
      <c r="AX523" s="50"/>
      <c r="AY523" s="50"/>
      <c r="AZ523" s="50"/>
      <c r="BA523" s="50"/>
      <c r="BB523" s="50"/>
      <c r="BC523" s="50"/>
      <c r="BD523" s="50"/>
      <c r="BE523" s="50"/>
      <c r="BF523" s="50"/>
      <c r="BG523" s="50"/>
      <c r="BH523" s="50"/>
      <c r="BI523" s="50"/>
      <c r="BJ523" s="50"/>
      <c r="BK523" s="50"/>
      <c r="BL523" s="50"/>
      <c r="BM523" s="50"/>
      <c r="BN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50"/>
      <c r="AC524" s="50"/>
      <c r="AD524" s="50"/>
      <c r="AE524" s="50"/>
      <c r="AF524" s="50"/>
      <c r="AG524" s="50"/>
      <c r="AH524" s="50"/>
      <c r="AI524" s="50"/>
      <c r="AJ524" s="50"/>
      <c r="AK524" s="50"/>
      <c r="AL524" s="50"/>
      <c r="AM524" s="50"/>
      <c r="AN524" s="50"/>
      <c r="AO524" s="50"/>
      <c r="AP524" s="50"/>
      <c r="AQ524" s="50"/>
      <c r="AR524" s="50"/>
      <c r="AS524" s="50"/>
      <c r="AT524" s="50"/>
      <c r="AU524" s="50"/>
      <c r="AV524" s="50"/>
      <c r="AW524" s="50"/>
      <c r="AX524" s="50"/>
      <c r="AY524" s="50"/>
      <c r="AZ524" s="50"/>
      <c r="BA524" s="50"/>
      <c r="BB524" s="50"/>
      <c r="BC524" s="50"/>
      <c r="BD524" s="50"/>
      <c r="BE524" s="50"/>
      <c r="BF524" s="50"/>
      <c r="BG524" s="50"/>
      <c r="BH524" s="50"/>
      <c r="BI524" s="50"/>
      <c r="BJ524" s="50"/>
      <c r="BK524" s="50"/>
      <c r="BL524" s="50"/>
      <c r="BM524" s="50"/>
      <c r="BN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50"/>
      <c r="AC525" s="50"/>
      <c r="AD525" s="50"/>
      <c r="AE525" s="50"/>
      <c r="AF525" s="50"/>
      <c r="AG525" s="50"/>
      <c r="AH525" s="50"/>
      <c r="AI525" s="50"/>
      <c r="AJ525" s="50"/>
      <c r="AK525" s="50"/>
      <c r="AL525" s="50"/>
      <c r="AM525" s="50"/>
      <c r="AN525" s="50"/>
      <c r="AO525" s="50"/>
      <c r="AP525" s="50"/>
      <c r="AQ525" s="50"/>
      <c r="AR525" s="50"/>
      <c r="AS525" s="50"/>
      <c r="AT525" s="50"/>
      <c r="AU525" s="50"/>
      <c r="AV525" s="50"/>
      <c r="AW525" s="50"/>
      <c r="AX525" s="50"/>
      <c r="AY525" s="50"/>
      <c r="AZ525" s="50"/>
      <c r="BA525" s="50"/>
      <c r="BB525" s="50"/>
      <c r="BC525" s="50"/>
      <c r="BD525" s="50"/>
      <c r="BE525" s="50"/>
      <c r="BF525" s="50"/>
      <c r="BG525" s="50"/>
      <c r="BH525" s="50"/>
      <c r="BI525" s="50"/>
      <c r="BJ525" s="50"/>
      <c r="BK525" s="50"/>
      <c r="BL525" s="50"/>
      <c r="BM525" s="50"/>
      <c r="BN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  <c r="AL526" s="50"/>
      <c r="AM526" s="50"/>
      <c r="AN526" s="50"/>
      <c r="AO526" s="50"/>
      <c r="AP526" s="50"/>
      <c r="AQ526" s="50"/>
      <c r="AR526" s="50"/>
      <c r="AS526" s="50"/>
      <c r="AT526" s="50"/>
      <c r="AU526" s="50"/>
      <c r="AV526" s="50"/>
      <c r="AW526" s="50"/>
      <c r="AX526" s="50"/>
      <c r="AY526" s="50"/>
      <c r="AZ526" s="50"/>
      <c r="BA526" s="50"/>
      <c r="BB526" s="50"/>
      <c r="BC526" s="50"/>
      <c r="BD526" s="50"/>
      <c r="BE526" s="50"/>
      <c r="BF526" s="50"/>
      <c r="BG526" s="50"/>
      <c r="BH526" s="50"/>
      <c r="BI526" s="50"/>
      <c r="BJ526" s="50"/>
      <c r="BK526" s="50"/>
      <c r="BL526" s="50"/>
      <c r="BM526" s="50"/>
      <c r="BN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  <c r="AL527" s="50"/>
      <c r="AM527" s="50"/>
      <c r="AN527" s="50"/>
      <c r="AO527" s="50"/>
      <c r="AP527" s="50"/>
      <c r="AQ527" s="50"/>
      <c r="AR527" s="50"/>
      <c r="AS527" s="50"/>
      <c r="AT527" s="50"/>
      <c r="AU527" s="50"/>
      <c r="AV527" s="50"/>
      <c r="AW527" s="50"/>
      <c r="AX527" s="50"/>
      <c r="AY527" s="50"/>
      <c r="AZ527" s="50"/>
      <c r="BA527" s="50"/>
      <c r="BB527" s="50"/>
      <c r="BC527" s="50"/>
      <c r="BD527" s="50"/>
      <c r="BE527" s="50"/>
      <c r="BF527" s="50"/>
      <c r="BG527" s="50"/>
      <c r="BH527" s="50"/>
      <c r="BI527" s="50"/>
      <c r="BJ527" s="50"/>
      <c r="BK527" s="50"/>
      <c r="BL527" s="50"/>
      <c r="BM527" s="50"/>
      <c r="BN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50"/>
      <c r="AC528" s="50"/>
      <c r="AD528" s="50"/>
      <c r="AE528" s="50"/>
      <c r="AF528" s="50"/>
      <c r="AG528" s="50"/>
      <c r="AH528" s="50"/>
      <c r="AI528" s="50"/>
      <c r="AJ528" s="50"/>
      <c r="AK528" s="50"/>
      <c r="AL528" s="50"/>
      <c r="AM528" s="50"/>
      <c r="AN528" s="50"/>
      <c r="AO528" s="50"/>
      <c r="AP528" s="50"/>
      <c r="AQ528" s="50"/>
      <c r="AR528" s="50"/>
      <c r="AS528" s="50"/>
      <c r="AT528" s="50"/>
      <c r="AU528" s="50"/>
      <c r="AV528" s="50"/>
      <c r="AW528" s="50"/>
      <c r="AX528" s="50"/>
      <c r="AY528" s="50"/>
      <c r="AZ528" s="50"/>
      <c r="BA528" s="50"/>
      <c r="BB528" s="50"/>
      <c r="BC528" s="50"/>
      <c r="BD528" s="50"/>
      <c r="BE528" s="50"/>
      <c r="BF528" s="50"/>
      <c r="BG528" s="50"/>
      <c r="BH528" s="50"/>
      <c r="BI528" s="50"/>
      <c r="BJ528" s="50"/>
      <c r="BK528" s="50"/>
      <c r="BL528" s="50"/>
      <c r="BM528" s="50"/>
      <c r="BN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  <c r="AL529" s="50"/>
      <c r="AM529" s="50"/>
      <c r="AN529" s="50"/>
      <c r="AO529" s="50"/>
      <c r="AP529" s="50"/>
      <c r="AQ529" s="50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0"/>
      <c r="BC529" s="50"/>
      <c r="BD529" s="50"/>
      <c r="BE529" s="50"/>
      <c r="BF529" s="50"/>
      <c r="BG529" s="50"/>
      <c r="BH529" s="50"/>
      <c r="BI529" s="50"/>
      <c r="BJ529" s="50"/>
      <c r="BK529" s="50"/>
      <c r="BL529" s="50"/>
      <c r="BM529" s="50"/>
      <c r="BN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  <c r="AL530" s="50"/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50"/>
      <c r="BE530" s="50"/>
      <c r="BF530" s="50"/>
      <c r="BG530" s="50"/>
      <c r="BH530" s="50"/>
      <c r="BI530" s="50"/>
      <c r="BJ530" s="50"/>
      <c r="BK530" s="50"/>
      <c r="BL530" s="50"/>
      <c r="BM530" s="50"/>
      <c r="BN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  <c r="AL531" s="50"/>
      <c r="AM531" s="50"/>
      <c r="AN531" s="50"/>
      <c r="AO531" s="50"/>
      <c r="AP531" s="50"/>
      <c r="AQ531" s="50"/>
      <c r="AR531" s="50"/>
      <c r="AS531" s="50"/>
      <c r="AT531" s="50"/>
      <c r="AU531" s="50"/>
      <c r="AV531" s="50"/>
      <c r="AW531" s="50"/>
      <c r="AX531" s="50"/>
      <c r="AY531" s="50"/>
      <c r="AZ531" s="50"/>
      <c r="BA531" s="50"/>
      <c r="BB531" s="50"/>
      <c r="BC531" s="50"/>
      <c r="BD531" s="50"/>
      <c r="BE531" s="50"/>
      <c r="BF531" s="50"/>
      <c r="BG531" s="50"/>
      <c r="BH531" s="50"/>
      <c r="BI531" s="50"/>
      <c r="BJ531" s="50"/>
      <c r="BK531" s="50"/>
      <c r="BL531" s="50"/>
      <c r="BM531" s="50"/>
      <c r="BN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/>
      <c r="AM532" s="50"/>
      <c r="AN532" s="50"/>
      <c r="AO532" s="50"/>
      <c r="AP532" s="50"/>
      <c r="AQ532" s="50"/>
      <c r="AR532" s="50"/>
      <c r="AS532" s="50"/>
      <c r="AT532" s="50"/>
      <c r="AU532" s="50"/>
      <c r="AV532" s="50"/>
      <c r="AW532" s="50"/>
      <c r="AX532" s="50"/>
      <c r="AY532" s="50"/>
      <c r="AZ532" s="50"/>
      <c r="BA532" s="50"/>
      <c r="BB532" s="50"/>
      <c r="BC532" s="50"/>
      <c r="BD532" s="50"/>
      <c r="BE532" s="50"/>
      <c r="BF532" s="50"/>
      <c r="BG532" s="50"/>
      <c r="BH532" s="50"/>
      <c r="BI532" s="50"/>
      <c r="BJ532" s="50"/>
      <c r="BK532" s="50"/>
      <c r="BL532" s="50"/>
      <c r="BM532" s="50"/>
      <c r="BN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/>
      <c r="AM533" s="50"/>
      <c r="AN533" s="50"/>
      <c r="AO533" s="50"/>
      <c r="AP533" s="50"/>
      <c r="AQ533" s="50"/>
      <c r="AR533" s="50"/>
      <c r="AS533" s="50"/>
      <c r="AT533" s="50"/>
      <c r="AU533" s="50"/>
      <c r="AV533" s="50"/>
      <c r="AW533" s="50"/>
      <c r="AX533" s="50"/>
      <c r="AY533" s="50"/>
      <c r="AZ533" s="50"/>
      <c r="BA533" s="50"/>
      <c r="BB533" s="50"/>
      <c r="BC533" s="50"/>
      <c r="BD533" s="50"/>
      <c r="BE533" s="50"/>
      <c r="BF533" s="50"/>
      <c r="BG533" s="50"/>
      <c r="BH533" s="50"/>
      <c r="BI533" s="50"/>
      <c r="BJ533" s="50"/>
      <c r="BK533" s="50"/>
      <c r="BL533" s="50"/>
      <c r="BM533" s="50"/>
      <c r="BN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50"/>
      <c r="AC534" s="50"/>
      <c r="AD534" s="50"/>
      <c r="AE534" s="50"/>
      <c r="AF534" s="50"/>
      <c r="AG534" s="50"/>
      <c r="AH534" s="50"/>
      <c r="AI534" s="50"/>
      <c r="AJ534" s="50"/>
      <c r="AK534" s="50"/>
      <c r="AL534" s="50"/>
      <c r="AM534" s="50"/>
      <c r="AN534" s="50"/>
      <c r="AO534" s="50"/>
      <c r="AP534" s="50"/>
      <c r="AQ534" s="50"/>
      <c r="AR534" s="50"/>
      <c r="AS534" s="50"/>
      <c r="AT534" s="50"/>
      <c r="AU534" s="50"/>
      <c r="AV534" s="50"/>
      <c r="AW534" s="50"/>
      <c r="AX534" s="50"/>
      <c r="AY534" s="50"/>
      <c r="AZ534" s="50"/>
      <c r="BA534" s="50"/>
      <c r="BB534" s="50"/>
      <c r="BC534" s="50"/>
      <c r="BD534" s="50"/>
      <c r="BE534" s="50"/>
      <c r="BF534" s="50"/>
      <c r="BG534" s="50"/>
      <c r="BH534" s="50"/>
      <c r="BI534" s="50"/>
      <c r="BJ534" s="50"/>
      <c r="BK534" s="50"/>
      <c r="BL534" s="50"/>
      <c r="BM534" s="50"/>
      <c r="BN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50"/>
      <c r="AC535" s="50"/>
      <c r="AD535" s="50"/>
      <c r="AE535" s="50"/>
      <c r="AF535" s="50"/>
      <c r="AG535" s="50"/>
      <c r="AH535" s="50"/>
      <c r="AI535" s="50"/>
      <c r="AJ535" s="50"/>
      <c r="AK535" s="50"/>
      <c r="AL535" s="50"/>
      <c r="AM535" s="50"/>
      <c r="AN535" s="50"/>
      <c r="AO535" s="50"/>
      <c r="AP535" s="50"/>
      <c r="AQ535" s="50"/>
      <c r="AR535" s="50"/>
      <c r="AS535" s="50"/>
      <c r="AT535" s="50"/>
      <c r="AU535" s="50"/>
      <c r="AV535" s="50"/>
      <c r="AW535" s="50"/>
      <c r="AX535" s="50"/>
      <c r="AY535" s="50"/>
      <c r="AZ535" s="50"/>
      <c r="BA535" s="50"/>
      <c r="BB535" s="50"/>
      <c r="BC535" s="50"/>
      <c r="BD535" s="50"/>
      <c r="BE535" s="50"/>
      <c r="BF535" s="50"/>
      <c r="BG535" s="50"/>
      <c r="BH535" s="50"/>
      <c r="BI535" s="50"/>
      <c r="BJ535" s="50"/>
      <c r="BK535" s="50"/>
      <c r="BL535" s="50"/>
      <c r="BM535" s="50"/>
      <c r="BN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50"/>
      <c r="AC536" s="50"/>
      <c r="AD536" s="50"/>
      <c r="AE536" s="50"/>
      <c r="AF536" s="50"/>
      <c r="AG536" s="50"/>
      <c r="AH536" s="50"/>
      <c r="AI536" s="50"/>
      <c r="AJ536" s="50"/>
      <c r="AK536" s="50"/>
      <c r="AL536" s="50"/>
      <c r="AM536" s="50"/>
      <c r="AN536" s="50"/>
      <c r="AO536" s="50"/>
      <c r="AP536" s="50"/>
      <c r="AQ536" s="50"/>
      <c r="AR536" s="50"/>
      <c r="AS536" s="50"/>
      <c r="AT536" s="50"/>
      <c r="AU536" s="50"/>
      <c r="AV536" s="50"/>
      <c r="AW536" s="50"/>
      <c r="AX536" s="50"/>
      <c r="AY536" s="50"/>
      <c r="AZ536" s="50"/>
      <c r="BA536" s="50"/>
      <c r="BB536" s="50"/>
      <c r="BC536" s="50"/>
      <c r="BD536" s="50"/>
      <c r="BE536" s="50"/>
      <c r="BF536" s="50"/>
      <c r="BG536" s="50"/>
      <c r="BH536" s="50"/>
      <c r="BI536" s="50"/>
      <c r="BJ536" s="50"/>
      <c r="BK536" s="50"/>
      <c r="BL536" s="50"/>
      <c r="BM536" s="50"/>
      <c r="BN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50"/>
      <c r="AC537" s="50"/>
      <c r="AD537" s="50"/>
      <c r="AE537" s="50"/>
      <c r="AF537" s="50"/>
      <c r="AG537" s="50"/>
      <c r="AH537" s="50"/>
      <c r="AI537" s="50"/>
      <c r="AJ537" s="50"/>
      <c r="AK537" s="50"/>
      <c r="AL537" s="50"/>
      <c r="AM537" s="50"/>
      <c r="AN537" s="50"/>
      <c r="AO537" s="50"/>
      <c r="AP537" s="50"/>
      <c r="AQ537" s="50"/>
      <c r="AR537" s="50"/>
      <c r="AS537" s="50"/>
      <c r="AT537" s="50"/>
      <c r="AU537" s="50"/>
      <c r="AV537" s="50"/>
      <c r="AW537" s="50"/>
      <c r="AX537" s="50"/>
      <c r="AY537" s="50"/>
      <c r="AZ537" s="50"/>
      <c r="BA537" s="50"/>
      <c r="BB537" s="50"/>
      <c r="BC537" s="50"/>
      <c r="BD537" s="50"/>
      <c r="BE537" s="50"/>
      <c r="BF537" s="50"/>
      <c r="BG537" s="50"/>
      <c r="BH537" s="50"/>
      <c r="BI537" s="50"/>
      <c r="BJ537" s="50"/>
      <c r="BK537" s="50"/>
      <c r="BL537" s="50"/>
      <c r="BM537" s="50"/>
      <c r="BN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50"/>
      <c r="AC538" s="50"/>
      <c r="AD538" s="50"/>
      <c r="AE538" s="50"/>
      <c r="AF538" s="50"/>
      <c r="AG538" s="50"/>
      <c r="AH538" s="50"/>
      <c r="AI538" s="50"/>
      <c r="AJ538" s="50"/>
      <c r="AK538" s="50"/>
      <c r="AL538" s="50"/>
      <c r="AM538" s="50"/>
      <c r="AN538" s="50"/>
      <c r="AO538" s="50"/>
      <c r="AP538" s="50"/>
      <c r="AQ538" s="50"/>
      <c r="AR538" s="50"/>
      <c r="AS538" s="50"/>
      <c r="AT538" s="50"/>
      <c r="AU538" s="50"/>
      <c r="AV538" s="50"/>
      <c r="AW538" s="50"/>
      <c r="AX538" s="50"/>
      <c r="AY538" s="50"/>
      <c r="AZ538" s="50"/>
      <c r="BA538" s="50"/>
      <c r="BB538" s="50"/>
      <c r="BC538" s="50"/>
      <c r="BD538" s="50"/>
      <c r="BE538" s="50"/>
      <c r="BF538" s="50"/>
      <c r="BG538" s="50"/>
      <c r="BH538" s="50"/>
      <c r="BI538" s="50"/>
      <c r="BJ538" s="50"/>
      <c r="BK538" s="50"/>
      <c r="BL538" s="50"/>
      <c r="BM538" s="50"/>
      <c r="BN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50"/>
      <c r="AC539" s="50"/>
      <c r="AD539" s="50"/>
      <c r="AE539" s="50"/>
      <c r="AF539" s="50"/>
      <c r="AG539" s="50"/>
      <c r="AH539" s="50"/>
      <c r="AI539" s="50"/>
      <c r="AJ539" s="50"/>
      <c r="AK539" s="50"/>
      <c r="AL539" s="50"/>
      <c r="AM539" s="50"/>
      <c r="AN539" s="50"/>
      <c r="AO539" s="50"/>
      <c r="AP539" s="50"/>
      <c r="AQ539" s="50"/>
      <c r="AR539" s="50"/>
      <c r="AS539" s="50"/>
      <c r="AT539" s="50"/>
      <c r="AU539" s="50"/>
      <c r="AV539" s="50"/>
      <c r="AW539" s="50"/>
      <c r="AX539" s="50"/>
      <c r="AY539" s="50"/>
      <c r="AZ539" s="50"/>
      <c r="BA539" s="50"/>
      <c r="BB539" s="50"/>
      <c r="BC539" s="50"/>
      <c r="BD539" s="50"/>
      <c r="BE539" s="50"/>
      <c r="BF539" s="50"/>
      <c r="BG539" s="50"/>
      <c r="BH539" s="50"/>
      <c r="BI539" s="50"/>
      <c r="BJ539" s="50"/>
      <c r="BK539" s="50"/>
      <c r="BL539" s="50"/>
      <c r="BM539" s="50"/>
      <c r="BN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50"/>
      <c r="AC540" s="50"/>
      <c r="AD540" s="50"/>
      <c r="AE540" s="50"/>
      <c r="AF540" s="50"/>
      <c r="AG540" s="50"/>
      <c r="AH540" s="50"/>
      <c r="AI540" s="50"/>
      <c r="AJ540" s="50"/>
      <c r="AK540" s="50"/>
      <c r="AL540" s="50"/>
      <c r="AM540" s="50"/>
      <c r="AN540" s="50"/>
      <c r="AO540" s="50"/>
      <c r="AP540" s="50"/>
      <c r="AQ540" s="50"/>
      <c r="AR540" s="50"/>
      <c r="AS540" s="50"/>
      <c r="AT540" s="50"/>
      <c r="AU540" s="50"/>
      <c r="AV540" s="50"/>
      <c r="AW540" s="50"/>
      <c r="AX540" s="50"/>
      <c r="AY540" s="50"/>
      <c r="AZ540" s="50"/>
      <c r="BA540" s="50"/>
      <c r="BB540" s="50"/>
      <c r="BC540" s="50"/>
      <c r="BD540" s="50"/>
      <c r="BE540" s="50"/>
      <c r="BF540" s="50"/>
      <c r="BG540" s="50"/>
      <c r="BH540" s="50"/>
      <c r="BI540" s="50"/>
      <c r="BJ540" s="50"/>
      <c r="BK540" s="50"/>
      <c r="BL540" s="50"/>
      <c r="BM540" s="50"/>
      <c r="BN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50"/>
      <c r="AC541" s="50"/>
      <c r="AD541" s="50"/>
      <c r="AE541" s="50"/>
      <c r="AF541" s="50"/>
      <c r="AG541" s="50"/>
      <c r="AH541" s="50"/>
      <c r="AI541" s="50"/>
      <c r="AJ541" s="50"/>
      <c r="AK541" s="50"/>
      <c r="AL541" s="50"/>
      <c r="AM541" s="50"/>
      <c r="AN541" s="50"/>
      <c r="AO541" s="50"/>
      <c r="AP541" s="50"/>
      <c r="AQ541" s="50"/>
      <c r="AR541" s="50"/>
      <c r="AS541" s="50"/>
      <c r="AT541" s="50"/>
      <c r="AU541" s="50"/>
      <c r="AV541" s="50"/>
      <c r="AW541" s="50"/>
      <c r="AX541" s="50"/>
      <c r="AY541" s="50"/>
      <c r="AZ541" s="50"/>
      <c r="BA541" s="50"/>
      <c r="BB541" s="50"/>
      <c r="BC541" s="50"/>
      <c r="BD541" s="50"/>
      <c r="BE541" s="50"/>
      <c r="BF541" s="50"/>
      <c r="BG541" s="50"/>
      <c r="BH541" s="50"/>
      <c r="BI541" s="50"/>
      <c r="BJ541" s="50"/>
      <c r="BK541" s="50"/>
      <c r="BL541" s="50"/>
      <c r="BM541" s="50"/>
      <c r="BN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50"/>
      <c r="AN542" s="50"/>
      <c r="AO542" s="50"/>
      <c r="AP542" s="50"/>
      <c r="AQ542" s="50"/>
      <c r="AR542" s="50"/>
      <c r="AS542" s="50"/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0"/>
      <c r="BE542" s="50"/>
      <c r="BF542" s="50"/>
      <c r="BG542" s="50"/>
      <c r="BH542" s="50"/>
      <c r="BI542" s="50"/>
      <c r="BJ542" s="50"/>
      <c r="BK542" s="50"/>
      <c r="BL542" s="50"/>
      <c r="BM542" s="50"/>
      <c r="BN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50"/>
      <c r="AC543" s="50"/>
      <c r="AD543" s="50"/>
      <c r="AE543" s="50"/>
      <c r="AF543" s="50"/>
      <c r="AG543" s="50"/>
      <c r="AH543" s="50"/>
      <c r="AI543" s="50"/>
      <c r="AJ543" s="50"/>
      <c r="AK543" s="50"/>
      <c r="AL543" s="50"/>
      <c r="AM543" s="50"/>
      <c r="AN543" s="50"/>
      <c r="AO543" s="50"/>
      <c r="AP543" s="50"/>
      <c r="AQ543" s="50"/>
      <c r="AR543" s="50"/>
      <c r="AS543" s="50"/>
      <c r="AT543" s="50"/>
      <c r="AU543" s="50"/>
      <c r="AV543" s="50"/>
      <c r="AW543" s="50"/>
      <c r="AX543" s="50"/>
      <c r="AY543" s="50"/>
      <c r="AZ543" s="50"/>
      <c r="BA543" s="50"/>
      <c r="BB543" s="50"/>
      <c r="BC543" s="50"/>
      <c r="BD543" s="50"/>
      <c r="BE543" s="50"/>
      <c r="BF543" s="50"/>
      <c r="BG543" s="50"/>
      <c r="BH543" s="50"/>
      <c r="BI543" s="50"/>
      <c r="BJ543" s="50"/>
      <c r="BK543" s="50"/>
      <c r="BL543" s="50"/>
      <c r="BM543" s="50"/>
      <c r="BN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50"/>
      <c r="AC544" s="50"/>
      <c r="AD544" s="50"/>
      <c r="AE544" s="50"/>
      <c r="AF544" s="50"/>
      <c r="AG544" s="50"/>
      <c r="AH544" s="50"/>
      <c r="AI544" s="50"/>
      <c r="AJ544" s="50"/>
      <c r="AK544" s="50"/>
      <c r="AL544" s="50"/>
      <c r="AM544" s="50"/>
      <c r="AN544" s="50"/>
      <c r="AO544" s="50"/>
      <c r="AP544" s="50"/>
      <c r="AQ544" s="50"/>
      <c r="AR544" s="50"/>
      <c r="AS544" s="50"/>
      <c r="AT544" s="50"/>
      <c r="AU544" s="50"/>
      <c r="AV544" s="50"/>
      <c r="AW544" s="50"/>
      <c r="AX544" s="50"/>
      <c r="AY544" s="50"/>
      <c r="AZ544" s="50"/>
      <c r="BA544" s="50"/>
      <c r="BB544" s="50"/>
      <c r="BC544" s="50"/>
      <c r="BD544" s="50"/>
      <c r="BE544" s="50"/>
      <c r="BF544" s="50"/>
      <c r="BG544" s="50"/>
      <c r="BH544" s="50"/>
      <c r="BI544" s="50"/>
      <c r="BJ544" s="50"/>
      <c r="BK544" s="50"/>
      <c r="BL544" s="50"/>
      <c r="BM544" s="50"/>
      <c r="BN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/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50"/>
      <c r="AC546" s="50"/>
      <c r="AD546" s="50"/>
      <c r="AE546" s="50"/>
      <c r="AF546" s="50"/>
      <c r="AG546" s="50"/>
      <c r="AH546" s="50"/>
      <c r="AI546" s="50"/>
      <c r="AJ546" s="50"/>
      <c r="AK546" s="50"/>
      <c r="AL546" s="50"/>
      <c r="AM546" s="50"/>
      <c r="AN546" s="50"/>
      <c r="AO546" s="50"/>
      <c r="AP546" s="50"/>
      <c r="AQ546" s="50"/>
      <c r="AR546" s="50"/>
      <c r="AS546" s="50"/>
      <c r="AT546" s="50"/>
      <c r="AU546" s="50"/>
      <c r="AV546" s="50"/>
      <c r="AW546" s="50"/>
      <c r="AX546" s="50"/>
      <c r="AY546" s="50"/>
      <c r="AZ546" s="50"/>
      <c r="BA546" s="50"/>
      <c r="BB546" s="50"/>
      <c r="BC546" s="50"/>
      <c r="BD546" s="50"/>
      <c r="BE546" s="50"/>
      <c r="BF546" s="50"/>
      <c r="BG546" s="50"/>
      <c r="BH546" s="50"/>
      <c r="BI546" s="50"/>
      <c r="BJ546" s="50"/>
      <c r="BK546" s="50"/>
      <c r="BL546" s="50"/>
      <c r="BM546" s="50"/>
      <c r="BN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/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/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50"/>
      <c r="AC548" s="50"/>
      <c r="AD548" s="50"/>
      <c r="AE548" s="50"/>
      <c r="AF548" s="50"/>
      <c r="AG548" s="50"/>
      <c r="AH548" s="50"/>
      <c r="AI548" s="50"/>
      <c r="AJ548" s="50"/>
      <c r="AK548" s="50"/>
      <c r="AL548" s="50"/>
      <c r="AM548" s="50"/>
      <c r="AN548" s="50"/>
      <c r="AO548" s="50"/>
      <c r="AP548" s="50"/>
      <c r="AQ548" s="50"/>
      <c r="AR548" s="50"/>
      <c r="AS548" s="50"/>
      <c r="AT548" s="50"/>
      <c r="AU548" s="50"/>
      <c r="AV548" s="50"/>
      <c r="AW548" s="50"/>
      <c r="AX548" s="50"/>
      <c r="AY548" s="50"/>
      <c r="AZ548" s="50"/>
      <c r="BA548" s="50"/>
      <c r="BB548" s="50"/>
      <c r="BC548" s="50"/>
      <c r="BD548" s="50"/>
      <c r="BE548" s="50"/>
      <c r="BF548" s="50"/>
      <c r="BG548" s="50"/>
      <c r="BH548" s="50"/>
      <c r="BI548" s="50"/>
      <c r="BJ548" s="50"/>
      <c r="BK548" s="50"/>
      <c r="BL548" s="50"/>
      <c r="BM548" s="50"/>
      <c r="BN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/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/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  <c r="AL550" s="50"/>
      <c r="AM550" s="50"/>
      <c r="AN550" s="50"/>
      <c r="AO550" s="50"/>
      <c r="AP550" s="50"/>
      <c r="AQ550" s="50"/>
      <c r="AR550" s="50"/>
      <c r="AS550" s="50"/>
      <c r="AT550" s="50"/>
      <c r="AU550" s="50"/>
      <c r="AV550" s="50"/>
      <c r="AW550" s="50"/>
      <c r="AX550" s="50"/>
      <c r="AY550" s="50"/>
      <c r="AZ550" s="50"/>
      <c r="BA550" s="50"/>
      <c r="BB550" s="50"/>
      <c r="BC550" s="50"/>
      <c r="BD550" s="50"/>
      <c r="BE550" s="50"/>
      <c r="BF550" s="50"/>
      <c r="BG550" s="50"/>
      <c r="BH550" s="50"/>
      <c r="BI550" s="50"/>
      <c r="BJ550" s="50"/>
      <c r="BK550" s="50"/>
      <c r="BL550" s="50"/>
      <c r="BM550" s="50"/>
      <c r="BN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  <c r="AN551" s="50"/>
      <c r="AO551" s="50"/>
      <c r="AP551" s="50"/>
      <c r="AQ551" s="50"/>
      <c r="AR551" s="50"/>
      <c r="AS551" s="50"/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50"/>
      <c r="BE551" s="50"/>
      <c r="BF551" s="50"/>
      <c r="BG551" s="50"/>
      <c r="BH551" s="50"/>
      <c r="BI551" s="50"/>
      <c r="BJ551" s="50"/>
      <c r="BK551" s="50"/>
      <c r="BL551" s="50"/>
      <c r="BM551" s="50"/>
      <c r="BN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  <c r="AL552" s="50"/>
      <c r="AM552" s="50"/>
      <c r="AN552" s="50"/>
      <c r="AO552" s="50"/>
      <c r="AP552" s="50"/>
      <c r="AQ552" s="50"/>
      <c r="AR552" s="50"/>
      <c r="AS552" s="50"/>
      <c r="AT552" s="50"/>
      <c r="AU552" s="50"/>
      <c r="AV552" s="50"/>
      <c r="AW552" s="50"/>
      <c r="AX552" s="50"/>
      <c r="AY552" s="50"/>
      <c r="AZ552" s="50"/>
      <c r="BA552" s="50"/>
      <c r="BB552" s="50"/>
      <c r="BC552" s="50"/>
      <c r="BD552" s="50"/>
      <c r="BE552" s="50"/>
      <c r="BF552" s="50"/>
      <c r="BG552" s="50"/>
      <c r="BH552" s="50"/>
      <c r="BI552" s="50"/>
      <c r="BJ552" s="50"/>
      <c r="BK552" s="50"/>
      <c r="BL552" s="50"/>
      <c r="BM552" s="50"/>
      <c r="BN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50"/>
      <c r="AC553" s="50"/>
      <c r="AD553" s="50"/>
      <c r="AE553" s="50"/>
      <c r="AF553" s="50"/>
      <c r="AG553" s="50"/>
      <c r="AH553" s="50"/>
      <c r="AI553" s="50"/>
      <c r="AJ553" s="50"/>
      <c r="AK553" s="50"/>
      <c r="AL553" s="50"/>
      <c r="AM553" s="50"/>
      <c r="AN553" s="50"/>
      <c r="AO553" s="50"/>
      <c r="AP553" s="50"/>
      <c r="AQ553" s="50"/>
      <c r="AR553" s="50"/>
      <c r="AS553" s="50"/>
      <c r="AT553" s="50"/>
      <c r="AU553" s="50"/>
      <c r="AV553" s="50"/>
      <c r="AW553" s="50"/>
      <c r="AX553" s="50"/>
      <c r="AY553" s="50"/>
      <c r="AZ553" s="50"/>
      <c r="BA553" s="50"/>
      <c r="BB553" s="50"/>
      <c r="BC553" s="50"/>
      <c r="BD553" s="50"/>
      <c r="BE553" s="50"/>
      <c r="BF553" s="50"/>
      <c r="BG553" s="50"/>
      <c r="BH553" s="50"/>
      <c r="BI553" s="50"/>
      <c r="BJ553" s="50"/>
      <c r="BK553" s="50"/>
      <c r="BL553" s="50"/>
      <c r="BM553" s="50"/>
      <c r="BN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50"/>
      <c r="AC554" s="50"/>
      <c r="AD554" s="50"/>
      <c r="AE554" s="50"/>
      <c r="AF554" s="50"/>
      <c r="AG554" s="50"/>
      <c r="AH554" s="50"/>
      <c r="AI554" s="50"/>
      <c r="AJ554" s="50"/>
      <c r="AK554" s="50"/>
      <c r="AL554" s="50"/>
      <c r="AM554" s="50"/>
      <c r="AN554" s="50"/>
      <c r="AO554" s="50"/>
      <c r="AP554" s="50"/>
      <c r="AQ554" s="50"/>
      <c r="AR554" s="50"/>
      <c r="AS554" s="50"/>
      <c r="AT554" s="50"/>
      <c r="AU554" s="50"/>
      <c r="AV554" s="50"/>
      <c r="AW554" s="50"/>
      <c r="AX554" s="50"/>
      <c r="AY554" s="50"/>
      <c r="AZ554" s="50"/>
      <c r="BA554" s="50"/>
      <c r="BB554" s="50"/>
      <c r="BC554" s="50"/>
      <c r="BD554" s="50"/>
      <c r="BE554" s="50"/>
      <c r="BF554" s="50"/>
      <c r="BG554" s="50"/>
      <c r="BH554" s="50"/>
      <c r="BI554" s="50"/>
      <c r="BJ554" s="50"/>
      <c r="BK554" s="50"/>
      <c r="BL554" s="50"/>
      <c r="BM554" s="50"/>
      <c r="BN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50"/>
      <c r="AC555" s="50"/>
      <c r="AD555" s="50"/>
      <c r="AE555" s="50"/>
      <c r="AF555" s="50"/>
      <c r="AG555" s="50"/>
      <c r="AH555" s="50"/>
      <c r="AI555" s="50"/>
      <c r="AJ555" s="50"/>
      <c r="AK555" s="50"/>
      <c r="AL555" s="50"/>
      <c r="AM555" s="50"/>
      <c r="AN555" s="50"/>
      <c r="AO555" s="50"/>
      <c r="AP555" s="50"/>
      <c r="AQ555" s="50"/>
      <c r="AR555" s="50"/>
      <c r="AS555" s="50"/>
      <c r="AT555" s="50"/>
      <c r="AU555" s="50"/>
      <c r="AV555" s="50"/>
      <c r="AW555" s="50"/>
      <c r="AX555" s="50"/>
      <c r="AY555" s="50"/>
      <c r="AZ555" s="50"/>
      <c r="BA555" s="50"/>
      <c r="BB555" s="50"/>
      <c r="BC555" s="50"/>
      <c r="BD555" s="50"/>
      <c r="BE555" s="50"/>
      <c r="BF555" s="50"/>
      <c r="BG555" s="50"/>
      <c r="BH555" s="50"/>
      <c r="BI555" s="50"/>
      <c r="BJ555" s="50"/>
      <c r="BK555" s="50"/>
      <c r="BL555" s="50"/>
      <c r="BM555" s="50"/>
      <c r="BN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/>
      <c r="AL556" s="50"/>
      <c r="AM556" s="50"/>
      <c r="AN556" s="50"/>
      <c r="AO556" s="50"/>
      <c r="AP556" s="50"/>
      <c r="AQ556" s="50"/>
      <c r="AR556" s="50"/>
      <c r="AS556" s="50"/>
      <c r="AT556" s="50"/>
      <c r="AU556" s="50"/>
      <c r="AV556" s="50"/>
      <c r="AW556" s="50"/>
      <c r="AX556" s="50"/>
      <c r="AY556" s="50"/>
      <c r="AZ556" s="50"/>
      <c r="BA556" s="50"/>
      <c r="BB556" s="50"/>
      <c r="BC556" s="50"/>
      <c r="BD556" s="50"/>
      <c r="BE556" s="50"/>
      <c r="BF556" s="50"/>
      <c r="BG556" s="50"/>
      <c r="BH556" s="50"/>
      <c r="BI556" s="50"/>
      <c r="BJ556" s="50"/>
      <c r="BK556" s="50"/>
      <c r="BL556" s="50"/>
      <c r="BM556" s="50"/>
      <c r="BN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50"/>
      <c r="AC557" s="50"/>
      <c r="AD557" s="50"/>
      <c r="AE557" s="50"/>
      <c r="AF557" s="50"/>
      <c r="AG557" s="50"/>
      <c r="AH557" s="50"/>
      <c r="AI557" s="50"/>
      <c r="AJ557" s="50"/>
      <c r="AK557" s="50"/>
      <c r="AL557" s="50"/>
      <c r="AM557" s="50"/>
      <c r="AN557" s="50"/>
      <c r="AO557" s="50"/>
      <c r="AP557" s="50"/>
      <c r="AQ557" s="50"/>
      <c r="AR557" s="50"/>
      <c r="AS557" s="50"/>
      <c r="AT557" s="50"/>
      <c r="AU557" s="50"/>
      <c r="AV557" s="50"/>
      <c r="AW557" s="50"/>
      <c r="AX557" s="50"/>
      <c r="AY557" s="50"/>
      <c r="AZ557" s="50"/>
      <c r="BA557" s="50"/>
      <c r="BB557" s="50"/>
      <c r="BC557" s="50"/>
      <c r="BD557" s="50"/>
      <c r="BE557" s="50"/>
      <c r="BF557" s="50"/>
      <c r="BG557" s="50"/>
      <c r="BH557" s="50"/>
      <c r="BI557" s="50"/>
      <c r="BJ557" s="50"/>
      <c r="BK557" s="50"/>
      <c r="BL557" s="50"/>
      <c r="BM557" s="50"/>
      <c r="BN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50"/>
      <c r="AC558" s="50"/>
      <c r="AD558" s="50"/>
      <c r="AE558" s="50"/>
      <c r="AF558" s="50"/>
      <c r="AG558" s="50"/>
      <c r="AH558" s="50"/>
      <c r="AI558" s="50"/>
      <c r="AJ558" s="50"/>
      <c r="AK558" s="50"/>
      <c r="AL558" s="50"/>
      <c r="AM558" s="50"/>
      <c r="AN558" s="50"/>
      <c r="AO558" s="50"/>
      <c r="AP558" s="50"/>
      <c r="AQ558" s="50"/>
      <c r="AR558" s="50"/>
      <c r="AS558" s="50"/>
      <c r="AT558" s="50"/>
      <c r="AU558" s="50"/>
      <c r="AV558" s="50"/>
      <c r="AW558" s="50"/>
      <c r="AX558" s="50"/>
      <c r="AY558" s="50"/>
      <c r="AZ558" s="50"/>
      <c r="BA558" s="50"/>
      <c r="BB558" s="50"/>
      <c r="BC558" s="50"/>
      <c r="BD558" s="50"/>
      <c r="BE558" s="50"/>
      <c r="BF558" s="50"/>
      <c r="BG558" s="50"/>
      <c r="BH558" s="50"/>
      <c r="BI558" s="50"/>
      <c r="BJ558" s="50"/>
      <c r="BK558" s="50"/>
      <c r="BL558" s="50"/>
      <c r="BM558" s="50"/>
      <c r="BN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50"/>
      <c r="AC559" s="50"/>
      <c r="AD559" s="50"/>
      <c r="AE559" s="50"/>
      <c r="AF559" s="50"/>
      <c r="AG559" s="50"/>
      <c r="AH559" s="50"/>
      <c r="AI559" s="50"/>
      <c r="AJ559" s="50"/>
      <c r="AK559" s="50"/>
      <c r="AL559" s="50"/>
      <c r="AM559" s="50"/>
      <c r="AN559" s="50"/>
      <c r="AO559" s="50"/>
      <c r="AP559" s="50"/>
      <c r="AQ559" s="50"/>
      <c r="AR559" s="50"/>
      <c r="AS559" s="50"/>
      <c r="AT559" s="50"/>
      <c r="AU559" s="50"/>
      <c r="AV559" s="50"/>
      <c r="AW559" s="50"/>
      <c r="AX559" s="50"/>
      <c r="AY559" s="50"/>
      <c r="AZ559" s="50"/>
      <c r="BA559" s="50"/>
      <c r="BB559" s="50"/>
      <c r="BC559" s="50"/>
      <c r="BD559" s="50"/>
      <c r="BE559" s="50"/>
      <c r="BF559" s="50"/>
      <c r="BG559" s="50"/>
      <c r="BH559" s="50"/>
      <c r="BI559" s="50"/>
      <c r="BJ559" s="50"/>
      <c r="BK559" s="50"/>
      <c r="BL559" s="50"/>
      <c r="BM559" s="50"/>
      <c r="BN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50"/>
      <c r="AC560" s="50"/>
      <c r="AD560" s="50"/>
      <c r="AE560" s="50"/>
      <c r="AF560" s="50"/>
      <c r="AG560" s="50"/>
      <c r="AH560" s="50"/>
      <c r="AI560" s="50"/>
      <c r="AJ560" s="50"/>
      <c r="AK560" s="50"/>
      <c r="AL560" s="50"/>
      <c r="AM560" s="50"/>
      <c r="AN560" s="50"/>
      <c r="AO560" s="50"/>
      <c r="AP560" s="50"/>
      <c r="AQ560" s="50"/>
      <c r="AR560" s="50"/>
      <c r="AS560" s="50"/>
      <c r="AT560" s="50"/>
      <c r="AU560" s="50"/>
      <c r="AV560" s="50"/>
      <c r="AW560" s="50"/>
      <c r="AX560" s="50"/>
      <c r="AY560" s="50"/>
      <c r="AZ560" s="50"/>
      <c r="BA560" s="50"/>
      <c r="BB560" s="50"/>
      <c r="BC560" s="50"/>
      <c r="BD560" s="50"/>
      <c r="BE560" s="50"/>
      <c r="BF560" s="50"/>
      <c r="BG560" s="50"/>
      <c r="BH560" s="50"/>
      <c r="BI560" s="50"/>
      <c r="BJ560" s="50"/>
      <c r="BK560" s="50"/>
      <c r="BL560" s="50"/>
      <c r="BM560" s="50"/>
      <c r="BN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50"/>
      <c r="AC561" s="50"/>
      <c r="AD561" s="50"/>
      <c r="AE561" s="50"/>
      <c r="AF561" s="50"/>
      <c r="AG561" s="50"/>
      <c r="AH561" s="50"/>
      <c r="AI561" s="50"/>
      <c r="AJ561" s="50"/>
      <c r="AK561" s="50"/>
      <c r="AL561" s="50"/>
      <c r="AM561" s="50"/>
      <c r="AN561" s="50"/>
      <c r="AO561" s="50"/>
      <c r="AP561" s="50"/>
      <c r="AQ561" s="50"/>
      <c r="AR561" s="50"/>
      <c r="AS561" s="50"/>
      <c r="AT561" s="50"/>
      <c r="AU561" s="50"/>
      <c r="AV561" s="50"/>
      <c r="AW561" s="50"/>
      <c r="AX561" s="50"/>
      <c r="AY561" s="50"/>
      <c r="AZ561" s="50"/>
      <c r="BA561" s="50"/>
      <c r="BB561" s="50"/>
      <c r="BC561" s="50"/>
      <c r="BD561" s="50"/>
      <c r="BE561" s="50"/>
      <c r="BF561" s="50"/>
      <c r="BG561" s="50"/>
      <c r="BH561" s="50"/>
      <c r="BI561" s="50"/>
      <c r="BJ561" s="50"/>
      <c r="BK561" s="50"/>
      <c r="BL561" s="50"/>
      <c r="BM561" s="50"/>
      <c r="BN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50"/>
      <c r="AC562" s="50"/>
      <c r="AD562" s="50"/>
      <c r="AE562" s="50"/>
      <c r="AF562" s="50"/>
      <c r="AG562" s="50"/>
      <c r="AH562" s="50"/>
      <c r="AI562" s="50"/>
      <c r="AJ562" s="50"/>
      <c r="AK562" s="50"/>
      <c r="AL562" s="50"/>
      <c r="AM562" s="50"/>
      <c r="AN562" s="50"/>
      <c r="AO562" s="50"/>
      <c r="AP562" s="50"/>
      <c r="AQ562" s="50"/>
      <c r="AR562" s="50"/>
      <c r="AS562" s="50"/>
      <c r="AT562" s="50"/>
      <c r="AU562" s="50"/>
      <c r="AV562" s="50"/>
      <c r="AW562" s="50"/>
      <c r="AX562" s="50"/>
      <c r="AY562" s="50"/>
      <c r="AZ562" s="50"/>
      <c r="BA562" s="50"/>
      <c r="BB562" s="50"/>
      <c r="BC562" s="50"/>
      <c r="BD562" s="50"/>
      <c r="BE562" s="50"/>
      <c r="BF562" s="50"/>
      <c r="BG562" s="50"/>
      <c r="BH562" s="50"/>
      <c r="BI562" s="50"/>
      <c r="BJ562" s="50"/>
      <c r="BK562" s="50"/>
      <c r="BL562" s="50"/>
      <c r="BM562" s="50"/>
      <c r="BN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50"/>
      <c r="AC563" s="50"/>
      <c r="AD563" s="50"/>
      <c r="AE563" s="50"/>
      <c r="AF563" s="50"/>
      <c r="AG563" s="50"/>
      <c r="AH563" s="50"/>
      <c r="AI563" s="50"/>
      <c r="AJ563" s="50"/>
      <c r="AK563" s="50"/>
      <c r="AL563" s="50"/>
      <c r="AM563" s="50"/>
      <c r="AN563" s="50"/>
      <c r="AO563" s="50"/>
      <c r="AP563" s="50"/>
      <c r="AQ563" s="50"/>
      <c r="AR563" s="50"/>
      <c r="AS563" s="50"/>
      <c r="AT563" s="50"/>
      <c r="AU563" s="50"/>
      <c r="AV563" s="50"/>
      <c r="AW563" s="50"/>
      <c r="AX563" s="50"/>
      <c r="AY563" s="50"/>
      <c r="AZ563" s="50"/>
      <c r="BA563" s="50"/>
      <c r="BB563" s="50"/>
      <c r="BC563" s="50"/>
      <c r="BD563" s="50"/>
      <c r="BE563" s="50"/>
      <c r="BF563" s="50"/>
      <c r="BG563" s="50"/>
      <c r="BH563" s="50"/>
      <c r="BI563" s="50"/>
      <c r="BJ563" s="50"/>
      <c r="BK563" s="50"/>
      <c r="BL563" s="50"/>
      <c r="BM563" s="50"/>
      <c r="BN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  <c r="AL564" s="50"/>
      <c r="AM564" s="50"/>
      <c r="AN564" s="50"/>
      <c r="AO564" s="50"/>
      <c r="AP564" s="50"/>
      <c r="AQ564" s="50"/>
      <c r="AR564" s="50"/>
      <c r="AS564" s="50"/>
      <c r="AT564" s="50"/>
      <c r="AU564" s="50"/>
      <c r="AV564" s="50"/>
      <c r="AW564" s="50"/>
      <c r="AX564" s="50"/>
      <c r="AY564" s="50"/>
      <c r="AZ564" s="50"/>
      <c r="BA564" s="50"/>
      <c r="BB564" s="50"/>
      <c r="BC564" s="50"/>
      <c r="BD564" s="50"/>
      <c r="BE564" s="50"/>
      <c r="BF564" s="50"/>
      <c r="BG564" s="50"/>
      <c r="BH564" s="50"/>
      <c r="BI564" s="50"/>
      <c r="BJ564" s="50"/>
      <c r="BK564" s="50"/>
      <c r="BL564" s="50"/>
      <c r="BM564" s="50"/>
      <c r="BN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50"/>
      <c r="AC565" s="50"/>
      <c r="AD565" s="50"/>
      <c r="AE565" s="50"/>
      <c r="AF565" s="50"/>
      <c r="AG565" s="50"/>
      <c r="AH565" s="50"/>
      <c r="AI565" s="50"/>
      <c r="AJ565" s="50"/>
      <c r="AK565" s="50"/>
      <c r="AL565" s="50"/>
      <c r="AM565" s="50"/>
      <c r="AN565" s="50"/>
      <c r="AO565" s="50"/>
      <c r="AP565" s="50"/>
      <c r="AQ565" s="50"/>
      <c r="AR565" s="50"/>
      <c r="AS565" s="50"/>
      <c r="AT565" s="50"/>
      <c r="AU565" s="50"/>
      <c r="AV565" s="50"/>
      <c r="AW565" s="50"/>
      <c r="AX565" s="50"/>
      <c r="AY565" s="50"/>
      <c r="AZ565" s="50"/>
      <c r="BA565" s="50"/>
      <c r="BB565" s="50"/>
      <c r="BC565" s="50"/>
      <c r="BD565" s="50"/>
      <c r="BE565" s="50"/>
      <c r="BF565" s="50"/>
      <c r="BG565" s="50"/>
      <c r="BH565" s="50"/>
      <c r="BI565" s="50"/>
      <c r="BJ565" s="50"/>
      <c r="BK565" s="50"/>
      <c r="BL565" s="50"/>
      <c r="BM565" s="50"/>
      <c r="BN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50"/>
      <c r="AC566" s="50"/>
      <c r="AD566" s="50"/>
      <c r="AE566" s="50"/>
      <c r="AF566" s="50"/>
      <c r="AG566" s="50"/>
      <c r="AH566" s="50"/>
      <c r="AI566" s="50"/>
      <c r="AJ566" s="50"/>
      <c r="AK566" s="50"/>
      <c r="AL566" s="50"/>
      <c r="AM566" s="50"/>
      <c r="AN566" s="50"/>
      <c r="AO566" s="50"/>
      <c r="AP566" s="50"/>
      <c r="AQ566" s="50"/>
      <c r="AR566" s="50"/>
      <c r="AS566" s="50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/>
      <c r="BE566" s="50"/>
      <c r="BF566" s="50"/>
      <c r="BG566" s="50"/>
      <c r="BH566" s="50"/>
      <c r="BI566" s="50"/>
      <c r="BJ566" s="50"/>
      <c r="BK566" s="50"/>
      <c r="BL566" s="50"/>
      <c r="BM566" s="50"/>
      <c r="BN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50"/>
      <c r="AC567" s="50"/>
      <c r="AD567" s="50"/>
      <c r="AE567" s="50"/>
      <c r="AF567" s="50"/>
      <c r="AG567" s="50"/>
      <c r="AH567" s="50"/>
      <c r="AI567" s="50"/>
      <c r="AJ567" s="50"/>
      <c r="AK567" s="50"/>
      <c r="AL567" s="50"/>
      <c r="AM567" s="50"/>
      <c r="AN567" s="50"/>
      <c r="AO567" s="50"/>
      <c r="AP567" s="50"/>
      <c r="AQ567" s="50"/>
      <c r="AR567" s="50"/>
      <c r="AS567" s="50"/>
      <c r="AT567" s="50"/>
      <c r="AU567" s="50"/>
      <c r="AV567" s="50"/>
      <c r="AW567" s="50"/>
      <c r="AX567" s="50"/>
      <c r="AY567" s="50"/>
      <c r="AZ567" s="50"/>
      <c r="BA567" s="50"/>
      <c r="BB567" s="50"/>
      <c r="BC567" s="50"/>
      <c r="BD567" s="50"/>
      <c r="BE567" s="50"/>
      <c r="BF567" s="50"/>
      <c r="BG567" s="50"/>
      <c r="BH567" s="50"/>
      <c r="BI567" s="50"/>
      <c r="BJ567" s="50"/>
      <c r="BK567" s="50"/>
      <c r="BL567" s="50"/>
      <c r="BM567" s="50"/>
      <c r="BN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  <c r="AL568" s="50"/>
      <c r="AM568" s="50"/>
      <c r="AN568" s="50"/>
      <c r="AO568" s="50"/>
      <c r="AP568" s="50"/>
      <c r="AQ568" s="50"/>
      <c r="AR568" s="50"/>
      <c r="AS568" s="50"/>
      <c r="AT568" s="50"/>
      <c r="AU568" s="50"/>
      <c r="AV568" s="50"/>
      <c r="AW568" s="50"/>
      <c r="AX568" s="50"/>
      <c r="AY568" s="50"/>
      <c r="AZ568" s="50"/>
      <c r="BA568" s="50"/>
      <c r="BB568" s="50"/>
      <c r="BC568" s="50"/>
      <c r="BD568" s="50"/>
      <c r="BE568" s="50"/>
      <c r="BF568" s="50"/>
      <c r="BG568" s="50"/>
      <c r="BH568" s="50"/>
      <c r="BI568" s="50"/>
      <c r="BJ568" s="50"/>
      <c r="BK568" s="50"/>
      <c r="BL568" s="50"/>
      <c r="BM568" s="50"/>
      <c r="BN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0"/>
      <c r="AN569" s="50"/>
      <c r="AO569" s="50"/>
      <c r="AP569" s="50"/>
      <c r="AQ569" s="50"/>
      <c r="AR569" s="50"/>
      <c r="AS569" s="50"/>
      <c r="AT569" s="50"/>
      <c r="AU569" s="50"/>
      <c r="AV569" s="50"/>
      <c r="AW569" s="50"/>
      <c r="AX569" s="50"/>
      <c r="AY569" s="50"/>
      <c r="AZ569" s="50"/>
      <c r="BA569" s="50"/>
      <c r="BB569" s="50"/>
      <c r="BC569" s="50"/>
      <c r="BD569" s="50"/>
      <c r="BE569" s="50"/>
      <c r="BF569" s="50"/>
      <c r="BG569" s="50"/>
      <c r="BH569" s="50"/>
      <c r="BI569" s="50"/>
      <c r="BJ569" s="50"/>
      <c r="BK569" s="50"/>
      <c r="BL569" s="50"/>
      <c r="BM569" s="50"/>
      <c r="BN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  <c r="AM570" s="50"/>
      <c r="AN570" s="50"/>
      <c r="AO570" s="50"/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0"/>
      <c r="BE570" s="50"/>
      <c r="BF570" s="50"/>
      <c r="BG570" s="50"/>
      <c r="BH570" s="50"/>
      <c r="BI570" s="50"/>
      <c r="BJ570" s="50"/>
      <c r="BK570" s="50"/>
      <c r="BL570" s="50"/>
      <c r="BM570" s="50"/>
      <c r="BN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50"/>
      <c r="AC571" s="50"/>
      <c r="AD571" s="50"/>
      <c r="AE571" s="50"/>
      <c r="AF571" s="50"/>
      <c r="AG571" s="50"/>
      <c r="AH571" s="50"/>
      <c r="AI571" s="50"/>
      <c r="AJ571" s="50"/>
      <c r="AK571" s="50"/>
      <c r="AL571" s="50"/>
      <c r="AM571" s="50"/>
      <c r="AN571" s="50"/>
      <c r="AO571" s="50"/>
      <c r="AP571" s="50"/>
      <c r="AQ571" s="50"/>
      <c r="AR571" s="50"/>
      <c r="AS571" s="50"/>
      <c r="AT571" s="50"/>
      <c r="AU571" s="50"/>
      <c r="AV571" s="50"/>
      <c r="AW571" s="50"/>
      <c r="AX571" s="50"/>
      <c r="AY571" s="50"/>
      <c r="AZ571" s="50"/>
      <c r="BA571" s="50"/>
      <c r="BB571" s="50"/>
      <c r="BC571" s="50"/>
      <c r="BD571" s="50"/>
      <c r="BE571" s="50"/>
      <c r="BF571" s="50"/>
      <c r="BG571" s="50"/>
      <c r="BH571" s="50"/>
      <c r="BI571" s="50"/>
      <c r="BJ571" s="50"/>
      <c r="BK571" s="50"/>
      <c r="BL571" s="50"/>
      <c r="BM571" s="50"/>
      <c r="BN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50"/>
      <c r="AC572" s="50"/>
      <c r="AD572" s="50"/>
      <c r="AE572" s="50"/>
      <c r="AF572" s="50"/>
      <c r="AG572" s="50"/>
      <c r="AH572" s="50"/>
      <c r="AI572" s="50"/>
      <c r="AJ572" s="50"/>
      <c r="AK572" s="50"/>
      <c r="AL572" s="50"/>
      <c r="AM572" s="50"/>
      <c r="AN572" s="50"/>
      <c r="AO572" s="50"/>
      <c r="AP572" s="50"/>
      <c r="AQ572" s="50"/>
      <c r="AR572" s="50"/>
      <c r="AS572" s="50"/>
      <c r="AT572" s="50"/>
      <c r="AU572" s="50"/>
      <c r="AV572" s="50"/>
      <c r="AW572" s="50"/>
      <c r="AX572" s="50"/>
      <c r="AY572" s="50"/>
      <c r="AZ572" s="50"/>
      <c r="BA572" s="50"/>
      <c r="BB572" s="50"/>
      <c r="BC572" s="50"/>
      <c r="BD572" s="50"/>
      <c r="BE572" s="50"/>
      <c r="BF572" s="50"/>
      <c r="BG572" s="50"/>
      <c r="BH572" s="50"/>
      <c r="BI572" s="50"/>
      <c r="BJ572" s="50"/>
      <c r="BK572" s="50"/>
      <c r="BL572" s="50"/>
      <c r="BM572" s="50"/>
      <c r="BN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50"/>
      <c r="AC573" s="50"/>
      <c r="AD573" s="50"/>
      <c r="AE573" s="50"/>
      <c r="AF573" s="50"/>
      <c r="AG573" s="50"/>
      <c r="AH573" s="50"/>
      <c r="AI573" s="50"/>
      <c r="AJ573" s="50"/>
      <c r="AK573" s="50"/>
      <c r="AL573" s="50"/>
      <c r="AM573" s="50"/>
      <c r="AN573" s="50"/>
      <c r="AO573" s="50"/>
      <c r="AP573" s="50"/>
      <c r="AQ573" s="50"/>
      <c r="AR573" s="50"/>
      <c r="AS573" s="50"/>
      <c r="AT573" s="50"/>
      <c r="AU573" s="50"/>
      <c r="AV573" s="50"/>
      <c r="AW573" s="50"/>
      <c r="AX573" s="50"/>
      <c r="AY573" s="50"/>
      <c r="AZ573" s="50"/>
      <c r="BA573" s="50"/>
      <c r="BB573" s="50"/>
      <c r="BC573" s="50"/>
      <c r="BD573" s="50"/>
      <c r="BE573" s="50"/>
      <c r="BF573" s="50"/>
      <c r="BG573" s="50"/>
      <c r="BH573" s="50"/>
      <c r="BI573" s="50"/>
      <c r="BJ573" s="50"/>
      <c r="BK573" s="50"/>
      <c r="BL573" s="50"/>
      <c r="BM573" s="50"/>
      <c r="BN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50"/>
      <c r="AC574" s="50"/>
      <c r="AD574" s="50"/>
      <c r="AE574" s="50"/>
      <c r="AF574" s="50"/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  <c r="AQ574" s="50"/>
      <c r="AR574" s="50"/>
      <c r="AS574" s="50"/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0"/>
      <c r="BE574" s="50"/>
      <c r="BF574" s="50"/>
      <c r="BG574" s="50"/>
      <c r="BH574" s="50"/>
      <c r="BI574" s="50"/>
      <c r="BJ574" s="50"/>
      <c r="BK574" s="50"/>
      <c r="BL574" s="50"/>
      <c r="BM574" s="50"/>
      <c r="BN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50"/>
      <c r="AC575" s="50"/>
      <c r="AD575" s="50"/>
      <c r="AE575" s="50"/>
      <c r="AF575" s="50"/>
      <c r="AG575" s="50"/>
      <c r="AH575" s="50"/>
      <c r="AI575" s="50"/>
      <c r="AJ575" s="50"/>
      <c r="AK575" s="50"/>
      <c r="AL575" s="50"/>
      <c r="AM575" s="50"/>
      <c r="AN575" s="50"/>
      <c r="AO575" s="50"/>
      <c r="AP575" s="50"/>
      <c r="AQ575" s="50"/>
      <c r="AR575" s="50"/>
      <c r="AS575" s="50"/>
      <c r="AT575" s="50"/>
      <c r="AU575" s="50"/>
      <c r="AV575" s="50"/>
      <c r="AW575" s="50"/>
      <c r="AX575" s="50"/>
      <c r="AY575" s="50"/>
      <c r="AZ575" s="50"/>
      <c r="BA575" s="50"/>
      <c r="BB575" s="50"/>
      <c r="BC575" s="50"/>
      <c r="BD575" s="50"/>
      <c r="BE575" s="50"/>
      <c r="BF575" s="50"/>
      <c r="BG575" s="50"/>
      <c r="BH575" s="50"/>
      <c r="BI575" s="50"/>
      <c r="BJ575" s="50"/>
      <c r="BK575" s="50"/>
      <c r="BL575" s="50"/>
      <c r="BM575" s="50"/>
      <c r="BN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50"/>
      <c r="AC576" s="50"/>
      <c r="AD576" s="50"/>
      <c r="AE576" s="50"/>
      <c r="AF576" s="50"/>
      <c r="AG576" s="50"/>
      <c r="AH576" s="50"/>
      <c r="AI576" s="50"/>
      <c r="AJ576" s="50"/>
      <c r="AK576" s="50"/>
      <c r="AL576" s="50"/>
      <c r="AM576" s="50"/>
      <c r="AN576" s="50"/>
      <c r="AO576" s="50"/>
      <c r="AP576" s="50"/>
      <c r="AQ576" s="50"/>
      <c r="AR576" s="50"/>
      <c r="AS576" s="50"/>
      <c r="AT576" s="50"/>
      <c r="AU576" s="50"/>
      <c r="AV576" s="50"/>
      <c r="AW576" s="50"/>
      <c r="AX576" s="50"/>
      <c r="AY576" s="50"/>
      <c r="AZ576" s="50"/>
      <c r="BA576" s="50"/>
      <c r="BB576" s="50"/>
      <c r="BC576" s="50"/>
      <c r="BD576" s="50"/>
      <c r="BE576" s="50"/>
      <c r="BF576" s="50"/>
      <c r="BG576" s="50"/>
      <c r="BH576" s="50"/>
      <c r="BI576" s="50"/>
      <c r="BJ576" s="50"/>
      <c r="BK576" s="50"/>
      <c r="BL576" s="50"/>
      <c r="BM576" s="50"/>
      <c r="BN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  <c r="AL577" s="50"/>
      <c r="AM577" s="50"/>
      <c r="AN577" s="50"/>
      <c r="AO577" s="50"/>
      <c r="AP577" s="50"/>
      <c r="AQ577" s="50"/>
      <c r="AR577" s="50"/>
      <c r="AS577" s="50"/>
      <c r="AT577" s="50"/>
      <c r="AU577" s="50"/>
      <c r="AV577" s="50"/>
      <c r="AW577" s="50"/>
      <c r="AX577" s="50"/>
      <c r="AY577" s="50"/>
      <c r="AZ577" s="50"/>
      <c r="BA577" s="50"/>
      <c r="BB577" s="50"/>
      <c r="BC577" s="50"/>
      <c r="BD577" s="50"/>
      <c r="BE577" s="50"/>
      <c r="BF577" s="50"/>
      <c r="BG577" s="50"/>
      <c r="BH577" s="50"/>
      <c r="BI577" s="50"/>
      <c r="BJ577" s="50"/>
      <c r="BK577" s="50"/>
      <c r="BL577" s="50"/>
      <c r="BM577" s="50"/>
      <c r="BN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0"/>
      <c r="AN578" s="50"/>
      <c r="AO578" s="50"/>
      <c r="AP578" s="50"/>
      <c r="AQ578" s="50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/>
      <c r="BE578" s="50"/>
      <c r="BF578" s="50"/>
      <c r="BG578" s="50"/>
      <c r="BH578" s="50"/>
      <c r="BI578" s="50"/>
      <c r="BJ578" s="50"/>
      <c r="BK578" s="50"/>
      <c r="BL578" s="50"/>
      <c r="BM578" s="50"/>
      <c r="BN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50"/>
      <c r="AC579" s="50"/>
      <c r="AD579" s="50"/>
      <c r="AE579" s="50"/>
      <c r="AF579" s="50"/>
      <c r="AG579" s="50"/>
      <c r="AH579" s="50"/>
      <c r="AI579" s="50"/>
      <c r="AJ579" s="50"/>
      <c r="AK579" s="50"/>
      <c r="AL579" s="50"/>
      <c r="AM579" s="50"/>
      <c r="AN579" s="50"/>
      <c r="AO579" s="50"/>
      <c r="AP579" s="50"/>
      <c r="AQ579" s="50"/>
      <c r="AR579" s="50"/>
      <c r="AS579" s="50"/>
      <c r="AT579" s="50"/>
      <c r="AU579" s="50"/>
      <c r="AV579" s="50"/>
      <c r="AW579" s="50"/>
      <c r="AX579" s="50"/>
      <c r="AY579" s="50"/>
      <c r="AZ579" s="50"/>
      <c r="BA579" s="50"/>
      <c r="BB579" s="50"/>
      <c r="BC579" s="50"/>
      <c r="BD579" s="50"/>
      <c r="BE579" s="50"/>
      <c r="BF579" s="50"/>
      <c r="BG579" s="50"/>
      <c r="BH579" s="50"/>
      <c r="BI579" s="50"/>
      <c r="BJ579" s="50"/>
      <c r="BK579" s="50"/>
      <c r="BL579" s="50"/>
      <c r="BM579" s="50"/>
      <c r="BN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50"/>
      <c r="AC580" s="50"/>
      <c r="AD580" s="50"/>
      <c r="AE580" s="50"/>
      <c r="AF580" s="50"/>
      <c r="AG580" s="50"/>
      <c r="AH580" s="50"/>
      <c r="AI580" s="50"/>
      <c r="AJ580" s="50"/>
      <c r="AK580" s="50"/>
      <c r="AL580" s="50"/>
      <c r="AM580" s="50"/>
      <c r="AN580" s="50"/>
      <c r="AO580" s="50"/>
      <c r="AP580" s="50"/>
      <c r="AQ580" s="50"/>
      <c r="AR580" s="50"/>
      <c r="AS580" s="50"/>
      <c r="AT580" s="50"/>
      <c r="AU580" s="50"/>
      <c r="AV580" s="50"/>
      <c r="AW580" s="50"/>
      <c r="AX580" s="50"/>
      <c r="AY580" s="50"/>
      <c r="AZ580" s="50"/>
      <c r="BA580" s="50"/>
      <c r="BB580" s="50"/>
      <c r="BC580" s="50"/>
      <c r="BD580" s="50"/>
      <c r="BE580" s="50"/>
      <c r="BF580" s="50"/>
      <c r="BG580" s="50"/>
      <c r="BH580" s="50"/>
      <c r="BI580" s="50"/>
      <c r="BJ580" s="50"/>
      <c r="BK580" s="50"/>
      <c r="BL580" s="50"/>
      <c r="BM580" s="50"/>
      <c r="BN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50"/>
      <c r="AC581" s="50"/>
      <c r="AD581" s="50"/>
      <c r="AE581" s="50"/>
      <c r="AF581" s="50"/>
      <c r="AG581" s="50"/>
      <c r="AH581" s="50"/>
      <c r="AI581" s="50"/>
      <c r="AJ581" s="50"/>
      <c r="AK581" s="50"/>
      <c r="AL581" s="50"/>
      <c r="AM581" s="50"/>
      <c r="AN581" s="50"/>
      <c r="AO581" s="50"/>
      <c r="AP581" s="50"/>
      <c r="AQ581" s="50"/>
      <c r="AR581" s="50"/>
      <c r="AS581" s="50"/>
      <c r="AT581" s="50"/>
      <c r="AU581" s="50"/>
      <c r="AV581" s="50"/>
      <c r="AW581" s="50"/>
      <c r="AX581" s="50"/>
      <c r="AY581" s="50"/>
      <c r="AZ581" s="50"/>
      <c r="BA581" s="50"/>
      <c r="BB581" s="50"/>
      <c r="BC581" s="50"/>
      <c r="BD581" s="50"/>
      <c r="BE581" s="50"/>
      <c r="BF581" s="50"/>
      <c r="BG581" s="50"/>
      <c r="BH581" s="50"/>
      <c r="BI581" s="50"/>
      <c r="BJ581" s="50"/>
      <c r="BK581" s="50"/>
      <c r="BL581" s="50"/>
      <c r="BM581" s="50"/>
      <c r="BN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50"/>
      <c r="AC582" s="50"/>
      <c r="AD582" s="50"/>
      <c r="AE582" s="50"/>
      <c r="AF582" s="50"/>
      <c r="AG582" s="50"/>
      <c r="AH582" s="50"/>
      <c r="AI582" s="50"/>
      <c r="AJ582" s="50"/>
      <c r="AK582" s="50"/>
      <c r="AL582" s="50"/>
      <c r="AM582" s="50"/>
      <c r="AN582" s="50"/>
      <c r="AO582" s="50"/>
      <c r="AP582" s="50"/>
      <c r="AQ582" s="50"/>
      <c r="AR582" s="50"/>
      <c r="AS582" s="50"/>
      <c r="AT582" s="50"/>
      <c r="AU582" s="50"/>
      <c r="AV582" s="50"/>
      <c r="AW582" s="50"/>
      <c r="AX582" s="50"/>
      <c r="AY582" s="50"/>
      <c r="AZ582" s="50"/>
      <c r="BA582" s="50"/>
      <c r="BB582" s="50"/>
      <c r="BC582" s="50"/>
      <c r="BD582" s="50"/>
      <c r="BE582" s="50"/>
      <c r="BF582" s="50"/>
      <c r="BG582" s="50"/>
      <c r="BH582" s="50"/>
      <c r="BI582" s="50"/>
      <c r="BJ582" s="50"/>
      <c r="BK582" s="50"/>
      <c r="BL582" s="50"/>
      <c r="BM582" s="50"/>
      <c r="BN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50"/>
      <c r="AC583" s="50"/>
      <c r="AD583" s="50"/>
      <c r="AE583" s="50"/>
      <c r="AF583" s="50"/>
      <c r="AG583" s="50"/>
      <c r="AH583" s="50"/>
      <c r="AI583" s="50"/>
      <c r="AJ583" s="50"/>
      <c r="AK583" s="50"/>
      <c r="AL583" s="50"/>
      <c r="AM583" s="50"/>
      <c r="AN583" s="50"/>
      <c r="AO583" s="50"/>
      <c r="AP583" s="50"/>
      <c r="AQ583" s="50"/>
      <c r="AR583" s="50"/>
      <c r="AS583" s="50"/>
      <c r="AT583" s="50"/>
      <c r="AU583" s="50"/>
      <c r="AV583" s="50"/>
      <c r="AW583" s="50"/>
      <c r="AX583" s="50"/>
      <c r="AY583" s="50"/>
      <c r="AZ583" s="50"/>
      <c r="BA583" s="50"/>
      <c r="BB583" s="50"/>
      <c r="BC583" s="50"/>
      <c r="BD583" s="50"/>
      <c r="BE583" s="50"/>
      <c r="BF583" s="50"/>
      <c r="BG583" s="50"/>
      <c r="BH583" s="50"/>
      <c r="BI583" s="50"/>
      <c r="BJ583" s="50"/>
      <c r="BK583" s="50"/>
      <c r="BL583" s="50"/>
      <c r="BM583" s="50"/>
      <c r="BN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50"/>
      <c r="AC584" s="50"/>
      <c r="AD584" s="50"/>
      <c r="AE584" s="50"/>
      <c r="AF584" s="50"/>
      <c r="AG584" s="50"/>
      <c r="AH584" s="50"/>
      <c r="AI584" s="50"/>
      <c r="AJ584" s="50"/>
      <c r="AK584" s="50"/>
      <c r="AL584" s="50"/>
      <c r="AM584" s="50"/>
      <c r="AN584" s="50"/>
      <c r="AO584" s="50"/>
      <c r="AP584" s="50"/>
      <c r="AQ584" s="50"/>
      <c r="AR584" s="50"/>
      <c r="AS584" s="50"/>
      <c r="AT584" s="50"/>
      <c r="AU584" s="50"/>
      <c r="AV584" s="50"/>
      <c r="AW584" s="50"/>
      <c r="AX584" s="50"/>
      <c r="AY584" s="50"/>
      <c r="AZ584" s="50"/>
      <c r="BA584" s="50"/>
      <c r="BB584" s="50"/>
      <c r="BC584" s="50"/>
      <c r="BD584" s="50"/>
      <c r="BE584" s="50"/>
      <c r="BF584" s="50"/>
      <c r="BG584" s="50"/>
      <c r="BH584" s="50"/>
      <c r="BI584" s="50"/>
      <c r="BJ584" s="50"/>
      <c r="BK584" s="50"/>
      <c r="BL584" s="50"/>
      <c r="BM584" s="50"/>
      <c r="BN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/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/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  <c r="AL586" s="50"/>
      <c r="AM586" s="50"/>
      <c r="AN586" s="50"/>
      <c r="AO586" s="50"/>
      <c r="AP586" s="50"/>
      <c r="AQ586" s="50"/>
      <c r="AR586" s="50"/>
      <c r="AS586" s="50"/>
      <c r="AT586" s="50"/>
      <c r="AU586" s="50"/>
      <c r="AV586" s="50"/>
      <c r="AW586" s="50"/>
      <c r="AX586" s="50"/>
      <c r="AY586" s="50"/>
      <c r="AZ586" s="50"/>
      <c r="BA586" s="50"/>
      <c r="BB586" s="50"/>
      <c r="BC586" s="50"/>
      <c r="BD586" s="50"/>
      <c r="BE586" s="50"/>
      <c r="BF586" s="50"/>
      <c r="BG586" s="50"/>
      <c r="BH586" s="50"/>
      <c r="BI586" s="50"/>
      <c r="BJ586" s="50"/>
      <c r="BK586" s="50"/>
      <c r="BL586" s="50"/>
      <c r="BM586" s="50"/>
      <c r="BN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/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50"/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0"/>
      <c r="BE588" s="50"/>
      <c r="BF588" s="50"/>
      <c r="BG588" s="50"/>
      <c r="BH588" s="50"/>
      <c r="BI588" s="50"/>
      <c r="BJ588" s="50"/>
      <c r="BK588" s="50"/>
      <c r="BL588" s="50"/>
      <c r="BM588" s="50"/>
      <c r="BN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/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/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/>
      <c r="AM590" s="50"/>
      <c r="AN590" s="50"/>
      <c r="AO590" s="50"/>
      <c r="AP590" s="50"/>
      <c r="AQ590" s="50"/>
      <c r="AR590" s="50"/>
      <c r="AS590" s="50"/>
      <c r="AT590" s="50"/>
      <c r="AU590" s="50"/>
      <c r="AV590" s="50"/>
      <c r="AW590" s="50"/>
      <c r="AX590" s="50"/>
      <c r="AY590" s="50"/>
      <c r="AZ590" s="50"/>
      <c r="BA590" s="50"/>
      <c r="BB590" s="50"/>
      <c r="BC590" s="50"/>
      <c r="BD590" s="50"/>
      <c r="BE590" s="50"/>
      <c r="BF590" s="50"/>
      <c r="BG590" s="50"/>
      <c r="BH590" s="50"/>
      <c r="BI590" s="50"/>
      <c r="BJ590" s="50"/>
      <c r="BK590" s="50"/>
      <c r="BL590" s="50"/>
      <c r="BM590" s="50"/>
      <c r="BN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50"/>
      <c r="AC591" s="50"/>
      <c r="AD591" s="50"/>
      <c r="AE591" s="50"/>
      <c r="AF591" s="50"/>
      <c r="AG591" s="50"/>
      <c r="AH591" s="50"/>
      <c r="AI591" s="50"/>
      <c r="AJ591" s="50"/>
      <c r="AK591" s="50"/>
      <c r="AL591" s="50"/>
      <c r="AM591" s="50"/>
      <c r="AN591" s="50"/>
      <c r="AO591" s="50"/>
      <c r="AP591" s="50"/>
      <c r="AQ591" s="50"/>
      <c r="AR591" s="50"/>
      <c r="AS591" s="50"/>
      <c r="AT591" s="50"/>
      <c r="AU591" s="50"/>
      <c r="AV591" s="50"/>
      <c r="AW591" s="50"/>
      <c r="AX591" s="50"/>
      <c r="AY591" s="50"/>
      <c r="AZ591" s="50"/>
      <c r="BA591" s="50"/>
      <c r="BB591" s="50"/>
      <c r="BC591" s="50"/>
      <c r="BD591" s="50"/>
      <c r="BE591" s="50"/>
      <c r="BF591" s="50"/>
      <c r="BG591" s="50"/>
      <c r="BH591" s="50"/>
      <c r="BI591" s="50"/>
      <c r="BJ591" s="50"/>
      <c r="BK591" s="50"/>
      <c r="BL591" s="50"/>
      <c r="BM591" s="50"/>
      <c r="BN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50"/>
      <c r="AC592" s="50"/>
      <c r="AD592" s="50"/>
      <c r="AE592" s="50"/>
      <c r="AF592" s="50"/>
      <c r="AG592" s="50"/>
      <c r="AH592" s="50"/>
      <c r="AI592" s="50"/>
      <c r="AJ592" s="50"/>
      <c r="AK592" s="50"/>
      <c r="AL592" s="50"/>
      <c r="AM592" s="50"/>
      <c r="AN592" s="50"/>
      <c r="AO592" s="50"/>
      <c r="AP592" s="50"/>
      <c r="AQ592" s="50"/>
      <c r="AR592" s="50"/>
      <c r="AS592" s="50"/>
      <c r="AT592" s="50"/>
      <c r="AU592" s="50"/>
      <c r="AV592" s="50"/>
      <c r="AW592" s="50"/>
      <c r="AX592" s="50"/>
      <c r="AY592" s="50"/>
      <c r="AZ592" s="50"/>
      <c r="BA592" s="50"/>
      <c r="BB592" s="50"/>
      <c r="BC592" s="50"/>
      <c r="BD592" s="50"/>
      <c r="BE592" s="50"/>
      <c r="BF592" s="50"/>
      <c r="BG592" s="50"/>
      <c r="BH592" s="50"/>
      <c r="BI592" s="50"/>
      <c r="BJ592" s="50"/>
      <c r="BK592" s="50"/>
      <c r="BL592" s="50"/>
      <c r="BM592" s="50"/>
      <c r="BN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50"/>
      <c r="AC593" s="50"/>
      <c r="AD593" s="50"/>
      <c r="AE593" s="50"/>
      <c r="AF593" s="50"/>
      <c r="AG593" s="50"/>
      <c r="AH593" s="50"/>
      <c r="AI593" s="50"/>
      <c r="AJ593" s="50"/>
      <c r="AK593" s="50"/>
      <c r="AL593" s="50"/>
      <c r="AM593" s="50"/>
      <c r="AN593" s="50"/>
      <c r="AO593" s="50"/>
      <c r="AP593" s="50"/>
      <c r="AQ593" s="50"/>
      <c r="AR593" s="50"/>
      <c r="AS593" s="50"/>
      <c r="AT593" s="50"/>
      <c r="AU593" s="50"/>
      <c r="AV593" s="50"/>
      <c r="AW593" s="50"/>
      <c r="AX593" s="50"/>
      <c r="AY593" s="50"/>
      <c r="AZ593" s="50"/>
      <c r="BA593" s="50"/>
      <c r="BB593" s="50"/>
      <c r="BC593" s="50"/>
      <c r="BD593" s="50"/>
      <c r="BE593" s="50"/>
      <c r="BF593" s="50"/>
      <c r="BG593" s="50"/>
      <c r="BH593" s="50"/>
      <c r="BI593" s="50"/>
      <c r="BJ593" s="50"/>
      <c r="BK593" s="50"/>
      <c r="BL593" s="50"/>
      <c r="BM593" s="50"/>
      <c r="BN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50"/>
      <c r="AC594" s="50"/>
      <c r="AD594" s="50"/>
      <c r="AE594" s="50"/>
      <c r="AF594" s="50"/>
      <c r="AG594" s="50"/>
      <c r="AH594" s="50"/>
      <c r="AI594" s="50"/>
      <c r="AJ594" s="50"/>
      <c r="AK594" s="50"/>
      <c r="AL594" s="50"/>
      <c r="AM594" s="50"/>
      <c r="AN594" s="50"/>
      <c r="AO594" s="50"/>
      <c r="AP594" s="50"/>
      <c r="AQ594" s="50"/>
      <c r="AR594" s="50"/>
      <c r="AS594" s="50"/>
      <c r="AT594" s="50"/>
      <c r="AU594" s="50"/>
      <c r="AV594" s="50"/>
      <c r="AW594" s="50"/>
      <c r="AX594" s="50"/>
      <c r="AY594" s="50"/>
      <c r="AZ594" s="50"/>
      <c r="BA594" s="50"/>
      <c r="BB594" s="50"/>
      <c r="BC594" s="50"/>
      <c r="BD594" s="50"/>
      <c r="BE594" s="50"/>
      <c r="BF594" s="50"/>
      <c r="BG594" s="50"/>
      <c r="BH594" s="50"/>
      <c r="BI594" s="50"/>
      <c r="BJ594" s="50"/>
      <c r="BK594" s="50"/>
      <c r="BL594" s="50"/>
      <c r="BM594" s="50"/>
      <c r="BN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50"/>
      <c r="AC595" s="50"/>
      <c r="AD595" s="50"/>
      <c r="AE595" s="50"/>
      <c r="AF595" s="50"/>
      <c r="AG595" s="50"/>
      <c r="AH595" s="50"/>
      <c r="AI595" s="50"/>
      <c r="AJ595" s="50"/>
      <c r="AK595" s="50"/>
      <c r="AL595" s="50"/>
      <c r="AM595" s="50"/>
      <c r="AN595" s="50"/>
      <c r="AO595" s="50"/>
      <c r="AP595" s="50"/>
      <c r="AQ595" s="50"/>
      <c r="AR595" s="50"/>
      <c r="AS595" s="50"/>
      <c r="AT595" s="50"/>
      <c r="AU595" s="50"/>
      <c r="AV595" s="50"/>
      <c r="AW595" s="50"/>
      <c r="AX595" s="50"/>
      <c r="AY595" s="50"/>
      <c r="AZ595" s="50"/>
      <c r="BA595" s="50"/>
      <c r="BB595" s="50"/>
      <c r="BC595" s="50"/>
      <c r="BD595" s="50"/>
      <c r="BE595" s="50"/>
      <c r="BF595" s="50"/>
      <c r="BG595" s="50"/>
      <c r="BH595" s="50"/>
      <c r="BI595" s="50"/>
      <c r="BJ595" s="50"/>
      <c r="BK595" s="50"/>
      <c r="BL595" s="50"/>
      <c r="BM595" s="50"/>
      <c r="BN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50"/>
      <c r="AC596" s="50"/>
      <c r="AD596" s="50"/>
      <c r="AE596" s="50"/>
      <c r="AF596" s="50"/>
      <c r="AG596" s="50"/>
      <c r="AH596" s="50"/>
      <c r="AI596" s="50"/>
      <c r="AJ596" s="50"/>
      <c r="AK596" s="50"/>
      <c r="AL596" s="50"/>
      <c r="AM596" s="50"/>
      <c r="AN596" s="50"/>
      <c r="AO596" s="50"/>
      <c r="AP596" s="50"/>
      <c r="AQ596" s="50"/>
      <c r="AR596" s="50"/>
      <c r="AS596" s="50"/>
      <c r="AT596" s="50"/>
      <c r="AU596" s="50"/>
      <c r="AV596" s="50"/>
      <c r="AW596" s="50"/>
      <c r="AX596" s="50"/>
      <c r="AY596" s="50"/>
      <c r="AZ596" s="50"/>
      <c r="BA596" s="50"/>
      <c r="BB596" s="50"/>
      <c r="BC596" s="50"/>
      <c r="BD596" s="50"/>
      <c r="BE596" s="50"/>
      <c r="BF596" s="50"/>
      <c r="BG596" s="50"/>
      <c r="BH596" s="50"/>
      <c r="BI596" s="50"/>
      <c r="BJ596" s="50"/>
      <c r="BK596" s="50"/>
      <c r="BL596" s="50"/>
      <c r="BM596" s="50"/>
      <c r="BN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50"/>
      <c r="AC597" s="50"/>
      <c r="AD597" s="50"/>
      <c r="AE597" s="50"/>
      <c r="AF597" s="50"/>
      <c r="AG597" s="50"/>
      <c r="AH597" s="50"/>
      <c r="AI597" s="50"/>
      <c r="AJ597" s="50"/>
      <c r="AK597" s="50"/>
      <c r="AL597" s="50"/>
      <c r="AM597" s="50"/>
      <c r="AN597" s="50"/>
      <c r="AO597" s="50"/>
      <c r="AP597" s="50"/>
      <c r="AQ597" s="50"/>
      <c r="AR597" s="50"/>
      <c r="AS597" s="50"/>
      <c r="AT597" s="50"/>
      <c r="AU597" s="50"/>
      <c r="AV597" s="50"/>
      <c r="AW597" s="50"/>
      <c r="AX597" s="50"/>
      <c r="AY597" s="50"/>
      <c r="AZ597" s="50"/>
      <c r="BA597" s="50"/>
      <c r="BB597" s="50"/>
      <c r="BC597" s="50"/>
      <c r="BD597" s="50"/>
      <c r="BE597" s="50"/>
      <c r="BF597" s="50"/>
      <c r="BG597" s="50"/>
      <c r="BH597" s="50"/>
      <c r="BI597" s="50"/>
      <c r="BJ597" s="50"/>
      <c r="BK597" s="50"/>
      <c r="BL597" s="50"/>
      <c r="BM597" s="50"/>
      <c r="BN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50"/>
      <c r="AC598" s="50"/>
      <c r="AD598" s="50"/>
      <c r="AE598" s="50"/>
      <c r="AF598" s="50"/>
      <c r="AG598" s="50"/>
      <c r="AH598" s="50"/>
      <c r="AI598" s="50"/>
      <c r="AJ598" s="50"/>
      <c r="AK598" s="50"/>
      <c r="AL598" s="50"/>
      <c r="AM598" s="50"/>
      <c r="AN598" s="50"/>
      <c r="AO598" s="50"/>
      <c r="AP598" s="50"/>
      <c r="AQ598" s="50"/>
      <c r="AR598" s="50"/>
      <c r="AS598" s="50"/>
      <c r="AT598" s="50"/>
      <c r="AU598" s="50"/>
      <c r="AV598" s="50"/>
      <c r="AW598" s="50"/>
      <c r="AX598" s="50"/>
      <c r="AY598" s="50"/>
      <c r="AZ598" s="50"/>
      <c r="BA598" s="50"/>
      <c r="BB598" s="50"/>
      <c r="BC598" s="50"/>
      <c r="BD598" s="50"/>
      <c r="BE598" s="50"/>
      <c r="BF598" s="50"/>
      <c r="BG598" s="50"/>
      <c r="BH598" s="50"/>
      <c r="BI598" s="50"/>
      <c r="BJ598" s="50"/>
      <c r="BK598" s="50"/>
      <c r="BL598" s="50"/>
      <c r="BM598" s="50"/>
      <c r="BN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50"/>
      <c r="AC599" s="50"/>
      <c r="AD599" s="50"/>
      <c r="AE599" s="50"/>
      <c r="AF599" s="50"/>
      <c r="AG599" s="50"/>
      <c r="AH599" s="50"/>
      <c r="AI599" s="50"/>
      <c r="AJ599" s="50"/>
      <c r="AK599" s="50"/>
      <c r="AL599" s="50"/>
      <c r="AM599" s="50"/>
      <c r="AN599" s="50"/>
      <c r="AO599" s="50"/>
      <c r="AP599" s="50"/>
      <c r="AQ599" s="50"/>
      <c r="AR599" s="50"/>
      <c r="AS599" s="50"/>
      <c r="AT599" s="50"/>
      <c r="AU599" s="50"/>
      <c r="AV599" s="50"/>
      <c r="AW599" s="50"/>
      <c r="AX599" s="50"/>
      <c r="AY599" s="50"/>
      <c r="AZ599" s="50"/>
      <c r="BA599" s="50"/>
      <c r="BB599" s="50"/>
      <c r="BC599" s="50"/>
      <c r="BD599" s="50"/>
      <c r="BE599" s="50"/>
      <c r="BF599" s="50"/>
      <c r="BG599" s="50"/>
      <c r="BH599" s="50"/>
      <c r="BI599" s="50"/>
      <c r="BJ599" s="50"/>
      <c r="BK599" s="50"/>
      <c r="BL599" s="50"/>
      <c r="BM599" s="50"/>
      <c r="BN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50"/>
      <c r="AC600" s="50"/>
      <c r="AD600" s="50"/>
      <c r="AE600" s="50"/>
      <c r="AF600" s="50"/>
      <c r="AG600" s="50"/>
      <c r="AH600" s="50"/>
      <c r="AI600" s="50"/>
      <c r="AJ600" s="50"/>
      <c r="AK600" s="50"/>
      <c r="AL600" s="50"/>
      <c r="AM600" s="50"/>
      <c r="AN600" s="50"/>
      <c r="AO600" s="50"/>
      <c r="AP600" s="50"/>
      <c r="AQ600" s="50"/>
      <c r="AR600" s="50"/>
      <c r="AS600" s="50"/>
      <c r="AT600" s="50"/>
      <c r="AU600" s="50"/>
      <c r="AV600" s="50"/>
      <c r="AW600" s="50"/>
      <c r="AX600" s="50"/>
      <c r="AY600" s="50"/>
      <c r="AZ600" s="50"/>
      <c r="BA600" s="50"/>
      <c r="BB600" s="50"/>
      <c r="BC600" s="50"/>
      <c r="BD600" s="50"/>
      <c r="BE600" s="50"/>
      <c r="BF600" s="50"/>
      <c r="BG600" s="50"/>
      <c r="BH600" s="50"/>
      <c r="BI600" s="50"/>
      <c r="BJ600" s="50"/>
      <c r="BK600" s="50"/>
      <c r="BL600" s="50"/>
      <c r="BM600" s="50"/>
      <c r="BN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/>
      <c r="AR601" s="50"/>
      <c r="AS601" s="50"/>
      <c r="AT601" s="50"/>
      <c r="AU601" s="50"/>
      <c r="AV601" s="50"/>
      <c r="AW601" s="50"/>
      <c r="AX601" s="50"/>
      <c r="AY601" s="50"/>
      <c r="AZ601" s="50"/>
      <c r="BA601" s="50"/>
      <c r="BB601" s="50"/>
      <c r="BC601" s="50"/>
      <c r="BD601" s="50"/>
      <c r="BE601" s="50"/>
      <c r="BF601" s="50"/>
      <c r="BG601" s="50"/>
      <c r="BH601" s="50"/>
      <c r="BI601" s="50"/>
      <c r="BJ601" s="50"/>
      <c r="BK601" s="50"/>
      <c r="BL601" s="50"/>
      <c r="BM601" s="50"/>
      <c r="BN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50"/>
      <c r="AC602" s="50"/>
      <c r="AD602" s="50"/>
      <c r="AE602" s="50"/>
      <c r="AF602" s="50"/>
      <c r="AG602" s="50"/>
      <c r="AH602" s="50"/>
      <c r="AI602" s="50"/>
      <c r="AJ602" s="50"/>
      <c r="AK602" s="50"/>
      <c r="AL602" s="50"/>
      <c r="AM602" s="50"/>
      <c r="AN602" s="50"/>
      <c r="AO602" s="50"/>
      <c r="AP602" s="50"/>
      <c r="AQ602" s="50"/>
      <c r="AR602" s="50"/>
      <c r="AS602" s="50"/>
      <c r="AT602" s="50"/>
      <c r="AU602" s="50"/>
      <c r="AV602" s="50"/>
      <c r="AW602" s="50"/>
      <c r="AX602" s="50"/>
      <c r="AY602" s="50"/>
      <c r="AZ602" s="50"/>
      <c r="BA602" s="50"/>
      <c r="BB602" s="50"/>
      <c r="BC602" s="50"/>
      <c r="BD602" s="50"/>
      <c r="BE602" s="50"/>
      <c r="BF602" s="50"/>
      <c r="BG602" s="50"/>
      <c r="BH602" s="50"/>
      <c r="BI602" s="50"/>
      <c r="BJ602" s="50"/>
      <c r="BK602" s="50"/>
      <c r="BL602" s="50"/>
      <c r="BM602" s="50"/>
      <c r="BN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  <c r="AL603" s="50"/>
      <c r="AM603" s="50"/>
      <c r="AN603" s="50"/>
      <c r="AO603" s="50"/>
      <c r="AP603" s="50"/>
      <c r="AQ603" s="50"/>
      <c r="AR603" s="50"/>
      <c r="AS603" s="50"/>
      <c r="AT603" s="50"/>
      <c r="AU603" s="50"/>
      <c r="AV603" s="50"/>
      <c r="AW603" s="50"/>
      <c r="AX603" s="50"/>
      <c r="AY603" s="50"/>
      <c r="AZ603" s="50"/>
      <c r="BA603" s="50"/>
      <c r="BB603" s="50"/>
      <c r="BC603" s="50"/>
      <c r="BD603" s="50"/>
      <c r="BE603" s="50"/>
      <c r="BF603" s="50"/>
      <c r="BG603" s="50"/>
      <c r="BH603" s="50"/>
      <c r="BI603" s="50"/>
      <c r="BJ603" s="50"/>
      <c r="BK603" s="50"/>
      <c r="BL603" s="50"/>
      <c r="BM603" s="50"/>
      <c r="BN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  <c r="AQ604" s="50"/>
      <c r="AR604" s="50"/>
      <c r="AS604" s="50"/>
      <c r="AT604" s="50"/>
      <c r="AU604" s="50"/>
      <c r="AV604" s="50"/>
      <c r="AW604" s="50"/>
      <c r="AX604" s="50"/>
      <c r="AY604" s="50"/>
      <c r="AZ604" s="50"/>
      <c r="BA604" s="50"/>
      <c r="BB604" s="50"/>
      <c r="BC604" s="50"/>
      <c r="BD604" s="50"/>
      <c r="BE604" s="50"/>
      <c r="BF604" s="50"/>
      <c r="BG604" s="50"/>
      <c r="BH604" s="50"/>
      <c r="BI604" s="50"/>
      <c r="BJ604" s="50"/>
      <c r="BK604" s="50"/>
      <c r="BL604" s="50"/>
      <c r="BM604" s="50"/>
      <c r="BN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50"/>
      <c r="AR605" s="50"/>
      <c r="AS605" s="50"/>
      <c r="AT605" s="50"/>
      <c r="AU605" s="50"/>
      <c r="AV605" s="50"/>
      <c r="AW605" s="50"/>
      <c r="AX605" s="50"/>
      <c r="AY605" s="50"/>
      <c r="AZ605" s="50"/>
      <c r="BA605" s="50"/>
      <c r="BB605" s="50"/>
      <c r="BC605" s="50"/>
      <c r="BD605" s="50"/>
      <c r="BE605" s="50"/>
      <c r="BF605" s="50"/>
      <c r="BG605" s="50"/>
      <c r="BH605" s="50"/>
      <c r="BI605" s="50"/>
      <c r="BJ605" s="50"/>
      <c r="BK605" s="50"/>
      <c r="BL605" s="50"/>
      <c r="BM605" s="50"/>
      <c r="BN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50"/>
      <c r="AC606" s="50"/>
      <c r="AD606" s="50"/>
      <c r="AE606" s="50"/>
      <c r="AF606" s="50"/>
      <c r="AG606" s="50"/>
      <c r="AH606" s="50"/>
      <c r="AI606" s="50"/>
      <c r="AJ606" s="50"/>
      <c r="AK606" s="50"/>
      <c r="AL606" s="50"/>
      <c r="AM606" s="50"/>
      <c r="AN606" s="50"/>
      <c r="AO606" s="50"/>
      <c r="AP606" s="50"/>
      <c r="AQ606" s="50"/>
      <c r="AR606" s="50"/>
      <c r="AS606" s="50"/>
      <c r="AT606" s="50"/>
      <c r="AU606" s="50"/>
      <c r="AV606" s="50"/>
      <c r="AW606" s="50"/>
      <c r="AX606" s="50"/>
      <c r="AY606" s="50"/>
      <c r="AZ606" s="50"/>
      <c r="BA606" s="50"/>
      <c r="BB606" s="50"/>
      <c r="BC606" s="50"/>
      <c r="BD606" s="50"/>
      <c r="BE606" s="50"/>
      <c r="BF606" s="50"/>
      <c r="BG606" s="50"/>
      <c r="BH606" s="50"/>
      <c r="BI606" s="50"/>
      <c r="BJ606" s="50"/>
      <c r="BK606" s="50"/>
      <c r="BL606" s="50"/>
      <c r="BM606" s="50"/>
      <c r="BN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  <c r="AL607" s="50"/>
      <c r="AM607" s="50"/>
      <c r="AN607" s="50"/>
      <c r="AO607" s="50"/>
      <c r="AP607" s="50"/>
      <c r="AQ607" s="50"/>
      <c r="AR607" s="50"/>
      <c r="AS607" s="50"/>
      <c r="AT607" s="50"/>
      <c r="AU607" s="50"/>
      <c r="AV607" s="50"/>
      <c r="AW607" s="50"/>
      <c r="AX607" s="50"/>
      <c r="AY607" s="50"/>
      <c r="AZ607" s="50"/>
      <c r="BA607" s="50"/>
      <c r="BB607" s="50"/>
      <c r="BC607" s="50"/>
      <c r="BD607" s="50"/>
      <c r="BE607" s="50"/>
      <c r="BF607" s="50"/>
      <c r="BG607" s="50"/>
      <c r="BH607" s="50"/>
      <c r="BI607" s="50"/>
      <c r="BJ607" s="50"/>
      <c r="BK607" s="50"/>
      <c r="BL607" s="50"/>
      <c r="BM607" s="50"/>
      <c r="BN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  <c r="AQ608" s="50"/>
      <c r="AR608" s="50"/>
      <c r="AS608" s="50"/>
      <c r="AT608" s="50"/>
      <c r="AU608" s="50"/>
      <c r="AV608" s="50"/>
      <c r="AW608" s="50"/>
      <c r="AX608" s="50"/>
      <c r="AY608" s="50"/>
      <c r="AZ608" s="50"/>
      <c r="BA608" s="50"/>
      <c r="BB608" s="50"/>
      <c r="BC608" s="50"/>
      <c r="BD608" s="50"/>
      <c r="BE608" s="50"/>
      <c r="BF608" s="50"/>
      <c r="BG608" s="50"/>
      <c r="BH608" s="50"/>
      <c r="BI608" s="50"/>
      <c r="BJ608" s="50"/>
      <c r="BK608" s="50"/>
      <c r="BL608" s="50"/>
      <c r="BM608" s="50"/>
      <c r="BN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50"/>
      <c r="AU609" s="50"/>
      <c r="AV609" s="50"/>
      <c r="AW609" s="50"/>
      <c r="AX609" s="50"/>
      <c r="AY609" s="50"/>
      <c r="AZ609" s="50"/>
      <c r="BA609" s="50"/>
      <c r="BB609" s="50"/>
      <c r="BC609" s="50"/>
      <c r="BD609" s="50"/>
      <c r="BE609" s="50"/>
      <c r="BF609" s="50"/>
      <c r="BG609" s="50"/>
      <c r="BH609" s="50"/>
      <c r="BI609" s="50"/>
      <c r="BJ609" s="50"/>
      <c r="BK609" s="50"/>
      <c r="BL609" s="50"/>
      <c r="BM609" s="50"/>
      <c r="BN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  <c r="AQ610" s="50"/>
      <c r="AR610" s="50"/>
      <c r="AS610" s="50"/>
      <c r="AT610" s="50"/>
      <c r="AU610" s="50"/>
      <c r="AV610" s="50"/>
      <c r="AW610" s="50"/>
      <c r="AX610" s="50"/>
      <c r="AY610" s="50"/>
      <c r="AZ610" s="50"/>
      <c r="BA610" s="50"/>
      <c r="BB610" s="50"/>
      <c r="BC610" s="50"/>
      <c r="BD610" s="50"/>
      <c r="BE610" s="50"/>
      <c r="BF610" s="50"/>
      <c r="BG610" s="50"/>
      <c r="BH610" s="50"/>
      <c r="BI610" s="50"/>
      <c r="BJ610" s="50"/>
      <c r="BK610" s="50"/>
      <c r="BL610" s="50"/>
      <c r="BM610" s="50"/>
      <c r="BN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50"/>
      <c r="AU611" s="50"/>
      <c r="AV611" s="50"/>
      <c r="AW611" s="50"/>
      <c r="AX611" s="50"/>
      <c r="AY611" s="50"/>
      <c r="AZ611" s="50"/>
      <c r="BA611" s="50"/>
      <c r="BB611" s="50"/>
      <c r="BC611" s="50"/>
      <c r="BD611" s="50"/>
      <c r="BE611" s="50"/>
      <c r="BF611" s="50"/>
      <c r="BG611" s="50"/>
      <c r="BH611" s="50"/>
      <c r="BI611" s="50"/>
      <c r="BJ611" s="50"/>
      <c r="BK611" s="50"/>
      <c r="BL611" s="50"/>
      <c r="BM611" s="50"/>
      <c r="BN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50"/>
      <c r="AR612" s="50"/>
      <c r="AS612" s="50"/>
      <c r="AT612" s="50"/>
      <c r="AU612" s="50"/>
      <c r="AV612" s="50"/>
      <c r="AW612" s="50"/>
      <c r="AX612" s="50"/>
      <c r="AY612" s="50"/>
      <c r="AZ612" s="50"/>
      <c r="BA612" s="50"/>
      <c r="BB612" s="50"/>
      <c r="BC612" s="50"/>
      <c r="BD612" s="50"/>
      <c r="BE612" s="50"/>
      <c r="BF612" s="50"/>
      <c r="BG612" s="50"/>
      <c r="BH612" s="50"/>
      <c r="BI612" s="50"/>
      <c r="BJ612" s="50"/>
      <c r="BK612" s="50"/>
      <c r="BL612" s="50"/>
      <c r="BM612" s="50"/>
      <c r="BN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  <c r="AQ613" s="50"/>
      <c r="AR613" s="50"/>
      <c r="AS613" s="50"/>
      <c r="AT613" s="50"/>
      <c r="AU613" s="50"/>
      <c r="AV613" s="50"/>
      <c r="AW613" s="50"/>
      <c r="AX613" s="50"/>
      <c r="AY613" s="50"/>
      <c r="AZ613" s="50"/>
      <c r="BA613" s="50"/>
      <c r="BB613" s="50"/>
      <c r="BC613" s="50"/>
      <c r="BD613" s="50"/>
      <c r="BE613" s="50"/>
      <c r="BF613" s="50"/>
      <c r="BG613" s="50"/>
      <c r="BH613" s="50"/>
      <c r="BI613" s="50"/>
      <c r="BJ613" s="50"/>
      <c r="BK613" s="50"/>
      <c r="BL613" s="50"/>
      <c r="BM613" s="50"/>
      <c r="BN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50"/>
      <c r="AC614" s="50"/>
      <c r="AD614" s="50"/>
      <c r="AE614" s="50"/>
      <c r="AF614" s="50"/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  <c r="AQ614" s="50"/>
      <c r="AR614" s="50"/>
      <c r="AS614" s="50"/>
      <c r="AT614" s="50"/>
      <c r="AU614" s="50"/>
      <c r="AV614" s="50"/>
      <c r="AW614" s="50"/>
      <c r="AX614" s="50"/>
      <c r="AY614" s="50"/>
      <c r="AZ614" s="50"/>
      <c r="BA614" s="50"/>
      <c r="BB614" s="50"/>
      <c r="BC614" s="50"/>
      <c r="BD614" s="50"/>
      <c r="BE614" s="50"/>
      <c r="BF614" s="50"/>
      <c r="BG614" s="50"/>
      <c r="BH614" s="50"/>
      <c r="BI614" s="50"/>
      <c r="BJ614" s="50"/>
      <c r="BK614" s="50"/>
      <c r="BL614" s="50"/>
      <c r="BM614" s="50"/>
      <c r="BN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  <c r="AQ615" s="50"/>
      <c r="AR615" s="50"/>
      <c r="AS615" s="50"/>
      <c r="AT615" s="50"/>
      <c r="AU615" s="50"/>
      <c r="AV615" s="50"/>
      <c r="AW615" s="50"/>
      <c r="AX615" s="50"/>
      <c r="AY615" s="50"/>
      <c r="AZ615" s="50"/>
      <c r="BA615" s="50"/>
      <c r="BB615" s="50"/>
      <c r="BC615" s="50"/>
      <c r="BD615" s="50"/>
      <c r="BE615" s="50"/>
      <c r="BF615" s="50"/>
      <c r="BG615" s="50"/>
      <c r="BH615" s="50"/>
      <c r="BI615" s="50"/>
      <c r="BJ615" s="50"/>
      <c r="BK615" s="50"/>
      <c r="BL615" s="50"/>
      <c r="BM615" s="50"/>
      <c r="BN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  <c r="AM616" s="50"/>
      <c r="AN616" s="50"/>
      <c r="AO616" s="50"/>
      <c r="AP616" s="50"/>
      <c r="AQ616" s="50"/>
      <c r="AR616" s="50"/>
      <c r="AS616" s="50"/>
      <c r="AT616" s="50"/>
      <c r="AU616" s="50"/>
      <c r="AV616" s="50"/>
      <c r="AW616" s="50"/>
      <c r="AX616" s="50"/>
      <c r="AY616" s="50"/>
      <c r="AZ616" s="50"/>
      <c r="BA616" s="50"/>
      <c r="BB616" s="50"/>
      <c r="BC616" s="50"/>
      <c r="BD616" s="50"/>
      <c r="BE616" s="50"/>
      <c r="BF616" s="50"/>
      <c r="BG616" s="50"/>
      <c r="BH616" s="50"/>
      <c r="BI616" s="50"/>
      <c r="BJ616" s="50"/>
      <c r="BK616" s="50"/>
      <c r="BL616" s="50"/>
      <c r="BM616" s="50"/>
      <c r="BN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/>
      <c r="AV617" s="50"/>
      <c r="AW617" s="50"/>
      <c r="AX617" s="50"/>
      <c r="AY617" s="50"/>
      <c r="AZ617" s="50"/>
      <c r="BA617" s="50"/>
      <c r="BB617" s="50"/>
      <c r="BC617" s="50"/>
      <c r="BD617" s="50"/>
      <c r="BE617" s="50"/>
      <c r="BF617" s="50"/>
      <c r="BG617" s="50"/>
      <c r="BH617" s="50"/>
      <c r="BI617" s="50"/>
      <c r="BJ617" s="50"/>
      <c r="BK617" s="50"/>
      <c r="BL617" s="50"/>
      <c r="BM617" s="50"/>
      <c r="BN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  <c r="AL618" s="50"/>
      <c r="AM618" s="50"/>
      <c r="AN618" s="50"/>
      <c r="AO618" s="50"/>
      <c r="AP618" s="50"/>
      <c r="AQ618" s="50"/>
      <c r="AR618" s="50"/>
      <c r="AS618" s="50"/>
      <c r="AT618" s="50"/>
      <c r="AU618" s="50"/>
      <c r="AV618" s="50"/>
      <c r="AW618" s="50"/>
      <c r="AX618" s="50"/>
      <c r="AY618" s="50"/>
      <c r="AZ618" s="50"/>
      <c r="BA618" s="50"/>
      <c r="BB618" s="50"/>
      <c r="BC618" s="50"/>
      <c r="BD618" s="50"/>
      <c r="BE618" s="50"/>
      <c r="BF618" s="50"/>
      <c r="BG618" s="50"/>
      <c r="BH618" s="50"/>
      <c r="BI618" s="50"/>
      <c r="BJ618" s="50"/>
      <c r="BK618" s="50"/>
      <c r="BL618" s="50"/>
      <c r="BM618" s="50"/>
      <c r="BN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50"/>
      <c r="AU619" s="50"/>
      <c r="AV619" s="50"/>
      <c r="AW619" s="50"/>
      <c r="AX619" s="50"/>
      <c r="AY619" s="50"/>
      <c r="AZ619" s="50"/>
      <c r="BA619" s="50"/>
      <c r="BB619" s="50"/>
      <c r="BC619" s="50"/>
      <c r="BD619" s="50"/>
      <c r="BE619" s="50"/>
      <c r="BF619" s="50"/>
      <c r="BG619" s="50"/>
      <c r="BH619" s="50"/>
      <c r="BI619" s="50"/>
      <c r="BJ619" s="50"/>
      <c r="BK619" s="50"/>
      <c r="BL619" s="50"/>
      <c r="BM619" s="50"/>
      <c r="BN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50"/>
      <c r="AC620" s="50"/>
      <c r="AD620" s="50"/>
      <c r="AE620" s="50"/>
      <c r="AF620" s="50"/>
      <c r="AG620" s="50"/>
      <c r="AH620" s="50"/>
      <c r="AI620" s="50"/>
      <c r="AJ620" s="50"/>
      <c r="AK620" s="50"/>
      <c r="AL620" s="50"/>
      <c r="AM620" s="50"/>
      <c r="AN620" s="50"/>
      <c r="AO620" s="50"/>
      <c r="AP620" s="50"/>
      <c r="AQ620" s="50"/>
      <c r="AR620" s="50"/>
      <c r="AS620" s="50"/>
      <c r="AT620" s="50"/>
      <c r="AU620" s="50"/>
      <c r="AV620" s="50"/>
      <c r="AW620" s="50"/>
      <c r="AX620" s="50"/>
      <c r="AY620" s="50"/>
      <c r="AZ620" s="50"/>
      <c r="BA620" s="50"/>
      <c r="BB620" s="50"/>
      <c r="BC620" s="50"/>
      <c r="BD620" s="50"/>
      <c r="BE620" s="50"/>
      <c r="BF620" s="50"/>
      <c r="BG620" s="50"/>
      <c r="BH620" s="50"/>
      <c r="BI620" s="50"/>
      <c r="BJ620" s="50"/>
      <c r="BK620" s="50"/>
      <c r="BL620" s="50"/>
      <c r="BM620" s="50"/>
      <c r="BN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  <c r="AQ621" s="50"/>
      <c r="AR621" s="50"/>
      <c r="AS621" s="50"/>
      <c r="AT621" s="50"/>
      <c r="AU621" s="50"/>
      <c r="AV621" s="50"/>
      <c r="AW621" s="50"/>
      <c r="AX621" s="50"/>
      <c r="AY621" s="50"/>
      <c r="AZ621" s="50"/>
      <c r="BA621" s="50"/>
      <c r="BB621" s="50"/>
      <c r="BC621" s="50"/>
      <c r="BD621" s="50"/>
      <c r="BE621" s="50"/>
      <c r="BF621" s="50"/>
      <c r="BG621" s="50"/>
      <c r="BH621" s="50"/>
      <c r="BI621" s="50"/>
      <c r="BJ621" s="50"/>
      <c r="BK621" s="50"/>
      <c r="BL621" s="50"/>
      <c r="BM621" s="50"/>
      <c r="BN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50"/>
      <c r="AN622" s="50"/>
      <c r="AO622" s="50"/>
      <c r="AP622" s="50"/>
      <c r="AQ622" s="50"/>
      <c r="AR622" s="50"/>
      <c r="AS622" s="50"/>
      <c r="AT622" s="50"/>
      <c r="AU622" s="50"/>
      <c r="AV622" s="50"/>
      <c r="AW622" s="50"/>
      <c r="AX622" s="50"/>
      <c r="AY622" s="50"/>
      <c r="AZ622" s="50"/>
      <c r="BA622" s="50"/>
      <c r="BB622" s="50"/>
      <c r="BC622" s="50"/>
      <c r="BD622" s="50"/>
      <c r="BE622" s="50"/>
      <c r="BF622" s="50"/>
      <c r="BG622" s="50"/>
      <c r="BH622" s="50"/>
      <c r="BI622" s="50"/>
      <c r="BJ622" s="50"/>
      <c r="BK622" s="50"/>
      <c r="BL622" s="50"/>
      <c r="BM622" s="50"/>
      <c r="BN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  <c r="AV623" s="50"/>
      <c r="AW623" s="50"/>
      <c r="AX623" s="50"/>
      <c r="AY623" s="50"/>
      <c r="AZ623" s="50"/>
      <c r="BA623" s="50"/>
      <c r="BB623" s="50"/>
      <c r="BC623" s="50"/>
      <c r="BD623" s="50"/>
      <c r="BE623" s="50"/>
      <c r="BF623" s="50"/>
      <c r="BG623" s="50"/>
      <c r="BH623" s="50"/>
      <c r="BI623" s="50"/>
      <c r="BJ623" s="50"/>
      <c r="BK623" s="50"/>
      <c r="BL623" s="50"/>
      <c r="BM623" s="50"/>
      <c r="BN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/>
      <c r="AW624" s="50"/>
      <c r="AX624" s="50"/>
      <c r="AY624" s="50"/>
      <c r="AZ624" s="50"/>
      <c r="BA624" s="50"/>
      <c r="BB624" s="50"/>
      <c r="BC624" s="50"/>
      <c r="BD624" s="50"/>
      <c r="BE624" s="50"/>
      <c r="BF624" s="50"/>
      <c r="BG624" s="50"/>
      <c r="BH624" s="50"/>
      <c r="BI624" s="50"/>
      <c r="BJ624" s="50"/>
      <c r="BK624" s="50"/>
      <c r="BL624" s="50"/>
      <c r="BM624" s="50"/>
      <c r="BN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/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  <c r="AV626" s="50"/>
      <c r="AW626" s="50"/>
      <c r="AX626" s="50"/>
      <c r="AY626" s="50"/>
      <c r="AZ626" s="50"/>
      <c r="BA626" s="50"/>
      <c r="BB626" s="50"/>
      <c r="BC626" s="50"/>
      <c r="BD626" s="50"/>
      <c r="BE626" s="50"/>
      <c r="BF626" s="50"/>
      <c r="BG626" s="50"/>
      <c r="BH626" s="50"/>
      <c r="BI626" s="50"/>
      <c r="BJ626" s="50"/>
      <c r="BK626" s="50"/>
      <c r="BL626" s="50"/>
      <c r="BM626" s="50"/>
      <c r="BN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/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50"/>
      <c r="AC628" s="50"/>
      <c r="AD628" s="50"/>
      <c r="AE628" s="50"/>
      <c r="AF628" s="50"/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50"/>
      <c r="AR628" s="50"/>
      <c r="AS628" s="50"/>
      <c r="AT628" s="50"/>
      <c r="AU628" s="50"/>
      <c r="AV628" s="50"/>
      <c r="AW628" s="50"/>
      <c r="AX628" s="50"/>
      <c r="AY628" s="50"/>
      <c r="AZ628" s="50"/>
      <c r="BA628" s="50"/>
      <c r="BB628" s="50"/>
      <c r="BC628" s="50"/>
      <c r="BD628" s="50"/>
      <c r="BE628" s="50"/>
      <c r="BF628" s="50"/>
      <c r="BG628" s="50"/>
      <c r="BH628" s="50"/>
      <c r="BI628" s="50"/>
      <c r="BJ628" s="50"/>
      <c r="BK628" s="50"/>
      <c r="BL628" s="50"/>
      <c r="BM628" s="50"/>
      <c r="BN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/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  <c r="AV630" s="50"/>
      <c r="AW630" s="50"/>
      <c r="AX630" s="50"/>
      <c r="AY630" s="50"/>
      <c r="AZ630" s="50"/>
      <c r="BA630" s="50"/>
      <c r="BB630" s="50"/>
      <c r="BC630" s="50"/>
      <c r="BD630" s="50"/>
      <c r="BE630" s="50"/>
      <c r="BF630" s="50"/>
      <c r="BG630" s="50"/>
      <c r="BH630" s="50"/>
      <c r="BI630" s="50"/>
      <c r="BJ630" s="50"/>
      <c r="BK630" s="50"/>
      <c r="BL630" s="50"/>
      <c r="BM630" s="50"/>
      <c r="BN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50"/>
      <c r="AU631" s="50"/>
      <c r="AV631" s="50"/>
      <c r="AW631" s="50"/>
      <c r="AX631" s="50"/>
      <c r="AY631" s="50"/>
      <c r="AZ631" s="50"/>
      <c r="BA631" s="50"/>
      <c r="BB631" s="50"/>
      <c r="BC631" s="50"/>
      <c r="BD631" s="50"/>
      <c r="BE631" s="50"/>
      <c r="BF631" s="50"/>
      <c r="BG631" s="50"/>
      <c r="BH631" s="50"/>
      <c r="BI631" s="50"/>
      <c r="BJ631" s="50"/>
      <c r="BK631" s="50"/>
      <c r="BL631" s="50"/>
      <c r="BM631" s="50"/>
      <c r="BN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  <c r="AV632" s="50"/>
      <c r="AW632" s="50"/>
      <c r="AX632" s="50"/>
      <c r="AY632" s="50"/>
      <c r="AZ632" s="50"/>
      <c r="BA632" s="50"/>
      <c r="BB632" s="50"/>
      <c r="BC632" s="50"/>
      <c r="BD632" s="50"/>
      <c r="BE632" s="50"/>
      <c r="BF632" s="50"/>
      <c r="BG632" s="50"/>
      <c r="BH632" s="50"/>
      <c r="BI632" s="50"/>
      <c r="BJ632" s="50"/>
      <c r="BK632" s="50"/>
      <c r="BL632" s="50"/>
      <c r="BM632" s="50"/>
      <c r="BN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50"/>
      <c r="AU633" s="50"/>
      <c r="AV633" s="50"/>
      <c r="AW633" s="50"/>
      <c r="AX633" s="50"/>
      <c r="AY633" s="50"/>
      <c r="AZ633" s="50"/>
      <c r="BA633" s="50"/>
      <c r="BB633" s="50"/>
      <c r="BC633" s="50"/>
      <c r="BD633" s="50"/>
      <c r="BE633" s="50"/>
      <c r="BF633" s="50"/>
      <c r="BG633" s="50"/>
      <c r="BH633" s="50"/>
      <c r="BI633" s="50"/>
      <c r="BJ633" s="50"/>
      <c r="BK633" s="50"/>
      <c r="BL633" s="50"/>
      <c r="BM633" s="50"/>
      <c r="BN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  <c r="AV634" s="50"/>
      <c r="AW634" s="50"/>
      <c r="AX634" s="50"/>
      <c r="AY634" s="50"/>
      <c r="AZ634" s="50"/>
      <c r="BA634" s="50"/>
      <c r="BB634" s="50"/>
      <c r="BC634" s="50"/>
      <c r="BD634" s="50"/>
      <c r="BE634" s="50"/>
      <c r="BF634" s="50"/>
      <c r="BG634" s="50"/>
      <c r="BH634" s="50"/>
      <c r="BI634" s="50"/>
      <c r="BJ634" s="50"/>
      <c r="BK634" s="50"/>
      <c r="BL634" s="50"/>
      <c r="BM634" s="50"/>
      <c r="BN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/>
      <c r="AW635" s="50"/>
      <c r="AX635" s="50"/>
      <c r="AY635" s="50"/>
      <c r="AZ635" s="50"/>
      <c r="BA635" s="50"/>
      <c r="BB635" s="50"/>
      <c r="BC635" s="50"/>
      <c r="BD635" s="50"/>
      <c r="BE635" s="50"/>
      <c r="BF635" s="50"/>
      <c r="BG635" s="50"/>
      <c r="BH635" s="50"/>
      <c r="BI635" s="50"/>
      <c r="BJ635" s="50"/>
      <c r="BK635" s="50"/>
      <c r="BL635" s="50"/>
      <c r="BM635" s="50"/>
      <c r="BN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50"/>
      <c r="AC636" s="50"/>
      <c r="AD636" s="50"/>
      <c r="AE636" s="50"/>
      <c r="AF636" s="50"/>
      <c r="AG636" s="50"/>
      <c r="AH636" s="50"/>
      <c r="AI636" s="50"/>
      <c r="AJ636" s="50"/>
      <c r="AK636" s="50"/>
      <c r="AL636" s="50"/>
      <c r="AM636" s="50"/>
      <c r="AN636" s="50"/>
      <c r="AO636" s="50"/>
      <c r="AP636" s="50"/>
      <c r="AQ636" s="50"/>
      <c r="AR636" s="50"/>
      <c r="AS636" s="50"/>
      <c r="AT636" s="50"/>
      <c r="AU636" s="50"/>
      <c r="AV636" s="50"/>
      <c r="AW636" s="50"/>
      <c r="AX636" s="50"/>
      <c r="AY636" s="50"/>
      <c r="AZ636" s="50"/>
      <c r="BA636" s="50"/>
      <c r="BB636" s="50"/>
      <c r="BC636" s="50"/>
      <c r="BD636" s="50"/>
      <c r="BE636" s="50"/>
      <c r="BF636" s="50"/>
      <c r="BG636" s="50"/>
      <c r="BH636" s="50"/>
      <c r="BI636" s="50"/>
      <c r="BJ636" s="50"/>
      <c r="BK636" s="50"/>
      <c r="BL636" s="50"/>
      <c r="BM636" s="50"/>
      <c r="BN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/>
      <c r="AR637" s="50"/>
      <c r="AS637" s="50"/>
      <c r="AT637" s="50"/>
      <c r="AU637" s="50"/>
      <c r="AV637" s="50"/>
      <c r="AW637" s="50"/>
      <c r="AX637" s="50"/>
      <c r="AY637" s="50"/>
      <c r="AZ637" s="50"/>
      <c r="BA637" s="50"/>
      <c r="BB637" s="50"/>
      <c r="BC637" s="50"/>
      <c r="BD637" s="50"/>
      <c r="BE637" s="50"/>
      <c r="BF637" s="50"/>
      <c r="BG637" s="50"/>
      <c r="BH637" s="50"/>
      <c r="BI637" s="50"/>
      <c r="BJ637" s="50"/>
      <c r="BK637" s="50"/>
      <c r="BL637" s="50"/>
      <c r="BM637" s="50"/>
      <c r="BN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50"/>
      <c r="AC638" s="50"/>
      <c r="AD638" s="50"/>
      <c r="AE638" s="50"/>
      <c r="AF638" s="50"/>
      <c r="AG638" s="50"/>
      <c r="AH638" s="50"/>
      <c r="AI638" s="50"/>
      <c r="AJ638" s="50"/>
      <c r="AK638" s="50"/>
      <c r="AL638" s="50"/>
      <c r="AM638" s="50"/>
      <c r="AN638" s="50"/>
      <c r="AO638" s="50"/>
      <c r="AP638" s="50"/>
      <c r="AQ638" s="50"/>
      <c r="AR638" s="50"/>
      <c r="AS638" s="50"/>
      <c r="AT638" s="50"/>
      <c r="AU638" s="50"/>
      <c r="AV638" s="50"/>
      <c r="AW638" s="50"/>
      <c r="AX638" s="50"/>
      <c r="AY638" s="50"/>
      <c r="AZ638" s="50"/>
      <c r="BA638" s="50"/>
      <c r="BB638" s="50"/>
      <c r="BC638" s="50"/>
      <c r="BD638" s="50"/>
      <c r="BE638" s="50"/>
      <c r="BF638" s="50"/>
      <c r="BG638" s="50"/>
      <c r="BH638" s="50"/>
      <c r="BI638" s="50"/>
      <c r="BJ638" s="50"/>
      <c r="BK638" s="50"/>
      <c r="BL638" s="50"/>
      <c r="BM638" s="50"/>
      <c r="BN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50"/>
      <c r="AU639" s="50"/>
      <c r="AV639" s="50"/>
      <c r="AW639" s="50"/>
      <c r="AX639" s="50"/>
      <c r="AY639" s="50"/>
      <c r="AZ639" s="50"/>
      <c r="BA639" s="50"/>
      <c r="BB639" s="50"/>
      <c r="BC639" s="50"/>
      <c r="BD639" s="50"/>
      <c r="BE639" s="50"/>
      <c r="BF639" s="50"/>
      <c r="BG639" s="50"/>
      <c r="BH639" s="50"/>
      <c r="BI639" s="50"/>
      <c r="BJ639" s="50"/>
      <c r="BK639" s="50"/>
      <c r="BL639" s="50"/>
      <c r="BM639" s="50"/>
      <c r="BN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  <c r="AR640" s="50"/>
      <c r="AS640" s="50"/>
      <c r="AT640" s="50"/>
      <c r="AU640" s="50"/>
      <c r="AV640" s="50"/>
      <c r="AW640" s="50"/>
      <c r="AX640" s="50"/>
      <c r="AY640" s="50"/>
      <c r="AZ640" s="50"/>
      <c r="BA640" s="50"/>
      <c r="BB640" s="50"/>
      <c r="BC640" s="50"/>
      <c r="BD640" s="50"/>
      <c r="BE640" s="50"/>
      <c r="BF640" s="50"/>
      <c r="BG640" s="50"/>
      <c r="BH640" s="50"/>
      <c r="BI640" s="50"/>
      <c r="BJ640" s="50"/>
      <c r="BK640" s="50"/>
      <c r="BL640" s="50"/>
      <c r="BM640" s="50"/>
      <c r="BN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  <c r="AV641" s="50"/>
      <c r="AW641" s="50"/>
      <c r="AX641" s="50"/>
      <c r="AY641" s="50"/>
      <c r="AZ641" s="50"/>
      <c r="BA641" s="50"/>
      <c r="BB641" s="50"/>
      <c r="BC641" s="50"/>
      <c r="BD641" s="50"/>
      <c r="BE641" s="50"/>
      <c r="BF641" s="50"/>
      <c r="BG641" s="50"/>
      <c r="BH641" s="50"/>
      <c r="BI641" s="50"/>
      <c r="BJ641" s="50"/>
      <c r="BK641" s="50"/>
      <c r="BL641" s="50"/>
      <c r="BM641" s="50"/>
      <c r="BN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  <c r="AR642" s="50"/>
      <c r="AS642" s="50"/>
      <c r="AT642" s="50"/>
      <c r="AU642" s="50"/>
      <c r="AV642" s="50"/>
      <c r="AW642" s="50"/>
      <c r="AX642" s="50"/>
      <c r="AY642" s="50"/>
      <c r="AZ642" s="50"/>
      <c r="BA642" s="50"/>
      <c r="BB642" s="50"/>
      <c r="BC642" s="50"/>
      <c r="BD642" s="50"/>
      <c r="BE642" s="50"/>
      <c r="BF642" s="50"/>
      <c r="BG642" s="50"/>
      <c r="BH642" s="50"/>
      <c r="BI642" s="50"/>
      <c r="BJ642" s="50"/>
      <c r="BK642" s="50"/>
      <c r="BL642" s="50"/>
      <c r="BM642" s="50"/>
      <c r="BN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50"/>
      <c r="AR643" s="50"/>
      <c r="AS643" s="50"/>
      <c r="AT643" s="50"/>
      <c r="AU643" s="50"/>
      <c r="AV643" s="50"/>
      <c r="AW643" s="50"/>
      <c r="AX643" s="50"/>
      <c r="AY643" s="50"/>
      <c r="AZ643" s="50"/>
      <c r="BA643" s="50"/>
      <c r="BB643" s="50"/>
      <c r="BC643" s="50"/>
      <c r="BD643" s="50"/>
      <c r="BE643" s="50"/>
      <c r="BF643" s="50"/>
      <c r="BG643" s="50"/>
      <c r="BH643" s="50"/>
      <c r="BI643" s="50"/>
      <c r="BJ643" s="50"/>
      <c r="BK643" s="50"/>
      <c r="BL643" s="50"/>
      <c r="BM643" s="50"/>
      <c r="BN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50"/>
      <c r="AC644" s="50"/>
      <c r="AD644" s="50"/>
      <c r="AE644" s="50"/>
      <c r="AF644" s="50"/>
      <c r="AG644" s="50"/>
      <c r="AH644" s="50"/>
      <c r="AI644" s="50"/>
      <c r="AJ644" s="50"/>
      <c r="AK644" s="50"/>
      <c r="AL644" s="50"/>
      <c r="AM644" s="50"/>
      <c r="AN644" s="50"/>
      <c r="AO644" s="50"/>
      <c r="AP644" s="50"/>
      <c r="AQ644" s="50"/>
      <c r="AR644" s="50"/>
      <c r="AS644" s="50"/>
      <c r="AT644" s="50"/>
      <c r="AU644" s="50"/>
      <c r="AV644" s="50"/>
      <c r="AW644" s="50"/>
      <c r="AX644" s="50"/>
      <c r="AY644" s="50"/>
      <c r="AZ644" s="50"/>
      <c r="BA644" s="50"/>
      <c r="BB644" s="50"/>
      <c r="BC644" s="50"/>
      <c r="BD644" s="50"/>
      <c r="BE644" s="50"/>
      <c r="BF644" s="50"/>
      <c r="BG644" s="50"/>
      <c r="BH644" s="50"/>
      <c r="BI644" s="50"/>
      <c r="BJ644" s="50"/>
      <c r="BK644" s="50"/>
      <c r="BL644" s="50"/>
      <c r="BM644" s="50"/>
      <c r="BN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50"/>
      <c r="AR645" s="50"/>
      <c r="AS645" s="50"/>
      <c r="AT645" s="50"/>
      <c r="AU645" s="50"/>
      <c r="AV645" s="50"/>
      <c r="AW645" s="50"/>
      <c r="AX645" s="50"/>
      <c r="AY645" s="50"/>
      <c r="AZ645" s="50"/>
      <c r="BA645" s="50"/>
      <c r="BB645" s="50"/>
      <c r="BC645" s="50"/>
      <c r="BD645" s="50"/>
      <c r="BE645" s="50"/>
      <c r="BF645" s="50"/>
      <c r="BG645" s="50"/>
      <c r="BH645" s="50"/>
      <c r="BI645" s="50"/>
      <c r="BJ645" s="50"/>
      <c r="BK645" s="50"/>
      <c r="BL645" s="50"/>
      <c r="BM645" s="50"/>
      <c r="BN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50"/>
      <c r="AR646" s="50"/>
      <c r="AS646" s="50"/>
      <c r="AT646" s="50"/>
      <c r="AU646" s="50"/>
      <c r="AV646" s="50"/>
      <c r="AW646" s="50"/>
      <c r="AX646" s="50"/>
      <c r="AY646" s="50"/>
      <c r="AZ646" s="50"/>
      <c r="BA646" s="50"/>
      <c r="BB646" s="50"/>
      <c r="BC646" s="50"/>
      <c r="BD646" s="50"/>
      <c r="BE646" s="50"/>
      <c r="BF646" s="50"/>
      <c r="BG646" s="50"/>
      <c r="BH646" s="50"/>
      <c r="BI646" s="50"/>
      <c r="BJ646" s="50"/>
      <c r="BK646" s="50"/>
      <c r="BL646" s="50"/>
      <c r="BM646" s="50"/>
      <c r="BN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  <c r="AV647" s="50"/>
      <c r="AW647" s="50"/>
      <c r="AX647" s="50"/>
      <c r="AY647" s="50"/>
      <c r="AZ647" s="50"/>
      <c r="BA647" s="50"/>
      <c r="BB647" s="50"/>
      <c r="BC647" s="50"/>
      <c r="BD647" s="50"/>
      <c r="BE647" s="50"/>
      <c r="BF647" s="50"/>
      <c r="BG647" s="50"/>
      <c r="BH647" s="50"/>
      <c r="BI647" s="50"/>
      <c r="BJ647" s="50"/>
      <c r="BK647" s="50"/>
      <c r="BL647" s="50"/>
      <c r="BM647" s="50"/>
      <c r="BN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  <c r="AV648" s="50"/>
      <c r="AW648" s="50"/>
      <c r="AX648" s="50"/>
      <c r="AY648" s="50"/>
      <c r="AZ648" s="50"/>
      <c r="BA648" s="50"/>
      <c r="BB648" s="50"/>
      <c r="BC648" s="50"/>
      <c r="BD648" s="50"/>
      <c r="BE648" s="50"/>
      <c r="BF648" s="50"/>
      <c r="BG648" s="50"/>
      <c r="BH648" s="50"/>
      <c r="BI648" s="50"/>
      <c r="BJ648" s="50"/>
      <c r="BK648" s="50"/>
      <c r="BL648" s="50"/>
      <c r="BM648" s="50"/>
      <c r="BN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  <c r="AV649" s="50"/>
      <c r="AW649" s="50"/>
      <c r="AX649" s="50"/>
      <c r="AY649" s="50"/>
      <c r="AZ649" s="50"/>
      <c r="BA649" s="50"/>
      <c r="BB649" s="50"/>
      <c r="BC649" s="50"/>
      <c r="BD649" s="50"/>
      <c r="BE649" s="50"/>
      <c r="BF649" s="50"/>
      <c r="BG649" s="50"/>
      <c r="BH649" s="50"/>
      <c r="BI649" s="50"/>
      <c r="BJ649" s="50"/>
      <c r="BK649" s="50"/>
      <c r="BL649" s="50"/>
      <c r="BM649" s="50"/>
      <c r="BN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  <c r="AV650" s="50"/>
      <c r="AW650" s="50"/>
      <c r="AX650" s="50"/>
      <c r="AY650" s="50"/>
      <c r="AZ650" s="50"/>
      <c r="BA650" s="50"/>
      <c r="BB650" s="50"/>
      <c r="BC650" s="50"/>
      <c r="BD650" s="50"/>
      <c r="BE650" s="50"/>
      <c r="BF650" s="50"/>
      <c r="BG650" s="50"/>
      <c r="BH650" s="50"/>
      <c r="BI650" s="50"/>
      <c r="BJ650" s="50"/>
      <c r="BK650" s="50"/>
      <c r="BL650" s="50"/>
      <c r="BM650" s="50"/>
      <c r="BN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50"/>
      <c r="AU651" s="50"/>
      <c r="AV651" s="50"/>
      <c r="AW651" s="50"/>
      <c r="AX651" s="50"/>
      <c r="AY651" s="50"/>
      <c r="AZ651" s="50"/>
      <c r="BA651" s="50"/>
      <c r="BB651" s="50"/>
      <c r="BC651" s="50"/>
      <c r="BD651" s="50"/>
      <c r="BE651" s="50"/>
      <c r="BF651" s="50"/>
      <c r="BG651" s="50"/>
      <c r="BH651" s="50"/>
      <c r="BI651" s="50"/>
      <c r="BJ651" s="50"/>
      <c r="BK651" s="50"/>
      <c r="BL651" s="50"/>
      <c r="BM651" s="50"/>
      <c r="BN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  <c r="AL652" s="50"/>
      <c r="AM652" s="50"/>
      <c r="AN652" s="50"/>
      <c r="AO652" s="50"/>
      <c r="AP652" s="50"/>
      <c r="AQ652" s="50"/>
      <c r="AR652" s="50"/>
      <c r="AS652" s="50"/>
      <c r="AT652" s="50"/>
      <c r="AU652" s="50"/>
      <c r="AV652" s="50"/>
      <c r="AW652" s="50"/>
      <c r="AX652" s="50"/>
      <c r="AY652" s="50"/>
      <c r="AZ652" s="50"/>
      <c r="BA652" s="50"/>
      <c r="BB652" s="50"/>
      <c r="BC652" s="50"/>
      <c r="BD652" s="50"/>
      <c r="BE652" s="50"/>
      <c r="BF652" s="50"/>
      <c r="BG652" s="50"/>
      <c r="BH652" s="50"/>
      <c r="BI652" s="50"/>
      <c r="BJ652" s="50"/>
      <c r="BK652" s="50"/>
      <c r="BL652" s="50"/>
      <c r="BM652" s="50"/>
      <c r="BN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/>
      <c r="AR653" s="50"/>
      <c r="AS653" s="50"/>
      <c r="AT653" s="50"/>
      <c r="AU653" s="50"/>
      <c r="AV653" s="50"/>
      <c r="AW653" s="50"/>
      <c r="AX653" s="50"/>
      <c r="AY653" s="50"/>
      <c r="AZ653" s="50"/>
      <c r="BA653" s="50"/>
      <c r="BB653" s="50"/>
      <c r="BC653" s="50"/>
      <c r="BD653" s="50"/>
      <c r="BE653" s="50"/>
      <c r="BF653" s="50"/>
      <c r="BG653" s="50"/>
      <c r="BH653" s="50"/>
      <c r="BI653" s="50"/>
      <c r="BJ653" s="50"/>
      <c r="BK653" s="50"/>
      <c r="BL653" s="50"/>
      <c r="BM653" s="50"/>
      <c r="BN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  <c r="AL654" s="50"/>
      <c r="AM654" s="50"/>
      <c r="AN654" s="50"/>
      <c r="AO654" s="50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/>
      <c r="AZ654" s="50"/>
      <c r="BA654" s="50"/>
      <c r="BB654" s="50"/>
      <c r="BC654" s="50"/>
      <c r="BD654" s="50"/>
      <c r="BE654" s="50"/>
      <c r="BF654" s="50"/>
      <c r="BG654" s="50"/>
      <c r="BH654" s="50"/>
      <c r="BI654" s="50"/>
      <c r="BJ654" s="50"/>
      <c r="BK654" s="50"/>
      <c r="BL654" s="50"/>
      <c r="BM654" s="50"/>
      <c r="BN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/>
      <c r="AR655" s="50"/>
      <c r="AS655" s="50"/>
      <c r="AT655" s="50"/>
      <c r="AU655" s="50"/>
      <c r="AV655" s="50"/>
      <c r="AW655" s="50"/>
      <c r="AX655" s="50"/>
      <c r="AY655" s="50"/>
      <c r="AZ655" s="50"/>
      <c r="BA655" s="50"/>
      <c r="BB655" s="50"/>
      <c r="BC655" s="50"/>
      <c r="BD655" s="50"/>
      <c r="BE655" s="50"/>
      <c r="BF655" s="50"/>
      <c r="BG655" s="50"/>
      <c r="BH655" s="50"/>
      <c r="BI655" s="50"/>
      <c r="BJ655" s="50"/>
      <c r="BK655" s="50"/>
      <c r="BL655" s="50"/>
      <c r="BM655" s="50"/>
      <c r="BN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50"/>
      <c r="AC656" s="50"/>
      <c r="AD656" s="50"/>
      <c r="AE656" s="50"/>
      <c r="AF656" s="50"/>
      <c r="AG656" s="50"/>
      <c r="AH656" s="50"/>
      <c r="AI656" s="50"/>
      <c r="AJ656" s="50"/>
      <c r="AK656" s="50"/>
      <c r="AL656" s="50"/>
      <c r="AM656" s="50"/>
      <c r="AN656" s="50"/>
      <c r="AO656" s="50"/>
      <c r="AP656" s="50"/>
      <c r="AQ656" s="50"/>
      <c r="AR656" s="50"/>
      <c r="AS656" s="50"/>
      <c r="AT656" s="50"/>
      <c r="AU656" s="50"/>
      <c r="AV656" s="50"/>
      <c r="AW656" s="50"/>
      <c r="AX656" s="50"/>
      <c r="AY656" s="50"/>
      <c r="AZ656" s="50"/>
      <c r="BA656" s="50"/>
      <c r="BB656" s="50"/>
      <c r="BC656" s="50"/>
      <c r="BD656" s="50"/>
      <c r="BE656" s="50"/>
      <c r="BF656" s="50"/>
      <c r="BG656" s="50"/>
      <c r="BH656" s="50"/>
      <c r="BI656" s="50"/>
      <c r="BJ656" s="50"/>
      <c r="BK656" s="50"/>
      <c r="BL656" s="50"/>
      <c r="BM656" s="50"/>
      <c r="BN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/>
      <c r="AR657" s="50"/>
      <c r="AS657" s="50"/>
      <c r="AT657" s="50"/>
      <c r="AU657" s="50"/>
      <c r="AV657" s="50"/>
      <c r="AW657" s="50"/>
      <c r="AX657" s="50"/>
      <c r="AY657" s="50"/>
      <c r="AZ657" s="50"/>
      <c r="BA657" s="50"/>
      <c r="BB657" s="50"/>
      <c r="BC657" s="50"/>
      <c r="BD657" s="50"/>
      <c r="BE657" s="50"/>
      <c r="BF657" s="50"/>
      <c r="BG657" s="50"/>
      <c r="BH657" s="50"/>
      <c r="BI657" s="50"/>
      <c r="BJ657" s="50"/>
      <c r="BK657" s="50"/>
      <c r="BL657" s="50"/>
      <c r="BM657" s="50"/>
      <c r="BN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/>
      <c r="AR658" s="50"/>
      <c r="AS658" s="50"/>
      <c r="AT658" s="50"/>
      <c r="AU658" s="50"/>
      <c r="AV658" s="50"/>
      <c r="AW658" s="50"/>
      <c r="AX658" s="50"/>
      <c r="AY658" s="50"/>
      <c r="AZ658" s="50"/>
      <c r="BA658" s="50"/>
      <c r="BB658" s="50"/>
      <c r="BC658" s="50"/>
      <c r="BD658" s="50"/>
      <c r="BE658" s="50"/>
      <c r="BF658" s="50"/>
      <c r="BG658" s="50"/>
      <c r="BH658" s="50"/>
      <c r="BI658" s="50"/>
      <c r="BJ658" s="50"/>
      <c r="BK658" s="50"/>
      <c r="BL658" s="50"/>
      <c r="BM658" s="50"/>
      <c r="BN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50"/>
      <c r="AU659" s="50"/>
      <c r="AV659" s="50"/>
      <c r="AW659" s="50"/>
      <c r="AX659" s="50"/>
      <c r="AY659" s="50"/>
      <c r="AZ659" s="50"/>
      <c r="BA659" s="50"/>
      <c r="BB659" s="50"/>
      <c r="BC659" s="50"/>
      <c r="BD659" s="50"/>
      <c r="BE659" s="50"/>
      <c r="BF659" s="50"/>
      <c r="BG659" s="50"/>
      <c r="BH659" s="50"/>
      <c r="BI659" s="50"/>
      <c r="BJ659" s="50"/>
      <c r="BK659" s="50"/>
      <c r="BL659" s="50"/>
      <c r="BM659" s="50"/>
      <c r="BN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  <c r="AL660" s="50"/>
      <c r="AM660" s="50"/>
      <c r="AN660" s="50"/>
      <c r="AO660" s="50"/>
      <c r="AP660" s="50"/>
      <c r="AQ660" s="50"/>
      <c r="AR660" s="50"/>
      <c r="AS660" s="50"/>
      <c r="AT660" s="50"/>
      <c r="AU660" s="50"/>
      <c r="AV660" s="50"/>
      <c r="AW660" s="50"/>
      <c r="AX660" s="50"/>
      <c r="AY660" s="50"/>
      <c r="AZ660" s="50"/>
      <c r="BA660" s="50"/>
      <c r="BB660" s="50"/>
      <c r="BC660" s="50"/>
      <c r="BD660" s="50"/>
      <c r="BE660" s="50"/>
      <c r="BF660" s="50"/>
      <c r="BG660" s="50"/>
      <c r="BH660" s="50"/>
      <c r="BI660" s="50"/>
      <c r="BJ660" s="50"/>
      <c r="BK660" s="50"/>
      <c r="BL660" s="50"/>
      <c r="BM660" s="50"/>
      <c r="BN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50"/>
      <c r="AU661" s="50"/>
      <c r="AV661" s="50"/>
      <c r="AW661" s="50"/>
      <c r="AX661" s="50"/>
      <c r="AY661" s="50"/>
      <c r="AZ661" s="50"/>
      <c r="BA661" s="50"/>
      <c r="BB661" s="50"/>
      <c r="BC661" s="50"/>
      <c r="BD661" s="50"/>
      <c r="BE661" s="50"/>
      <c r="BF661" s="50"/>
      <c r="BG661" s="50"/>
      <c r="BH661" s="50"/>
      <c r="BI661" s="50"/>
      <c r="BJ661" s="50"/>
      <c r="BK661" s="50"/>
      <c r="BL661" s="50"/>
      <c r="BM661" s="50"/>
      <c r="BN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  <c r="AL662" s="50"/>
      <c r="AM662" s="50"/>
      <c r="AN662" s="50"/>
      <c r="AO662" s="50"/>
      <c r="AP662" s="50"/>
      <c r="AQ662" s="50"/>
      <c r="AR662" s="50"/>
      <c r="AS662" s="50"/>
      <c r="AT662" s="50"/>
      <c r="AU662" s="50"/>
      <c r="AV662" s="50"/>
      <c r="AW662" s="50"/>
      <c r="AX662" s="50"/>
      <c r="AY662" s="50"/>
      <c r="AZ662" s="50"/>
      <c r="BA662" s="50"/>
      <c r="BB662" s="50"/>
      <c r="BC662" s="50"/>
      <c r="BD662" s="50"/>
      <c r="BE662" s="50"/>
      <c r="BF662" s="50"/>
      <c r="BG662" s="50"/>
      <c r="BH662" s="50"/>
      <c r="BI662" s="50"/>
      <c r="BJ662" s="50"/>
      <c r="BK662" s="50"/>
      <c r="BL662" s="50"/>
      <c r="BM662" s="50"/>
      <c r="BN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50"/>
      <c r="AU663" s="50"/>
      <c r="AV663" s="50"/>
      <c r="AW663" s="50"/>
      <c r="AX663" s="50"/>
      <c r="AY663" s="50"/>
      <c r="AZ663" s="50"/>
      <c r="BA663" s="50"/>
      <c r="BB663" s="50"/>
      <c r="BC663" s="50"/>
      <c r="BD663" s="50"/>
      <c r="BE663" s="50"/>
      <c r="BF663" s="50"/>
      <c r="BG663" s="50"/>
      <c r="BH663" s="50"/>
      <c r="BI663" s="50"/>
      <c r="BJ663" s="50"/>
      <c r="BK663" s="50"/>
      <c r="BL663" s="50"/>
      <c r="BM663" s="50"/>
      <c r="BN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50"/>
      <c r="AR664" s="50"/>
      <c r="AS664" s="50"/>
      <c r="AT664" s="50"/>
      <c r="AU664" s="50"/>
      <c r="AV664" s="50"/>
      <c r="AW664" s="50"/>
      <c r="AX664" s="50"/>
      <c r="AY664" s="50"/>
      <c r="AZ664" s="50"/>
      <c r="BA664" s="50"/>
      <c r="BB664" s="50"/>
      <c r="BC664" s="50"/>
      <c r="BD664" s="50"/>
      <c r="BE664" s="50"/>
      <c r="BF664" s="50"/>
      <c r="BG664" s="50"/>
      <c r="BH664" s="50"/>
      <c r="BI664" s="50"/>
      <c r="BJ664" s="50"/>
      <c r="BK664" s="50"/>
      <c r="BL664" s="50"/>
      <c r="BM664" s="50"/>
      <c r="BN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/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50"/>
      <c r="AC666" s="50"/>
      <c r="AD666" s="50"/>
      <c r="AE666" s="50"/>
      <c r="AF666" s="50"/>
      <c r="AG666" s="50"/>
      <c r="AH666" s="50"/>
      <c r="AI666" s="50"/>
      <c r="AJ666" s="50"/>
      <c r="AK666" s="50"/>
      <c r="AL666" s="50"/>
      <c r="AM666" s="50"/>
      <c r="AN666" s="50"/>
      <c r="AO666" s="50"/>
      <c r="AP666" s="50"/>
      <c r="AQ666" s="50"/>
      <c r="AR666" s="50"/>
      <c r="AS666" s="50"/>
      <c r="AT666" s="50"/>
      <c r="AU666" s="50"/>
      <c r="AV666" s="50"/>
      <c r="AW666" s="50"/>
      <c r="AX666" s="50"/>
      <c r="AY666" s="50"/>
      <c r="AZ666" s="50"/>
      <c r="BA666" s="50"/>
      <c r="BB666" s="50"/>
      <c r="BC666" s="50"/>
      <c r="BD666" s="50"/>
      <c r="BE666" s="50"/>
      <c r="BF666" s="50"/>
      <c r="BG666" s="50"/>
      <c r="BH666" s="50"/>
      <c r="BI666" s="50"/>
      <c r="BJ666" s="50"/>
      <c r="BK666" s="50"/>
      <c r="BL666" s="50"/>
      <c r="BM666" s="50"/>
      <c r="BN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/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50"/>
      <c r="AC668" s="50"/>
      <c r="AD668" s="50"/>
      <c r="AE668" s="50"/>
      <c r="AF668" s="50"/>
      <c r="AG668" s="50"/>
      <c r="AH668" s="50"/>
      <c r="AI668" s="50"/>
      <c r="AJ668" s="50"/>
      <c r="AK668" s="50"/>
      <c r="AL668" s="50"/>
      <c r="AM668" s="50"/>
      <c r="AN668" s="50"/>
      <c r="AO668" s="50"/>
      <c r="AP668" s="50"/>
      <c r="AQ668" s="50"/>
      <c r="AR668" s="50"/>
      <c r="AS668" s="50"/>
      <c r="AT668" s="50"/>
      <c r="AU668" s="50"/>
      <c r="AV668" s="50"/>
      <c r="AW668" s="50"/>
      <c r="AX668" s="50"/>
      <c r="AY668" s="50"/>
      <c r="AZ668" s="50"/>
      <c r="BA668" s="50"/>
      <c r="BB668" s="50"/>
      <c r="BC668" s="50"/>
      <c r="BD668" s="50"/>
      <c r="BE668" s="50"/>
      <c r="BF668" s="50"/>
      <c r="BG668" s="50"/>
      <c r="BH668" s="50"/>
      <c r="BI668" s="50"/>
      <c r="BJ668" s="50"/>
      <c r="BK668" s="50"/>
      <c r="BL668" s="50"/>
      <c r="BM668" s="50"/>
      <c r="BN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/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0"/>
      <c r="BC670" s="50"/>
      <c r="BD670" s="50"/>
      <c r="BE670" s="50"/>
      <c r="BF670" s="50"/>
      <c r="BG670" s="50"/>
      <c r="BH670" s="50"/>
      <c r="BI670" s="50"/>
      <c r="BJ670" s="50"/>
      <c r="BK670" s="50"/>
      <c r="BL670" s="50"/>
      <c r="BM670" s="50"/>
      <c r="BN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50"/>
      <c r="AU671" s="50"/>
      <c r="AV671" s="50"/>
      <c r="AW671" s="50"/>
      <c r="AX671" s="50"/>
      <c r="AY671" s="50"/>
      <c r="AZ671" s="50"/>
      <c r="BA671" s="50"/>
      <c r="BB671" s="50"/>
      <c r="BC671" s="50"/>
      <c r="BD671" s="50"/>
      <c r="BE671" s="50"/>
      <c r="BF671" s="50"/>
      <c r="BG671" s="50"/>
      <c r="BH671" s="50"/>
      <c r="BI671" s="50"/>
      <c r="BJ671" s="50"/>
      <c r="BK671" s="50"/>
      <c r="BL671" s="50"/>
      <c r="BM671" s="50"/>
      <c r="BN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  <c r="AL672" s="50"/>
      <c r="AM672" s="50"/>
      <c r="AN672" s="50"/>
      <c r="AO672" s="50"/>
      <c r="AP672" s="50"/>
      <c r="AQ672" s="50"/>
      <c r="AR672" s="50"/>
      <c r="AS672" s="50"/>
      <c r="AT672" s="50"/>
      <c r="AU672" s="50"/>
      <c r="AV672" s="50"/>
      <c r="AW672" s="50"/>
      <c r="AX672" s="50"/>
      <c r="AY672" s="50"/>
      <c r="AZ672" s="50"/>
      <c r="BA672" s="50"/>
      <c r="BB672" s="50"/>
      <c r="BC672" s="50"/>
      <c r="BD672" s="50"/>
      <c r="BE672" s="50"/>
      <c r="BF672" s="50"/>
      <c r="BG672" s="50"/>
      <c r="BH672" s="50"/>
      <c r="BI672" s="50"/>
      <c r="BJ672" s="50"/>
      <c r="BK672" s="50"/>
      <c r="BL672" s="50"/>
      <c r="BM672" s="50"/>
      <c r="BN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  <c r="AV673" s="50"/>
      <c r="AW673" s="50"/>
      <c r="AX673" s="50"/>
      <c r="AY673" s="50"/>
      <c r="AZ673" s="50"/>
      <c r="BA673" s="50"/>
      <c r="BB673" s="50"/>
      <c r="BC673" s="50"/>
      <c r="BD673" s="50"/>
      <c r="BE673" s="50"/>
      <c r="BF673" s="50"/>
      <c r="BG673" s="50"/>
      <c r="BH673" s="50"/>
      <c r="BI673" s="50"/>
      <c r="BJ673" s="50"/>
      <c r="BK673" s="50"/>
      <c r="BL673" s="50"/>
      <c r="BM673" s="50"/>
      <c r="BN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50"/>
      <c r="AC674" s="50"/>
      <c r="AD674" s="50"/>
      <c r="AE674" s="50"/>
      <c r="AF674" s="50"/>
      <c r="AG674" s="50"/>
      <c r="AH674" s="50"/>
      <c r="AI674" s="50"/>
      <c r="AJ674" s="50"/>
      <c r="AK674" s="50"/>
      <c r="AL674" s="50"/>
      <c r="AM674" s="50"/>
      <c r="AN674" s="50"/>
      <c r="AO674" s="50"/>
      <c r="AP674" s="50"/>
      <c r="AQ674" s="50"/>
      <c r="AR674" s="50"/>
      <c r="AS674" s="50"/>
      <c r="AT674" s="50"/>
      <c r="AU674" s="50"/>
      <c r="AV674" s="50"/>
      <c r="AW674" s="50"/>
      <c r="AX674" s="50"/>
      <c r="AY674" s="50"/>
      <c r="AZ674" s="50"/>
      <c r="BA674" s="50"/>
      <c r="BB674" s="50"/>
      <c r="BC674" s="50"/>
      <c r="BD674" s="50"/>
      <c r="BE674" s="50"/>
      <c r="BF674" s="50"/>
      <c r="BG674" s="50"/>
      <c r="BH674" s="50"/>
      <c r="BI674" s="50"/>
      <c r="BJ674" s="50"/>
      <c r="BK674" s="50"/>
      <c r="BL674" s="50"/>
      <c r="BM674" s="50"/>
      <c r="BN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50"/>
      <c r="AU675" s="50"/>
      <c r="AV675" s="50"/>
      <c r="AW675" s="50"/>
      <c r="AX675" s="50"/>
      <c r="AY675" s="50"/>
      <c r="AZ675" s="50"/>
      <c r="BA675" s="50"/>
      <c r="BB675" s="50"/>
      <c r="BC675" s="50"/>
      <c r="BD675" s="50"/>
      <c r="BE675" s="50"/>
      <c r="BF675" s="50"/>
      <c r="BG675" s="50"/>
      <c r="BH675" s="50"/>
      <c r="BI675" s="50"/>
      <c r="BJ675" s="50"/>
      <c r="BK675" s="50"/>
      <c r="BL675" s="50"/>
      <c r="BM675" s="50"/>
      <c r="BN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  <c r="AL676" s="50"/>
      <c r="AM676" s="50"/>
      <c r="AN676" s="50"/>
      <c r="AO676" s="50"/>
      <c r="AP676" s="50"/>
      <c r="AQ676" s="50"/>
      <c r="AR676" s="50"/>
      <c r="AS676" s="50"/>
      <c r="AT676" s="50"/>
      <c r="AU676" s="50"/>
      <c r="AV676" s="50"/>
      <c r="AW676" s="50"/>
      <c r="AX676" s="50"/>
      <c r="AY676" s="50"/>
      <c r="AZ676" s="50"/>
      <c r="BA676" s="50"/>
      <c r="BB676" s="50"/>
      <c r="BC676" s="50"/>
      <c r="BD676" s="50"/>
      <c r="BE676" s="50"/>
      <c r="BF676" s="50"/>
      <c r="BG676" s="50"/>
      <c r="BH676" s="50"/>
      <c r="BI676" s="50"/>
      <c r="BJ676" s="50"/>
      <c r="BK676" s="50"/>
      <c r="BL676" s="50"/>
      <c r="BM676" s="50"/>
      <c r="BN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/>
      <c r="BD677" s="50"/>
      <c r="BE677" s="50"/>
      <c r="BF677" s="50"/>
      <c r="BG677" s="50"/>
      <c r="BH677" s="50"/>
      <c r="BI677" s="50"/>
      <c r="BJ677" s="50"/>
      <c r="BK677" s="50"/>
      <c r="BL677" s="50"/>
      <c r="BM677" s="50"/>
      <c r="BN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/>
      <c r="AR678" s="50"/>
      <c r="AS678" s="50"/>
      <c r="AT678" s="50"/>
      <c r="AU678" s="50"/>
      <c r="AV678" s="50"/>
      <c r="AW678" s="50"/>
      <c r="AX678" s="50"/>
      <c r="AY678" s="50"/>
      <c r="AZ678" s="50"/>
      <c r="BA678" s="50"/>
      <c r="BB678" s="50"/>
      <c r="BC678" s="50"/>
      <c r="BD678" s="50"/>
      <c r="BE678" s="50"/>
      <c r="BF678" s="50"/>
      <c r="BG678" s="50"/>
      <c r="BH678" s="50"/>
      <c r="BI678" s="50"/>
      <c r="BJ678" s="50"/>
      <c r="BK678" s="50"/>
      <c r="BL678" s="50"/>
      <c r="BM678" s="50"/>
      <c r="BN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0"/>
      <c r="BC679" s="50"/>
      <c r="BD679" s="50"/>
      <c r="BE679" s="50"/>
      <c r="BF679" s="50"/>
      <c r="BG679" s="50"/>
      <c r="BH679" s="50"/>
      <c r="BI679" s="50"/>
      <c r="BJ679" s="50"/>
      <c r="BK679" s="50"/>
      <c r="BL679" s="50"/>
      <c r="BM679" s="50"/>
      <c r="BN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/>
      <c r="AW680" s="50"/>
      <c r="AX680" s="50"/>
      <c r="AY680" s="50"/>
      <c r="AZ680" s="50"/>
      <c r="BA680" s="50"/>
      <c r="BB680" s="50"/>
      <c r="BC680" s="50"/>
      <c r="BD680" s="50"/>
      <c r="BE680" s="50"/>
      <c r="BF680" s="50"/>
      <c r="BG680" s="50"/>
      <c r="BH680" s="50"/>
      <c r="BI680" s="50"/>
      <c r="BJ680" s="50"/>
      <c r="BK680" s="50"/>
      <c r="BL680" s="50"/>
      <c r="BM680" s="50"/>
      <c r="BN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  <c r="AV681" s="50"/>
      <c r="AW681" s="50"/>
      <c r="AX681" s="50"/>
      <c r="AY681" s="50"/>
      <c r="AZ681" s="50"/>
      <c r="BA681" s="50"/>
      <c r="BB681" s="50"/>
      <c r="BC681" s="50"/>
      <c r="BD681" s="50"/>
      <c r="BE681" s="50"/>
      <c r="BF681" s="50"/>
      <c r="BG681" s="50"/>
      <c r="BH681" s="50"/>
      <c r="BI681" s="50"/>
      <c r="BJ681" s="50"/>
      <c r="BK681" s="50"/>
      <c r="BL681" s="50"/>
      <c r="BM681" s="50"/>
      <c r="BN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50"/>
      <c r="AC682" s="50"/>
      <c r="AD682" s="50"/>
      <c r="AE682" s="50"/>
      <c r="AF682" s="50"/>
      <c r="AG682" s="50"/>
      <c r="AH682" s="50"/>
      <c r="AI682" s="50"/>
      <c r="AJ682" s="50"/>
      <c r="AK682" s="50"/>
      <c r="AL682" s="50"/>
      <c r="AM682" s="50"/>
      <c r="AN682" s="50"/>
      <c r="AO682" s="50"/>
      <c r="AP682" s="50"/>
      <c r="AQ682" s="50"/>
      <c r="AR682" s="50"/>
      <c r="AS682" s="50"/>
      <c r="AT682" s="50"/>
      <c r="AU682" s="50"/>
      <c r="AV682" s="50"/>
      <c r="AW682" s="50"/>
      <c r="AX682" s="50"/>
      <c r="AY682" s="50"/>
      <c r="AZ682" s="50"/>
      <c r="BA682" s="50"/>
      <c r="BB682" s="50"/>
      <c r="BC682" s="50"/>
      <c r="BD682" s="50"/>
      <c r="BE682" s="50"/>
      <c r="BF682" s="50"/>
      <c r="BG682" s="50"/>
      <c r="BH682" s="50"/>
      <c r="BI682" s="50"/>
      <c r="BJ682" s="50"/>
      <c r="BK682" s="50"/>
      <c r="BL682" s="50"/>
      <c r="BM682" s="50"/>
      <c r="BN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50"/>
      <c r="AU683" s="50"/>
      <c r="AV683" s="50"/>
      <c r="AW683" s="50"/>
      <c r="AX683" s="50"/>
      <c r="AY683" s="50"/>
      <c r="AZ683" s="50"/>
      <c r="BA683" s="50"/>
      <c r="BB683" s="50"/>
      <c r="BC683" s="50"/>
      <c r="BD683" s="50"/>
      <c r="BE683" s="50"/>
      <c r="BF683" s="50"/>
      <c r="BG683" s="50"/>
      <c r="BH683" s="50"/>
      <c r="BI683" s="50"/>
      <c r="BJ683" s="50"/>
      <c r="BK683" s="50"/>
      <c r="BL683" s="50"/>
      <c r="BM683" s="50"/>
      <c r="BN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50"/>
      <c r="AC684" s="50"/>
      <c r="AD684" s="50"/>
      <c r="AE684" s="50"/>
      <c r="AF684" s="50"/>
      <c r="AG684" s="50"/>
      <c r="AH684" s="50"/>
      <c r="AI684" s="50"/>
      <c r="AJ684" s="50"/>
      <c r="AK684" s="50"/>
      <c r="AL684" s="50"/>
      <c r="AM684" s="50"/>
      <c r="AN684" s="50"/>
      <c r="AO684" s="50"/>
      <c r="AP684" s="50"/>
      <c r="AQ684" s="50"/>
      <c r="AR684" s="50"/>
      <c r="AS684" s="50"/>
      <c r="AT684" s="50"/>
      <c r="AU684" s="50"/>
      <c r="AV684" s="50"/>
      <c r="AW684" s="50"/>
      <c r="AX684" s="50"/>
      <c r="AY684" s="50"/>
      <c r="AZ684" s="50"/>
      <c r="BA684" s="50"/>
      <c r="BB684" s="50"/>
      <c r="BC684" s="50"/>
      <c r="BD684" s="50"/>
      <c r="BE684" s="50"/>
      <c r="BF684" s="50"/>
      <c r="BG684" s="50"/>
      <c r="BH684" s="50"/>
      <c r="BI684" s="50"/>
      <c r="BJ684" s="50"/>
      <c r="BK684" s="50"/>
      <c r="BL684" s="50"/>
      <c r="BM684" s="50"/>
      <c r="BN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  <c r="AV685" s="50"/>
      <c r="AW685" s="50"/>
      <c r="AX685" s="50"/>
      <c r="AY685" s="50"/>
      <c r="AZ685" s="50"/>
      <c r="BA685" s="50"/>
      <c r="BB685" s="50"/>
      <c r="BC685" s="50"/>
      <c r="BD685" s="50"/>
      <c r="BE685" s="50"/>
      <c r="BF685" s="50"/>
      <c r="BG685" s="50"/>
      <c r="BH685" s="50"/>
      <c r="BI685" s="50"/>
      <c r="BJ685" s="50"/>
      <c r="BK685" s="50"/>
      <c r="BL685" s="50"/>
      <c r="BM685" s="50"/>
      <c r="BN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0"/>
      <c r="BE686" s="50"/>
      <c r="BF686" s="50"/>
      <c r="BG686" s="50"/>
      <c r="BH686" s="50"/>
      <c r="BI686" s="50"/>
      <c r="BJ686" s="50"/>
      <c r="BK686" s="50"/>
      <c r="BL686" s="50"/>
      <c r="BM686" s="50"/>
      <c r="BN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50"/>
      <c r="AU687" s="50"/>
      <c r="AV687" s="50"/>
      <c r="AW687" s="50"/>
      <c r="AX687" s="50"/>
      <c r="AY687" s="50"/>
      <c r="AZ687" s="50"/>
      <c r="BA687" s="50"/>
      <c r="BB687" s="50"/>
      <c r="BC687" s="50"/>
      <c r="BD687" s="50"/>
      <c r="BE687" s="50"/>
      <c r="BF687" s="50"/>
      <c r="BG687" s="50"/>
      <c r="BH687" s="50"/>
      <c r="BI687" s="50"/>
      <c r="BJ687" s="50"/>
      <c r="BK687" s="50"/>
      <c r="BL687" s="50"/>
      <c r="BM687" s="50"/>
      <c r="BN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  <c r="AV688" s="50"/>
      <c r="AW688" s="50"/>
      <c r="AX688" s="50"/>
      <c r="AY688" s="50"/>
      <c r="AZ688" s="50"/>
      <c r="BA688" s="50"/>
      <c r="BB688" s="50"/>
      <c r="BC688" s="50"/>
      <c r="BD688" s="50"/>
      <c r="BE688" s="50"/>
      <c r="BF688" s="50"/>
      <c r="BG688" s="50"/>
      <c r="BH688" s="50"/>
      <c r="BI688" s="50"/>
      <c r="BJ688" s="50"/>
      <c r="BK688" s="50"/>
      <c r="BL688" s="50"/>
      <c r="BM688" s="50"/>
      <c r="BN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/>
      <c r="BE689" s="50"/>
      <c r="BF689" s="50"/>
      <c r="BG689" s="50"/>
      <c r="BH689" s="50"/>
      <c r="BI689" s="50"/>
      <c r="BJ689" s="50"/>
      <c r="BK689" s="50"/>
      <c r="BL689" s="50"/>
      <c r="BM689" s="50"/>
      <c r="BN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  <c r="AL690" s="50"/>
      <c r="AM690" s="50"/>
      <c r="AN690" s="50"/>
      <c r="AO690" s="50"/>
      <c r="AP690" s="50"/>
      <c r="AQ690" s="50"/>
      <c r="AR690" s="50"/>
      <c r="AS690" s="50"/>
      <c r="AT690" s="50"/>
      <c r="AU690" s="50"/>
      <c r="AV690" s="50"/>
      <c r="AW690" s="50"/>
      <c r="AX690" s="50"/>
      <c r="AY690" s="50"/>
      <c r="AZ690" s="50"/>
      <c r="BA690" s="50"/>
      <c r="BB690" s="50"/>
      <c r="BC690" s="50"/>
      <c r="BD690" s="50"/>
      <c r="BE690" s="50"/>
      <c r="BF690" s="50"/>
      <c r="BG690" s="50"/>
      <c r="BH690" s="50"/>
      <c r="BI690" s="50"/>
      <c r="BJ690" s="50"/>
      <c r="BK690" s="50"/>
      <c r="BL690" s="50"/>
      <c r="BM690" s="50"/>
      <c r="BN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50"/>
      <c r="AU691" s="50"/>
      <c r="AV691" s="50"/>
      <c r="AW691" s="50"/>
      <c r="AX691" s="50"/>
      <c r="AY691" s="50"/>
      <c r="AZ691" s="50"/>
      <c r="BA691" s="50"/>
      <c r="BB691" s="50"/>
      <c r="BC691" s="50"/>
      <c r="BD691" s="50"/>
      <c r="BE691" s="50"/>
      <c r="BF691" s="50"/>
      <c r="BG691" s="50"/>
      <c r="BH691" s="50"/>
      <c r="BI691" s="50"/>
      <c r="BJ691" s="50"/>
      <c r="BK691" s="50"/>
      <c r="BL691" s="50"/>
      <c r="BM691" s="50"/>
      <c r="BN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50"/>
      <c r="AC692" s="50"/>
      <c r="AD692" s="50"/>
      <c r="AE692" s="50"/>
      <c r="AF692" s="50"/>
      <c r="AG692" s="50"/>
      <c r="AH692" s="50"/>
      <c r="AI692" s="50"/>
      <c r="AJ692" s="50"/>
      <c r="AK692" s="50"/>
      <c r="AL692" s="50"/>
      <c r="AM692" s="50"/>
      <c r="AN692" s="50"/>
      <c r="AO692" s="50"/>
      <c r="AP692" s="50"/>
      <c r="AQ692" s="50"/>
      <c r="AR692" s="50"/>
      <c r="AS692" s="50"/>
      <c r="AT692" s="50"/>
      <c r="AU692" s="50"/>
      <c r="AV692" s="50"/>
      <c r="AW692" s="50"/>
      <c r="AX692" s="50"/>
      <c r="AY692" s="50"/>
      <c r="AZ692" s="50"/>
      <c r="BA692" s="50"/>
      <c r="BB692" s="50"/>
      <c r="BC692" s="50"/>
      <c r="BD692" s="50"/>
      <c r="BE692" s="50"/>
      <c r="BF692" s="50"/>
      <c r="BG692" s="50"/>
      <c r="BH692" s="50"/>
      <c r="BI692" s="50"/>
      <c r="BJ692" s="50"/>
      <c r="BK692" s="50"/>
      <c r="BL692" s="50"/>
      <c r="BM692" s="50"/>
      <c r="BN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50"/>
      <c r="AU693" s="50"/>
      <c r="AV693" s="50"/>
      <c r="AW693" s="50"/>
      <c r="AX693" s="50"/>
      <c r="AY693" s="50"/>
      <c r="AZ693" s="50"/>
      <c r="BA693" s="50"/>
      <c r="BB693" s="50"/>
      <c r="BC693" s="50"/>
      <c r="BD693" s="50"/>
      <c r="BE693" s="50"/>
      <c r="BF693" s="50"/>
      <c r="BG693" s="50"/>
      <c r="BH693" s="50"/>
      <c r="BI693" s="50"/>
      <c r="BJ693" s="50"/>
      <c r="BK693" s="50"/>
      <c r="BL693" s="50"/>
      <c r="BM693" s="50"/>
      <c r="BN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/>
      <c r="AR694" s="50"/>
      <c r="AS694" s="50"/>
      <c r="AT694" s="50"/>
      <c r="AU694" s="50"/>
      <c r="AV694" s="50"/>
      <c r="AW694" s="50"/>
      <c r="AX694" s="50"/>
      <c r="AY694" s="50"/>
      <c r="AZ694" s="50"/>
      <c r="BA694" s="50"/>
      <c r="BB694" s="50"/>
      <c r="BC694" s="50"/>
      <c r="BD694" s="50"/>
      <c r="BE694" s="50"/>
      <c r="BF694" s="50"/>
      <c r="BG694" s="50"/>
      <c r="BH694" s="50"/>
      <c r="BI694" s="50"/>
      <c r="BJ694" s="50"/>
      <c r="BK694" s="50"/>
      <c r="BL694" s="50"/>
      <c r="BM694" s="50"/>
      <c r="BN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50"/>
      <c r="AU695" s="50"/>
      <c r="AV695" s="50"/>
      <c r="AW695" s="50"/>
      <c r="AX695" s="50"/>
      <c r="AY695" s="50"/>
      <c r="AZ695" s="50"/>
      <c r="BA695" s="50"/>
      <c r="BB695" s="50"/>
      <c r="BC695" s="50"/>
      <c r="BD695" s="50"/>
      <c r="BE695" s="50"/>
      <c r="BF695" s="50"/>
      <c r="BG695" s="50"/>
      <c r="BH695" s="50"/>
      <c r="BI695" s="50"/>
      <c r="BJ695" s="50"/>
      <c r="BK695" s="50"/>
      <c r="BL695" s="50"/>
      <c r="BM695" s="50"/>
      <c r="BN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  <c r="AV696" s="50"/>
      <c r="AW696" s="50"/>
      <c r="AX696" s="50"/>
      <c r="AY696" s="50"/>
      <c r="AZ696" s="50"/>
      <c r="BA696" s="50"/>
      <c r="BB696" s="50"/>
      <c r="BC696" s="50"/>
      <c r="BD696" s="50"/>
      <c r="BE696" s="50"/>
      <c r="BF696" s="50"/>
      <c r="BG696" s="50"/>
      <c r="BH696" s="50"/>
      <c r="BI696" s="50"/>
      <c r="BJ696" s="50"/>
      <c r="BK696" s="50"/>
      <c r="BL696" s="50"/>
      <c r="BM696" s="50"/>
      <c r="BN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  <c r="AV697" s="50"/>
      <c r="AW697" s="50"/>
      <c r="AX697" s="50"/>
      <c r="AY697" s="50"/>
      <c r="AZ697" s="50"/>
      <c r="BA697" s="50"/>
      <c r="BB697" s="50"/>
      <c r="BC697" s="50"/>
      <c r="BD697" s="50"/>
      <c r="BE697" s="50"/>
      <c r="BF697" s="50"/>
      <c r="BG697" s="50"/>
      <c r="BH697" s="50"/>
      <c r="BI697" s="50"/>
      <c r="BJ697" s="50"/>
      <c r="BK697" s="50"/>
      <c r="BL697" s="50"/>
      <c r="BM697" s="50"/>
      <c r="BN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  <c r="AV698" s="50"/>
      <c r="AW698" s="50"/>
      <c r="AX698" s="50"/>
      <c r="AY698" s="50"/>
      <c r="AZ698" s="50"/>
      <c r="BA698" s="50"/>
      <c r="BB698" s="50"/>
      <c r="BC698" s="50"/>
      <c r="BD698" s="50"/>
      <c r="BE698" s="50"/>
      <c r="BF698" s="50"/>
      <c r="BG698" s="50"/>
      <c r="BH698" s="50"/>
      <c r="BI698" s="50"/>
      <c r="BJ698" s="50"/>
      <c r="BK698" s="50"/>
      <c r="BL698" s="50"/>
      <c r="BM698" s="50"/>
      <c r="BN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0"/>
      <c r="BE699" s="50"/>
      <c r="BF699" s="50"/>
      <c r="BG699" s="50"/>
      <c r="BH699" s="50"/>
      <c r="BI699" s="50"/>
      <c r="BJ699" s="50"/>
      <c r="BK699" s="50"/>
      <c r="BL699" s="50"/>
      <c r="BM699" s="50"/>
      <c r="BN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  <c r="AV700" s="50"/>
      <c r="AW700" s="50"/>
      <c r="AX700" s="50"/>
      <c r="AY700" s="50"/>
      <c r="AZ700" s="50"/>
      <c r="BA700" s="50"/>
      <c r="BB700" s="50"/>
      <c r="BC700" s="50"/>
      <c r="BD700" s="50"/>
      <c r="BE700" s="50"/>
      <c r="BF700" s="50"/>
      <c r="BG700" s="50"/>
      <c r="BH700" s="50"/>
      <c r="BI700" s="50"/>
      <c r="BJ700" s="50"/>
      <c r="BK700" s="50"/>
      <c r="BL700" s="50"/>
      <c r="BM700" s="50"/>
      <c r="BN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0"/>
      <c r="BE701" s="50"/>
      <c r="BF701" s="50"/>
      <c r="BG701" s="50"/>
      <c r="BH701" s="50"/>
      <c r="BI701" s="50"/>
      <c r="BJ701" s="50"/>
      <c r="BK701" s="50"/>
      <c r="BL701" s="50"/>
      <c r="BM701" s="50"/>
      <c r="BN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/>
      <c r="BE702" s="50"/>
      <c r="BF702" s="50"/>
      <c r="BG702" s="50"/>
      <c r="BH702" s="50"/>
      <c r="BI702" s="50"/>
      <c r="BJ702" s="50"/>
      <c r="BK702" s="50"/>
      <c r="BL702" s="50"/>
      <c r="BM702" s="50"/>
      <c r="BN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0"/>
      <c r="BE703" s="50"/>
      <c r="BF703" s="50"/>
      <c r="BG703" s="50"/>
      <c r="BH703" s="50"/>
      <c r="BI703" s="50"/>
      <c r="BJ703" s="50"/>
      <c r="BK703" s="50"/>
      <c r="BL703" s="50"/>
      <c r="BM703" s="50"/>
      <c r="BN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  <c r="AL704" s="50"/>
      <c r="AM704" s="50"/>
      <c r="AN704" s="50"/>
      <c r="AO704" s="50"/>
      <c r="AP704" s="50"/>
      <c r="AQ704" s="50"/>
      <c r="AR704" s="50"/>
      <c r="AS704" s="50"/>
      <c r="AT704" s="50"/>
      <c r="AU704" s="50"/>
      <c r="AV704" s="50"/>
      <c r="AW704" s="50"/>
      <c r="AX704" s="50"/>
      <c r="AY704" s="50"/>
      <c r="AZ704" s="50"/>
      <c r="BA704" s="50"/>
      <c r="BB704" s="50"/>
      <c r="BC704" s="50"/>
      <c r="BD704" s="50"/>
      <c r="BE704" s="50"/>
      <c r="BF704" s="50"/>
      <c r="BG704" s="50"/>
      <c r="BH704" s="50"/>
      <c r="BI704" s="50"/>
      <c r="BJ704" s="50"/>
      <c r="BK704" s="50"/>
      <c r="BL704" s="50"/>
      <c r="BM704" s="50"/>
      <c r="BN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/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/>
      <c r="BE706" s="50"/>
      <c r="BF706" s="50"/>
      <c r="BG706" s="50"/>
      <c r="BH706" s="50"/>
      <c r="BI706" s="50"/>
      <c r="BJ706" s="50"/>
      <c r="BK706" s="50"/>
      <c r="BL706" s="50"/>
      <c r="BM706" s="50"/>
      <c r="BN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  <c r="AV708" s="50"/>
      <c r="AW708" s="50"/>
      <c r="AX708" s="50"/>
      <c r="AY708" s="50"/>
      <c r="AZ708" s="50"/>
      <c r="BA708" s="50"/>
      <c r="BB708" s="50"/>
      <c r="BC708" s="50"/>
      <c r="BD708" s="50"/>
      <c r="BE708" s="50"/>
      <c r="BF708" s="50"/>
      <c r="BG708" s="50"/>
      <c r="BH708" s="50"/>
      <c r="BI708" s="50"/>
      <c r="BJ708" s="50"/>
      <c r="BK708" s="50"/>
      <c r="BL708" s="50"/>
      <c r="BM708" s="50"/>
      <c r="BN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/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50"/>
      <c r="AC710" s="50"/>
      <c r="AD710" s="50"/>
      <c r="AE710" s="50"/>
      <c r="AF710" s="50"/>
      <c r="AG710" s="50"/>
      <c r="AH710" s="50"/>
      <c r="AI710" s="50"/>
      <c r="AJ710" s="50"/>
      <c r="AK710" s="50"/>
      <c r="AL710" s="50"/>
      <c r="AM710" s="50"/>
      <c r="AN710" s="50"/>
      <c r="AO710" s="50"/>
      <c r="AP710" s="50"/>
      <c r="AQ710" s="50"/>
      <c r="AR710" s="50"/>
      <c r="AS710" s="50"/>
      <c r="AT710" s="50"/>
      <c r="AU710" s="50"/>
      <c r="AV710" s="50"/>
      <c r="AW710" s="50"/>
      <c r="AX710" s="50"/>
      <c r="AY710" s="50"/>
      <c r="AZ710" s="50"/>
      <c r="BA710" s="50"/>
      <c r="BB710" s="50"/>
      <c r="BC710" s="50"/>
      <c r="BD710" s="50"/>
      <c r="BE710" s="50"/>
      <c r="BF710" s="50"/>
      <c r="BG710" s="50"/>
      <c r="BH710" s="50"/>
      <c r="BI710" s="50"/>
      <c r="BJ710" s="50"/>
      <c r="BK710" s="50"/>
      <c r="BL710" s="50"/>
      <c r="BM710" s="50"/>
      <c r="BN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50"/>
      <c r="AU711" s="50"/>
      <c r="AV711" s="50"/>
      <c r="AW711" s="50"/>
      <c r="AX711" s="50"/>
      <c r="AY711" s="50"/>
      <c r="AZ711" s="50"/>
      <c r="BA711" s="50"/>
      <c r="BB711" s="50"/>
      <c r="BC711" s="50"/>
      <c r="BD711" s="50"/>
      <c r="BE711" s="50"/>
      <c r="BF711" s="50"/>
      <c r="BG711" s="50"/>
      <c r="BH711" s="50"/>
      <c r="BI711" s="50"/>
      <c r="BJ711" s="50"/>
      <c r="BK711" s="50"/>
      <c r="BL711" s="50"/>
      <c r="BM711" s="50"/>
      <c r="BN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  <c r="AL712" s="50"/>
      <c r="AM712" s="50"/>
      <c r="AN712" s="50"/>
      <c r="AO712" s="50"/>
      <c r="AP712" s="50"/>
      <c r="AQ712" s="50"/>
      <c r="AR712" s="50"/>
      <c r="AS712" s="50"/>
      <c r="AT712" s="50"/>
      <c r="AU712" s="50"/>
      <c r="AV712" s="50"/>
      <c r="AW712" s="50"/>
      <c r="AX712" s="50"/>
      <c r="AY712" s="50"/>
      <c r="AZ712" s="50"/>
      <c r="BA712" s="50"/>
      <c r="BB712" s="50"/>
      <c r="BC712" s="50"/>
      <c r="BD712" s="50"/>
      <c r="BE712" s="50"/>
      <c r="BF712" s="50"/>
      <c r="BG712" s="50"/>
      <c r="BH712" s="50"/>
      <c r="BI712" s="50"/>
      <c r="BJ712" s="50"/>
      <c r="BK712" s="50"/>
      <c r="BL712" s="50"/>
      <c r="BM712" s="50"/>
      <c r="BN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/>
      <c r="AW713" s="50"/>
      <c r="AX713" s="50"/>
      <c r="AY713" s="50"/>
      <c r="AZ713" s="50"/>
      <c r="BA713" s="50"/>
      <c r="BB713" s="50"/>
      <c r="BC713" s="50"/>
      <c r="BD713" s="50"/>
      <c r="BE713" s="50"/>
      <c r="BF713" s="50"/>
      <c r="BG713" s="50"/>
      <c r="BH713" s="50"/>
      <c r="BI713" s="50"/>
      <c r="BJ713" s="50"/>
      <c r="BK713" s="50"/>
      <c r="BL713" s="50"/>
      <c r="BM713" s="50"/>
      <c r="BN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/>
      <c r="BE714" s="50"/>
      <c r="BF714" s="50"/>
      <c r="BG714" s="50"/>
      <c r="BH714" s="50"/>
      <c r="BI714" s="50"/>
      <c r="BJ714" s="50"/>
      <c r="BK714" s="50"/>
      <c r="BL714" s="50"/>
      <c r="BM714" s="50"/>
      <c r="BN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50"/>
      <c r="AU715" s="50"/>
      <c r="AV715" s="50"/>
      <c r="AW715" s="50"/>
      <c r="AX715" s="50"/>
      <c r="AY715" s="50"/>
      <c r="AZ715" s="50"/>
      <c r="BA715" s="50"/>
      <c r="BB715" s="50"/>
      <c r="BC715" s="50"/>
      <c r="BD715" s="50"/>
      <c r="BE715" s="50"/>
      <c r="BF715" s="50"/>
      <c r="BG715" s="50"/>
      <c r="BH715" s="50"/>
      <c r="BI715" s="50"/>
      <c r="BJ715" s="50"/>
      <c r="BK715" s="50"/>
      <c r="BL715" s="50"/>
      <c r="BM715" s="50"/>
      <c r="BN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0"/>
      <c r="BE716" s="50"/>
      <c r="BF716" s="50"/>
      <c r="BG716" s="50"/>
      <c r="BH716" s="50"/>
      <c r="BI716" s="50"/>
      <c r="BJ716" s="50"/>
      <c r="BK716" s="50"/>
      <c r="BL716" s="50"/>
      <c r="BM716" s="50"/>
      <c r="BN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  <c r="AV717" s="50"/>
      <c r="AW717" s="50"/>
      <c r="AX717" s="50"/>
      <c r="AY717" s="50"/>
      <c r="AZ717" s="50"/>
      <c r="BA717" s="50"/>
      <c r="BB717" s="50"/>
      <c r="BC717" s="50"/>
      <c r="BD717" s="50"/>
      <c r="BE717" s="50"/>
      <c r="BF717" s="50"/>
      <c r="BG717" s="50"/>
      <c r="BH717" s="50"/>
      <c r="BI717" s="50"/>
      <c r="BJ717" s="50"/>
      <c r="BK717" s="50"/>
      <c r="BL717" s="50"/>
      <c r="BM717" s="50"/>
      <c r="BN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/>
      <c r="BE718" s="50"/>
      <c r="BF718" s="50"/>
      <c r="BG718" s="50"/>
      <c r="BH718" s="50"/>
      <c r="BI718" s="50"/>
      <c r="BJ718" s="50"/>
      <c r="BK718" s="50"/>
      <c r="BL718" s="50"/>
      <c r="BM718" s="50"/>
      <c r="BN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50"/>
      <c r="AC719" s="50"/>
      <c r="AD719" s="50"/>
      <c r="AE719" s="50"/>
      <c r="AF719" s="50"/>
      <c r="AG719" s="50"/>
      <c r="AH719" s="50"/>
      <c r="AI719" s="50"/>
      <c r="AJ719" s="50"/>
      <c r="AK719" s="50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0"/>
      <c r="BE719" s="50"/>
      <c r="BF719" s="50"/>
      <c r="BG719" s="50"/>
      <c r="BH719" s="50"/>
      <c r="BI719" s="50"/>
      <c r="BJ719" s="50"/>
      <c r="BK719" s="50"/>
      <c r="BL719" s="50"/>
      <c r="BM719" s="50"/>
      <c r="BN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0"/>
      <c r="BE720" s="50"/>
      <c r="BF720" s="50"/>
      <c r="BG720" s="50"/>
      <c r="BH720" s="50"/>
      <c r="BI720" s="50"/>
      <c r="BJ720" s="50"/>
      <c r="BK720" s="50"/>
      <c r="BL720" s="50"/>
      <c r="BM720" s="50"/>
      <c r="BN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50"/>
      <c r="AC721" s="50"/>
      <c r="AD721" s="50"/>
      <c r="AE721" s="50"/>
      <c r="AF721" s="50"/>
      <c r="AG721" s="50"/>
      <c r="AH721" s="50"/>
      <c r="AI721" s="50"/>
      <c r="AJ721" s="50"/>
      <c r="AK721" s="50"/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0"/>
      <c r="BE721" s="50"/>
      <c r="BF721" s="50"/>
      <c r="BG721" s="50"/>
      <c r="BH721" s="50"/>
      <c r="BI721" s="50"/>
      <c r="BJ721" s="50"/>
      <c r="BK721" s="50"/>
      <c r="BL721" s="50"/>
      <c r="BM721" s="50"/>
      <c r="BN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0"/>
      <c r="BF722" s="50"/>
      <c r="BG722" s="50"/>
      <c r="BH722" s="50"/>
      <c r="BI722" s="50"/>
      <c r="BJ722" s="50"/>
      <c r="BK722" s="50"/>
      <c r="BL722" s="50"/>
      <c r="BM722" s="50"/>
      <c r="BN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50"/>
      <c r="AC723" s="50"/>
      <c r="AD723" s="50"/>
      <c r="AE723" s="50"/>
      <c r="AF723" s="50"/>
      <c r="AG723" s="50"/>
      <c r="AH723" s="50"/>
      <c r="AI723" s="50"/>
      <c r="AJ723" s="50"/>
      <c r="AK723" s="50"/>
      <c r="AL723" s="50"/>
      <c r="AM723" s="50"/>
      <c r="AN723" s="50"/>
      <c r="AO723" s="50"/>
      <c r="AP723" s="50"/>
      <c r="AQ723" s="50"/>
      <c r="AR723" s="50"/>
      <c r="AS723" s="50"/>
      <c r="AT723" s="50"/>
      <c r="AU723" s="50"/>
      <c r="AV723" s="50"/>
      <c r="AW723" s="50"/>
      <c r="AX723" s="50"/>
      <c r="AY723" s="50"/>
      <c r="AZ723" s="50"/>
      <c r="BA723" s="50"/>
      <c r="BB723" s="50"/>
      <c r="BC723" s="50"/>
      <c r="BD723" s="50"/>
      <c r="BE723" s="50"/>
      <c r="BF723" s="50"/>
      <c r="BG723" s="50"/>
      <c r="BH723" s="50"/>
      <c r="BI723" s="50"/>
      <c r="BJ723" s="50"/>
      <c r="BK723" s="50"/>
      <c r="BL723" s="50"/>
      <c r="BM723" s="50"/>
      <c r="BN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50"/>
      <c r="AC724" s="50"/>
      <c r="AD724" s="50"/>
      <c r="AE724" s="50"/>
      <c r="AF724" s="50"/>
      <c r="AG724" s="50"/>
      <c r="AH724" s="50"/>
      <c r="AI724" s="50"/>
      <c r="AJ724" s="50"/>
      <c r="AK724" s="50"/>
      <c r="AL724" s="50"/>
      <c r="AM724" s="50"/>
      <c r="AN724" s="50"/>
      <c r="AO724" s="50"/>
      <c r="AP724" s="50"/>
      <c r="AQ724" s="50"/>
      <c r="AR724" s="50"/>
      <c r="AS724" s="50"/>
      <c r="AT724" s="50"/>
      <c r="AU724" s="50"/>
      <c r="AV724" s="50"/>
      <c r="AW724" s="50"/>
      <c r="AX724" s="50"/>
      <c r="AY724" s="50"/>
      <c r="AZ724" s="50"/>
      <c r="BA724" s="50"/>
      <c r="BB724" s="50"/>
      <c r="BC724" s="50"/>
      <c r="BD724" s="50"/>
      <c r="BE724" s="50"/>
      <c r="BF724" s="50"/>
      <c r="BG724" s="50"/>
      <c r="BH724" s="50"/>
      <c r="BI724" s="50"/>
      <c r="BJ724" s="50"/>
      <c r="BK724" s="50"/>
      <c r="BL724" s="50"/>
      <c r="BM724" s="50"/>
      <c r="BN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50"/>
      <c r="AC725" s="50"/>
      <c r="AD725" s="50"/>
      <c r="AE725" s="50"/>
      <c r="AF725" s="50"/>
      <c r="AG725" s="50"/>
      <c r="AH725" s="50"/>
      <c r="AI725" s="50"/>
      <c r="AJ725" s="50"/>
      <c r="AK725" s="50"/>
      <c r="AL725" s="50"/>
      <c r="AM725" s="50"/>
      <c r="AN725" s="50"/>
      <c r="AO725" s="50"/>
      <c r="AP725" s="50"/>
      <c r="AQ725" s="50"/>
      <c r="AR725" s="50"/>
      <c r="AS725" s="50"/>
      <c r="AT725" s="50"/>
      <c r="AU725" s="50"/>
      <c r="AV725" s="50"/>
      <c r="AW725" s="50"/>
      <c r="AX725" s="50"/>
      <c r="AY725" s="50"/>
      <c r="AZ725" s="50"/>
      <c r="BA725" s="50"/>
      <c r="BB725" s="50"/>
      <c r="BC725" s="50"/>
      <c r="BD725" s="50"/>
      <c r="BE725" s="50"/>
      <c r="BF725" s="50"/>
      <c r="BG725" s="50"/>
      <c r="BH725" s="50"/>
      <c r="BI725" s="50"/>
      <c r="BJ725" s="50"/>
      <c r="BK725" s="50"/>
      <c r="BL725" s="50"/>
      <c r="BM725" s="50"/>
      <c r="BN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50"/>
      <c r="AC726" s="50"/>
      <c r="AD726" s="50"/>
      <c r="AE726" s="50"/>
      <c r="AF726" s="50"/>
      <c r="AG726" s="50"/>
      <c r="AH726" s="50"/>
      <c r="AI726" s="50"/>
      <c r="AJ726" s="50"/>
      <c r="AK726" s="50"/>
      <c r="AL726" s="50"/>
      <c r="AM726" s="50"/>
      <c r="AN726" s="50"/>
      <c r="AO726" s="50"/>
      <c r="AP726" s="50"/>
      <c r="AQ726" s="50"/>
      <c r="AR726" s="50"/>
      <c r="AS726" s="50"/>
      <c r="AT726" s="50"/>
      <c r="AU726" s="50"/>
      <c r="AV726" s="50"/>
      <c r="AW726" s="50"/>
      <c r="AX726" s="50"/>
      <c r="AY726" s="50"/>
      <c r="AZ726" s="50"/>
      <c r="BA726" s="50"/>
      <c r="BB726" s="50"/>
      <c r="BC726" s="50"/>
      <c r="BD726" s="50"/>
      <c r="BE726" s="50"/>
      <c r="BF726" s="50"/>
      <c r="BG726" s="50"/>
      <c r="BH726" s="50"/>
      <c r="BI726" s="50"/>
      <c r="BJ726" s="50"/>
      <c r="BK726" s="50"/>
      <c r="BL726" s="50"/>
      <c r="BM726" s="50"/>
      <c r="BN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/>
      <c r="AW727" s="50"/>
      <c r="AX727" s="50"/>
      <c r="AY727" s="50"/>
      <c r="AZ727" s="50"/>
      <c r="BA727" s="50"/>
      <c r="BB727" s="50"/>
      <c r="BC727" s="50"/>
      <c r="BD727" s="50"/>
      <c r="BE727" s="50"/>
      <c r="BF727" s="50"/>
      <c r="BG727" s="50"/>
      <c r="BH727" s="50"/>
      <c r="BI727" s="50"/>
      <c r="BJ727" s="50"/>
      <c r="BK727" s="50"/>
      <c r="BL727" s="50"/>
      <c r="BM727" s="50"/>
      <c r="BN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/>
      <c r="AW728" s="50"/>
      <c r="AX728" s="50"/>
      <c r="AY728" s="50"/>
      <c r="AZ728" s="50"/>
      <c r="BA728" s="50"/>
      <c r="BB728" s="50"/>
      <c r="BC728" s="50"/>
      <c r="BD728" s="50"/>
      <c r="BE728" s="50"/>
      <c r="BF728" s="50"/>
      <c r="BG728" s="50"/>
      <c r="BH728" s="50"/>
      <c r="BI728" s="50"/>
      <c r="BJ728" s="50"/>
      <c r="BK728" s="50"/>
      <c r="BL728" s="50"/>
      <c r="BM728" s="50"/>
      <c r="BN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0"/>
      <c r="BE729" s="50"/>
      <c r="BF729" s="50"/>
      <c r="BG729" s="50"/>
      <c r="BH729" s="50"/>
      <c r="BI729" s="50"/>
      <c r="BJ729" s="50"/>
      <c r="BK729" s="50"/>
      <c r="BL729" s="50"/>
      <c r="BM729" s="50"/>
      <c r="BN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50"/>
      <c r="BG730" s="50"/>
      <c r="BH730" s="50"/>
      <c r="BI730" s="50"/>
      <c r="BJ730" s="50"/>
      <c r="BK730" s="50"/>
      <c r="BL730" s="50"/>
      <c r="BM730" s="50"/>
      <c r="BN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  <c r="AV731" s="50"/>
      <c r="AW731" s="50"/>
      <c r="AX731" s="50"/>
      <c r="AY731" s="50"/>
      <c r="AZ731" s="50"/>
      <c r="BA731" s="50"/>
      <c r="BB731" s="50"/>
      <c r="BC731" s="50"/>
      <c r="BD731" s="50"/>
      <c r="BE731" s="50"/>
      <c r="BF731" s="50"/>
      <c r="BG731" s="50"/>
      <c r="BH731" s="50"/>
      <c r="BI731" s="50"/>
      <c r="BJ731" s="50"/>
      <c r="BK731" s="50"/>
      <c r="BL731" s="50"/>
      <c r="BM731" s="50"/>
      <c r="BN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/>
      <c r="AR732" s="50"/>
      <c r="AS732" s="50"/>
      <c r="AT732" s="50"/>
      <c r="AU732" s="50"/>
      <c r="AV732" s="50"/>
      <c r="AW732" s="50"/>
      <c r="AX732" s="50"/>
      <c r="AY732" s="50"/>
      <c r="AZ732" s="50"/>
      <c r="BA732" s="50"/>
      <c r="BB732" s="50"/>
      <c r="BC732" s="50"/>
      <c r="BD732" s="50"/>
      <c r="BE732" s="50"/>
      <c r="BF732" s="50"/>
      <c r="BG732" s="50"/>
      <c r="BH732" s="50"/>
      <c r="BI732" s="50"/>
      <c r="BJ732" s="50"/>
      <c r="BK732" s="50"/>
      <c r="BL732" s="50"/>
      <c r="BM732" s="50"/>
      <c r="BN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50"/>
      <c r="AC733" s="50"/>
      <c r="AD733" s="50"/>
      <c r="AE733" s="50"/>
      <c r="AF733" s="50"/>
      <c r="AG733" s="50"/>
      <c r="AH733" s="50"/>
      <c r="AI733" s="50"/>
      <c r="AJ733" s="50"/>
      <c r="AK733" s="50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  <c r="AV733" s="50"/>
      <c r="AW733" s="50"/>
      <c r="AX733" s="50"/>
      <c r="AY733" s="50"/>
      <c r="AZ733" s="50"/>
      <c r="BA733" s="50"/>
      <c r="BB733" s="50"/>
      <c r="BC733" s="50"/>
      <c r="BD733" s="50"/>
      <c r="BE733" s="50"/>
      <c r="BF733" s="50"/>
      <c r="BG733" s="50"/>
      <c r="BH733" s="50"/>
      <c r="BI733" s="50"/>
      <c r="BJ733" s="50"/>
      <c r="BK733" s="50"/>
      <c r="BL733" s="50"/>
      <c r="BM733" s="50"/>
      <c r="BN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/>
      <c r="AR734" s="50"/>
      <c r="AS734" s="50"/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0"/>
      <c r="BE734" s="50"/>
      <c r="BF734" s="50"/>
      <c r="BG734" s="50"/>
      <c r="BH734" s="50"/>
      <c r="BI734" s="50"/>
      <c r="BJ734" s="50"/>
      <c r="BK734" s="50"/>
      <c r="BL734" s="50"/>
      <c r="BM734" s="50"/>
      <c r="BN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50"/>
      <c r="AR735" s="50"/>
      <c r="AS735" s="50"/>
      <c r="AT735" s="50"/>
      <c r="AU735" s="50"/>
      <c r="AV735" s="50"/>
      <c r="AW735" s="50"/>
      <c r="AX735" s="50"/>
      <c r="AY735" s="50"/>
      <c r="AZ735" s="50"/>
      <c r="BA735" s="50"/>
      <c r="BB735" s="50"/>
      <c r="BC735" s="50"/>
      <c r="BD735" s="50"/>
      <c r="BE735" s="50"/>
      <c r="BF735" s="50"/>
      <c r="BG735" s="50"/>
      <c r="BH735" s="50"/>
      <c r="BI735" s="50"/>
      <c r="BJ735" s="50"/>
      <c r="BK735" s="50"/>
      <c r="BL735" s="50"/>
      <c r="BM735" s="50"/>
      <c r="BN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/>
      <c r="AW736" s="50"/>
      <c r="AX736" s="50"/>
      <c r="AY736" s="50"/>
      <c r="AZ736" s="50"/>
      <c r="BA736" s="50"/>
      <c r="BB736" s="50"/>
      <c r="BC736" s="50"/>
      <c r="BD736" s="50"/>
      <c r="BE736" s="50"/>
      <c r="BF736" s="50"/>
      <c r="BG736" s="50"/>
      <c r="BH736" s="50"/>
      <c r="BI736" s="50"/>
      <c r="BJ736" s="50"/>
      <c r="BK736" s="50"/>
      <c r="BL736" s="50"/>
      <c r="BM736" s="50"/>
      <c r="BN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0"/>
      <c r="BF737" s="50"/>
      <c r="BG737" s="50"/>
      <c r="BH737" s="50"/>
      <c r="BI737" s="50"/>
      <c r="BJ737" s="50"/>
      <c r="BK737" s="50"/>
      <c r="BL737" s="50"/>
      <c r="BM737" s="50"/>
      <c r="BN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  <c r="AL738" s="50"/>
      <c r="AM738" s="50"/>
      <c r="AN738" s="50"/>
      <c r="AO738" s="50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0"/>
      <c r="BE738" s="50"/>
      <c r="BF738" s="50"/>
      <c r="BG738" s="50"/>
      <c r="BH738" s="50"/>
      <c r="BI738" s="50"/>
      <c r="BJ738" s="50"/>
      <c r="BK738" s="50"/>
      <c r="BL738" s="50"/>
      <c r="BM738" s="50"/>
      <c r="BN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  <c r="AL739" s="50"/>
      <c r="AM739" s="50"/>
      <c r="AN739" s="50"/>
      <c r="AO739" s="50"/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/>
      <c r="BE739" s="50"/>
      <c r="BF739" s="50"/>
      <c r="BG739" s="50"/>
      <c r="BH739" s="50"/>
      <c r="BI739" s="50"/>
      <c r="BJ739" s="50"/>
      <c r="BK739" s="50"/>
      <c r="BL739" s="50"/>
      <c r="BM739" s="50"/>
      <c r="BN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0"/>
      <c r="BE740" s="50"/>
      <c r="BF740" s="50"/>
      <c r="BG740" s="50"/>
      <c r="BH740" s="50"/>
      <c r="BI740" s="50"/>
      <c r="BJ740" s="50"/>
      <c r="BK740" s="50"/>
      <c r="BL740" s="50"/>
      <c r="BM740" s="50"/>
      <c r="BN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/>
      <c r="BE741" s="50"/>
      <c r="BF741" s="50"/>
      <c r="BG741" s="50"/>
      <c r="BH741" s="50"/>
      <c r="BI741" s="50"/>
      <c r="BJ741" s="50"/>
      <c r="BK741" s="50"/>
      <c r="BL741" s="50"/>
      <c r="BM741" s="50"/>
      <c r="BN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0"/>
      <c r="BE742" s="50"/>
      <c r="BF742" s="50"/>
      <c r="BG742" s="50"/>
      <c r="BH742" s="50"/>
      <c r="BI742" s="50"/>
      <c r="BJ742" s="50"/>
      <c r="BK742" s="50"/>
      <c r="BL742" s="50"/>
      <c r="BM742" s="50"/>
      <c r="BN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0"/>
      <c r="BE743" s="50"/>
      <c r="BF743" s="50"/>
      <c r="BG743" s="50"/>
      <c r="BH743" s="50"/>
      <c r="BI743" s="50"/>
      <c r="BJ743" s="50"/>
      <c r="BK743" s="50"/>
      <c r="BL743" s="50"/>
      <c r="BM743" s="50"/>
      <c r="BN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/>
      <c r="BE744" s="50"/>
      <c r="BF744" s="50"/>
      <c r="BG744" s="50"/>
      <c r="BH744" s="50"/>
      <c r="BI744" s="50"/>
      <c r="BJ744" s="50"/>
      <c r="BK744" s="50"/>
      <c r="BL744" s="50"/>
      <c r="BM744" s="50"/>
      <c r="BN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/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50"/>
      <c r="AC746" s="50"/>
      <c r="AD746" s="50"/>
      <c r="AE746" s="50"/>
      <c r="AF746" s="50"/>
      <c r="AG746" s="50"/>
      <c r="AH746" s="50"/>
      <c r="AI746" s="50"/>
      <c r="AJ746" s="50"/>
      <c r="AK746" s="50"/>
      <c r="AL746" s="50"/>
      <c r="AM746" s="50"/>
      <c r="AN746" s="50"/>
      <c r="AO746" s="50"/>
      <c r="AP746" s="50"/>
      <c r="AQ746" s="50"/>
      <c r="AR746" s="50"/>
      <c r="AS746" s="50"/>
      <c r="AT746" s="50"/>
      <c r="AU746" s="50"/>
      <c r="AV746" s="50"/>
      <c r="AW746" s="50"/>
      <c r="AX746" s="50"/>
      <c r="AY746" s="50"/>
      <c r="AZ746" s="50"/>
      <c r="BA746" s="50"/>
      <c r="BB746" s="50"/>
      <c r="BC746" s="50"/>
      <c r="BD746" s="50"/>
      <c r="BE746" s="50"/>
      <c r="BF746" s="50"/>
      <c r="BG746" s="50"/>
      <c r="BH746" s="50"/>
      <c r="BI746" s="50"/>
      <c r="BJ746" s="50"/>
      <c r="BK746" s="50"/>
      <c r="BL746" s="50"/>
      <c r="BM746" s="50"/>
      <c r="BN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/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/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50"/>
      <c r="AR748" s="50"/>
      <c r="AS748" s="50"/>
      <c r="AT748" s="50"/>
      <c r="AU748" s="50"/>
      <c r="AV748" s="50"/>
      <c r="AW748" s="50"/>
      <c r="AX748" s="50"/>
      <c r="AY748" s="50"/>
      <c r="AZ748" s="50"/>
      <c r="BA748" s="50"/>
      <c r="BB748" s="50"/>
      <c r="BC748" s="50"/>
      <c r="BD748" s="50"/>
      <c r="BE748" s="50"/>
      <c r="BF748" s="50"/>
      <c r="BG748" s="50"/>
      <c r="BH748" s="50"/>
      <c r="BI748" s="50"/>
      <c r="BJ748" s="50"/>
      <c r="BK748" s="50"/>
      <c r="BL748" s="50"/>
      <c r="BM748" s="50"/>
      <c r="BN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/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50"/>
      <c r="BG750" s="50"/>
      <c r="BH750" s="50"/>
      <c r="BI750" s="50"/>
      <c r="BJ750" s="50"/>
      <c r="BK750" s="50"/>
      <c r="BL750" s="50"/>
      <c r="BM750" s="50"/>
      <c r="BN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/>
      <c r="BE751" s="50"/>
      <c r="BF751" s="50"/>
      <c r="BG751" s="50"/>
      <c r="BH751" s="50"/>
      <c r="BI751" s="50"/>
      <c r="BJ751" s="50"/>
      <c r="BK751" s="50"/>
      <c r="BL751" s="50"/>
      <c r="BM751" s="50"/>
      <c r="BN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0"/>
      <c r="BE752" s="50"/>
      <c r="BF752" s="50"/>
      <c r="BG752" s="50"/>
      <c r="BH752" s="50"/>
      <c r="BI752" s="50"/>
      <c r="BJ752" s="50"/>
      <c r="BK752" s="50"/>
      <c r="BL752" s="50"/>
      <c r="BM752" s="50"/>
      <c r="BN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/>
      <c r="BE753" s="50"/>
      <c r="BF753" s="50"/>
      <c r="BG753" s="50"/>
      <c r="BH753" s="50"/>
      <c r="BI753" s="50"/>
      <c r="BJ753" s="50"/>
      <c r="BK753" s="50"/>
      <c r="BL753" s="50"/>
      <c r="BM753" s="50"/>
      <c r="BN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0"/>
      <c r="BE754" s="50"/>
      <c r="BF754" s="50"/>
      <c r="BG754" s="50"/>
      <c r="BH754" s="50"/>
      <c r="BI754" s="50"/>
      <c r="BJ754" s="50"/>
      <c r="BK754" s="50"/>
      <c r="BL754" s="50"/>
      <c r="BM754" s="50"/>
      <c r="BN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0"/>
      <c r="BF755" s="50"/>
      <c r="BG755" s="50"/>
      <c r="BH755" s="50"/>
      <c r="BI755" s="50"/>
      <c r="BJ755" s="50"/>
      <c r="BK755" s="50"/>
      <c r="BL755" s="50"/>
      <c r="BM755" s="50"/>
      <c r="BN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/>
      <c r="BE756" s="50"/>
      <c r="BF756" s="50"/>
      <c r="BG756" s="50"/>
      <c r="BH756" s="50"/>
      <c r="BI756" s="50"/>
      <c r="BJ756" s="50"/>
      <c r="BK756" s="50"/>
      <c r="BL756" s="50"/>
      <c r="BM756" s="50"/>
      <c r="BN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  <c r="AL757" s="50"/>
      <c r="AM757" s="50"/>
      <c r="AN757" s="50"/>
      <c r="AO757" s="50"/>
      <c r="AP757" s="50"/>
      <c r="AQ757" s="50"/>
      <c r="AR757" s="50"/>
      <c r="AS757" s="50"/>
      <c r="AT757" s="50"/>
      <c r="AU757" s="50"/>
      <c r="AV757" s="50"/>
      <c r="AW757" s="50"/>
      <c r="AX757" s="50"/>
      <c r="AY757" s="50"/>
      <c r="AZ757" s="50"/>
      <c r="BA757" s="50"/>
      <c r="BB757" s="50"/>
      <c r="BC757" s="50"/>
      <c r="BD757" s="50"/>
      <c r="BE757" s="50"/>
      <c r="BF757" s="50"/>
      <c r="BG757" s="50"/>
      <c r="BH757" s="50"/>
      <c r="BI757" s="50"/>
      <c r="BJ757" s="50"/>
      <c r="BK757" s="50"/>
      <c r="BL757" s="50"/>
      <c r="BM757" s="50"/>
      <c r="BN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/>
      <c r="BE758" s="50"/>
      <c r="BF758" s="50"/>
      <c r="BG758" s="50"/>
      <c r="BH758" s="50"/>
      <c r="BI758" s="50"/>
      <c r="BJ758" s="50"/>
      <c r="BK758" s="50"/>
      <c r="BL758" s="50"/>
      <c r="BM758" s="50"/>
      <c r="BN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/>
      <c r="BE759" s="50"/>
      <c r="BF759" s="50"/>
      <c r="BG759" s="50"/>
      <c r="BH759" s="50"/>
      <c r="BI759" s="50"/>
      <c r="BJ759" s="50"/>
      <c r="BK759" s="50"/>
      <c r="BL759" s="50"/>
      <c r="BM759" s="50"/>
      <c r="BN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  <c r="AV760" s="50"/>
      <c r="AW760" s="50"/>
      <c r="AX760" s="50"/>
      <c r="AY760" s="50"/>
      <c r="AZ760" s="50"/>
      <c r="BA760" s="50"/>
      <c r="BB760" s="50"/>
      <c r="BC760" s="50"/>
      <c r="BD760" s="50"/>
      <c r="BE760" s="50"/>
      <c r="BF760" s="50"/>
      <c r="BG760" s="50"/>
      <c r="BH760" s="50"/>
      <c r="BI760" s="50"/>
      <c r="BJ760" s="50"/>
      <c r="BK760" s="50"/>
      <c r="BL760" s="50"/>
      <c r="BM760" s="50"/>
      <c r="BN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0"/>
      <c r="BE761" s="50"/>
      <c r="BF761" s="50"/>
      <c r="BG761" s="50"/>
      <c r="BH761" s="50"/>
      <c r="BI761" s="50"/>
      <c r="BJ761" s="50"/>
      <c r="BK761" s="50"/>
      <c r="BL761" s="50"/>
      <c r="BM761" s="50"/>
      <c r="BN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50"/>
      <c r="AC762" s="50"/>
      <c r="AD762" s="50"/>
      <c r="AE762" s="50"/>
      <c r="AF762" s="50"/>
      <c r="AG762" s="50"/>
      <c r="AH762" s="50"/>
      <c r="AI762" s="50"/>
      <c r="AJ762" s="50"/>
      <c r="AK762" s="50"/>
      <c r="AL762" s="50"/>
      <c r="AM762" s="50"/>
      <c r="AN762" s="50"/>
      <c r="AO762" s="50"/>
      <c r="AP762" s="50"/>
      <c r="AQ762" s="50"/>
      <c r="AR762" s="50"/>
      <c r="AS762" s="50"/>
      <c r="AT762" s="50"/>
      <c r="AU762" s="50"/>
      <c r="AV762" s="50"/>
      <c r="AW762" s="50"/>
      <c r="AX762" s="50"/>
      <c r="AY762" s="50"/>
      <c r="AZ762" s="50"/>
      <c r="BA762" s="50"/>
      <c r="BB762" s="50"/>
      <c r="BC762" s="50"/>
      <c r="BD762" s="50"/>
      <c r="BE762" s="50"/>
      <c r="BF762" s="50"/>
      <c r="BG762" s="50"/>
      <c r="BH762" s="50"/>
      <c r="BI762" s="50"/>
      <c r="BJ762" s="50"/>
      <c r="BK762" s="50"/>
      <c r="BL762" s="50"/>
      <c r="BM762" s="50"/>
      <c r="BN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50"/>
      <c r="AC763" s="50"/>
      <c r="AD763" s="50"/>
      <c r="AE763" s="50"/>
      <c r="AF763" s="50"/>
      <c r="AG763" s="50"/>
      <c r="AH763" s="50"/>
      <c r="AI763" s="50"/>
      <c r="AJ763" s="50"/>
      <c r="AK763" s="50"/>
      <c r="AL763" s="50"/>
      <c r="AM763" s="50"/>
      <c r="AN763" s="50"/>
      <c r="AO763" s="50"/>
      <c r="AP763" s="50"/>
      <c r="AQ763" s="50"/>
      <c r="AR763" s="50"/>
      <c r="AS763" s="50"/>
      <c r="AT763" s="50"/>
      <c r="AU763" s="50"/>
      <c r="AV763" s="50"/>
      <c r="AW763" s="50"/>
      <c r="AX763" s="50"/>
      <c r="AY763" s="50"/>
      <c r="AZ763" s="50"/>
      <c r="BA763" s="50"/>
      <c r="BB763" s="50"/>
      <c r="BC763" s="50"/>
      <c r="BD763" s="50"/>
      <c r="BE763" s="50"/>
      <c r="BF763" s="50"/>
      <c r="BG763" s="50"/>
      <c r="BH763" s="50"/>
      <c r="BI763" s="50"/>
      <c r="BJ763" s="50"/>
      <c r="BK763" s="50"/>
      <c r="BL763" s="50"/>
      <c r="BM763" s="50"/>
      <c r="BN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50"/>
      <c r="AC764" s="50"/>
      <c r="AD764" s="50"/>
      <c r="AE764" s="50"/>
      <c r="AF764" s="50"/>
      <c r="AG764" s="50"/>
      <c r="AH764" s="50"/>
      <c r="AI764" s="50"/>
      <c r="AJ764" s="50"/>
      <c r="AK764" s="50"/>
      <c r="AL764" s="50"/>
      <c r="AM764" s="50"/>
      <c r="AN764" s="50"/>
      <c r="AO764" s="50"/>
      <c r="AP764" s="50"/>
      <c r="AQ764" s="50"/>
      <c r="AR764" s="50"/>
      <c r="AS764" s="50"/>
      <c r="AT764" s="50"/>
      <c r="AU764" s="50"/>
      <c r="AV764" s="50"/>
      <c r="AW764" s="50"/>
      <c r="AX764" s="50"/>
      <c r="AY764" s="50"/>
      <c r="AZ764" s="50"/>
      <c r="BA764" s="50"/>
      <c r="BB764" s="50"/>
      <c r="BC764" s="50"/>
      <c r="BD764" s="50"/>
      <c r="BE764" s="50"/>
      <c r="BF764" s="50"/>
      <c r="BG764" s="50"/>
      <c r="BH764" s="50"/>
      <c r="BI764" s="50"/>
      <c r="BJ764" s="50"/>
      <c r="BK764" s="50"/>
      <c r="BL764" s="50"/>
      <c r="BM764" s="50"/>
      <c r="BN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/>
      <c r="BE765" s="50"/>
      <c r="BF765" s="50"/>
      <c r="BG765" s="50"/>
      <c r="BH765" s="50"/>
      <c r="BI765" s="50"/>
      <c r="BJ765" s="50"/>
      <c r="BK765" s="50"/>
      <c r="BL765" s="50"/>
      <c r="BM765" s="50"/>
      <c r="BN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0"/>
      <c r="BE766" s="50"/>
      <c r="BF766" s="50"/>
      <c r="BG766" s="50"/>
      <c r="BH766" s="50"/>
      <c r="BI766" s="50"/>
      <c r="BJ766" s="50"/>
      <c r="BK766" s="50"/>
      <c r="BL766" s="50"/>
      <c r="BM766" s="50"/>
      <c r="BN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/>
      <c r="BE767" s="50"/>
      <c r="BF767" s="50"/>
      <c r="BG767" s="50"/>
      <c r="BH767" s="50"/>
      <c r="BI767" s="50"/>
      <c r="BJ767" s="50"/>
      <c r="BK767" s="50"/>
      <c r="BL767" s="50"/>
      <c r="BM767" s="50"/>
      <c r="BN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/>
      <c r="BE768" s="50"/>
      <c r="BF768" s="50"/>
      <c r="BG768" s="50"/>
      <c r="BH768" s="50"/>
      <c r="BI768" s="50"/>
      <c r="BJ768" s="50"/>
      <c r="BK768" s="50"/>
      <c r="BL768" s="50"/>
      <c r="BM768" s="50"/>
      <c r="BN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/>
      <c r="AW769" s="50"/>
      <c r="AX769" s="50"/>
      <c r="AY769" s="50"/>
      <c r="AZ769" s="50"/>
      <c r="BA769" s="50"/>
      <c r="BB769" s="50"/>
      <c r="BC769" s="50"/>
      <c r="BD769" s="50"/>
      <c r="BE769" s="50"/>
      <c r="BF769" s="50"/>
      <c r="BG769" s="50"/>
      <c r="BH769" s="50"/>
      <c r="BI769" s="50"/>
      <c r="BJ769" s="50"/>
      <c r="BK769" s="50"/>
      <c r="BL769" s="50"/>
      <c r="BM769" s="50"/>
      <c r="BN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/>
      <c r="BE770" s="50"/>
      <c r="BF770" s="50"/>
      <c r="BG770" s="50"/>
      <c r="BH770" s="50"/>
      <c r="BI770" s="50"/>
      <c r="BJ770" s="50"/>
      <c r="BK770" s="50"/>
      <c r="BL770" s="50"/>
      <c r="BM770" s="50"/>
      <c r="BN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/>
      <c r="AW771" s="50"/>
      <c r="AX771" s="50"/>
      <c r="AY771" s="50"/>
      <c r="AZ771" s="50"/>
      <c r="BA771" s="50"/>
      <c r="BB771" s="50"/>
      <c r="BC771" s="50"/>
      <c r="BD771" s="50"/>
      <c r="BE771" s="50"/>
      <c r="BF771" s="50"/>
      <c r="BG771" s="50"/>
      <c r="BH771" s="50"/>
      <c r="BI771" s="50"/>
      <c r="BJ771" s="50"/>
      <c r="BK771" s="50"/>
      <c r="BL771" s="50"/>
      <c r="BM771" s="50"/>
      <c r="BN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50"/>
      <c r="AC772" s="50"/>
      <c r="AD772" s="50"/>
      <c r="AE772" s="50"/>
      <c r="AF772" s="50"/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50"/>
      <c r="AR772" s="50"/>
      <c r="AS772" s="50"/>
      <c r="AT772" s="50"/>
      <c r="AU772" s="50"/>
      <c r="AV772" s="50"/>
      <c r="AW772" s="50"/>
      <c r="AX772" s="50"/>
      <c r="AY772" s="50"/>
      <c r="AZ772" s="50"/>
      <c r="BA772" s="50"/>
      <c r="BB772" s="50"/>
      <c r="BC772" s="50"/>
      <c r="BD772" s="50"/>
      <c r="BE772" s="50"/>
      <c r="BF772" s="50"/>
      <c r="BG772" s="50"/>
      <c r="BH772" s="50"/>
      <c r="BI772" s="50"/>
      <c r="BJ772" s="50"/>
      <c r="BK772" s="50"/>
      <c r="BL772" s="50"/>
      <c r="BM772" s="50"/>
      <c r="BN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  <c r="AV773" s="50"/>
      <c r="AW773" s="50"/>
      <c r="AX773" s="50"/>
      <c r="AY773" s="50"/>
      <c r="AZ773" s="50"/>
      <c r="BA773" s="50"/>
      <c r="BB773" s="50"/>
      <c r="BC773" s="50"/>
      <c r="BD773" s="50"/>
      <c r="BE773" s="50"/>
      <c r="BF773" s="50"/>
      <c r="BG773" s="50"/>
      <c r="BH773" s="50"/>
      <c r="BI773" s="50"/>
      <c r="BJ773" s="50"/>
      <c r="BK773" s="50"/>
      <c r="BL773" s="50"/>
      <c r="BM773" s="50"/>
      <c r="BN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50"/>
      <c r="AC774" s="50"/>
      <c r="AD774" s="50"/>
      <c r="AE774" s="50"/>
      <c r="AF774" s="50"/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0"/>
      <c r="BE774" s="50"/>
      <c r="BF774" s="50"/>
      <c r="BG774" s="50"/>
      <c r="BH774" s="50"/>
      <c r="BI774" s="50"/>
      <c r="BJ774" s="50"/>
      <c r="BK774" s="50"/>
      <c r="BL774" s="50"/>
      <c r="BM774" s="50"/>
      <c r="BN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/>
      <c r="BE775" s="50"/>
      <c r="BF775" s="50"/>
      <c r="BG775" s="50"/>
      <c r="BH775" s="50"/>
      <c r="BI775" s="50"/>
      <c r="BJ775" s="50"/>
      <c r="BK775" s="50"/>
      <c r="BL775" s="50"/>
      <c r="BM775" s="50"/>
      <c r="BN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0"/>
      <c r="BE776" s="50"/>
      <c r="BF776" s="50"/>
      <c r="BG776" s="50"/>
      <c r="BH776" s="50"/>
      <c r="BI776" s="50"/>
      <c r="BJ776" s="50"/>
      <c r="BK776" s="50"/>
      <c r="BL776" s="50"/>
      <c r="BM776" s="50"/>
      <c r="BN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/>
      <c r="BE777" s="50"/>
      <c r="BF777" s="50"/>
      <c r="BG777" s="50"/>
      <c r="BH777" s="50"/>
      <c r="BI777" s="50"/>
      <c r="BJ777" s="50"/>
      <c r="BK777" s="50"/>
      <c r="BL777" s="50"/>
      <c r="BM777" s="50"/>
      <c r="BN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50"/>
      <c r="BG778" s="50"/>
      <c r="BH778" s="50"/>
      <c r="BI778" s="50"/>
      <c r="BJ778" s="50"/>
      <c r="BK778" s="50"/>
      <c r="BL778" s="50"/>
      <c r="BM778" s="50"/>
      <c r="BN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0"/>
      <c r="BF779" s="50"/>
      <c r="BG779" s="50"/>
      <c r="BH779" s="50"/>
      <c r="BI779" s="50"/>
      <c r="BJ779" s="50"/>
      <c r="BK779" s="50"/>
      <c r="BL779" s="50"/>
      <c r="BM779" s="50"/>
      <c r="BN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50"/>
      <c r="AR780" s="50"/>
      <c r="AS780" s="50"/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/>
      <c r="BE780" s="50"/>
      <c r="BF780" s="50"/>
      <c r="BG780" s="50"/>
      <c r="BH780" s="50"/>
      <c r="BI780" s="50"/>
      <c r="BJ780" s="50"/>
      <c r="BK780" s="50"/>
      <c r="BL780" s="50"/>
      <c r="BM780" s="50"/>
      <c r="BN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50"/>
      <c r="AU781" s="50"/>
      <c r="AV781" s="50"/>
      <c r="AW781" s="50"/>
      <c r="AX781" s="50"/>
      <c r="AY781" s="50"/>
      <c r="AZ781" s="50"/>
      <c r="BA781" s="50"/>
      <c r="BB781" s="50"/>
      <c r="BC781" s="50"/>
      <c r="BD781" s="50"/>
      <c r="BE781" s="50"/>
      <c r="BF781" s="50"/>
      <c r="BG781" s="50"/>
      <c r="BH781" s="50"/>
      <c r="BI781" s="50"/>
      <c r="BJ781" s="50"/>
      <c r="BK781" s="50"/>
      <c r="BL781" s="50"/>
      <c r="BM781" s="50"/>
      <c r="BN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50"/>
      <c r="BG782" s="50"/>
      <c r="BH782" s="50"/>
      <c r="BI782" s="50"/>
      <c r="BJ782" s="50"/>
      <c r="BK782" s="50"/>
      <c r="BL782" s="50"/>
      <c r="BM782" s="50"/>
      <c r="BN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50"/>
      <c r="AU783" s="50"/>
      <c r="AV783" s="50"/>
      <c r="AW783" s="50"/>
      <c r="AX783" s="50"/>
      <c r="AY783" s="50"/>
      <c r="AZ783" s="50"/>
      <c r="BA783" s="50"/>
      <c r="BB783" s="50"/>
      <c r="BC783" s="50"/>
      <c r="BD783" s="50"/>
      <c r="BE783" s="50"/>
      <c r="BF783" s="50"/>
      <c r="BG783" s="50"/>
      <c r="BH783" s="50"/>
      <c r="BI783" s="50"/>
      <c r="BJ783" s="50"/>
      <c r="BK783" s="50"/>
      <c r="BL783" s="50"/>
      <c r="BM783" s="50"/>
      <c r="BN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50"/>
      <c r="AR784" s="50"/>
      <c r="AS784" s="50"/>
      <c r="AT784" s="50"/>
      <c r="AU784" s="50"/>
      <c r="AV784" s="50"/>
      <c r="AW784" s="50"/>
      <c r="AX784" s="50"/>
      <c r="AY784" s="50"/>
      <c r="AZ784" s="50"/>
      <c r="BA784" s="50"/>
      <c r="BB784" s="50"/>
      <c r="BC784" s="50"/>
      <c r="BD784" s="50"/>
      <c r="BE784" s="50"/>
      <c r="BF784" s="50"/>
      <c r="BG784" s="50"/>
      <c r="BH784" s="50"/>
      <c r="BI784" s="50"/>
      <c r="BJ784" s="50"/>
      <c r="BK784" s="50"/>
      <c r="BL784" s="50"/>
      <c r="BM784" s="50"/>
      <c r="BN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/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50"/>
      <c r="BG786" s="50"/>
      <c r="BH786" s="50"/>
      <c r="BI786" s="50"/>
      <c r="BJ786" s="50"/>
      <c r="BK786" s="50"/>
      <c r="BL786" s="50"/>
      <c r="BM786" s="50"/>
      <c r="BN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/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50"/>
      <c r="BN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/>
      <c r="BE788" s="50"/>
      <c r="BF788" s="50"/>
      <c r="BG788" s="50"/>
      <c r="BH788" s="50"/>
      <c r="BI788" s="50"/>
      <c r="BJ788" s="50"/>
      <c r="BK788" s="50"/>
      <c r="BL788" s="50"/>
      <c r="BM788" s="50"/>
      <c r="BN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/>
      <c r="AR790" s="50"/>
      <c r="AS790" s="50"/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0"/>
      <c r="BE790" s="50"/>
      <c r="BF790" s="50"/>
      <c r="BG790" s="50"/>
      <c r="BH790" s="50"/>
      <c r="BI790" s="50"/>
      <c r="BJ790" s="50"/>
      <c r="BK790" s="50"/>
      <c r="BL790" s="50"/>
      <c r="BM790" s="50"/>
      <c r="BN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0"/>
      <c r="BE791" s="50"/>
      <c r="BF791" s="50"/>
      <c r="BG791" s="50"/>
      <c r="BH791" s="50"/>
      <c r="BI791" s="50"/>
      <c r="BJ791" s="50"/>
      <c r="BK791" s="50"/>
      <c r="BL791" s="50"/>
      <c r="BM791" s="50"/>
      <c r="BN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/>
      <c r="AW792" s="50"/>
      <c r="AX792" s="50"/>
      <c r="AY792" s="50"/>
      <c r="AZ792" s="50"/>
      <c r="BA792" s="50"/>
      <c r="BB792" s="50"/>
      <c r="BC792" s="50"/>
      <c r="BD792" s="50"/>
      <c r="BE792" s="50"/>
      <c r="BF792" s="50"/>
      <c r="BG792" s="50"/>
      <c r="BH792" s="50"/>
      <c r="BI792" s="50"/>
      <c r="BJ792" s="50"/>
      <c r="BK792" s="50"/>
      <c r="BL792" s="50"/>
      <c r="BM792" s="50"/>
      <c r="BN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/>
      <c r="BE793" s="50"/>
      <c r="BF793" s="50"/>
      <c r="BG793" s="50"/>
      <c r="BH793" s="50"/>
      <c r="BI793" s="50"/>
      <c r="BJ793" s="50"/>
      <c r="BK793" s="50"/>
      <c r="BL793" s="50"/>
      <c r="BM793" s="50"/>
      <c r="BN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50"/>
      <c r="BG794" s="50"/>
      <c r="BH794" s="50"/>
      <c r="BI794" s="50"/>
      <c r="BJ794" s="50"/>
      <c r="BK794" s="50"/>
      <c r="BL794" s="50"/>
      <c r="BM794" s="50"/>
      <c r="BN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50"/>
      <c r="AU795" s="50"/>
      <c r="AV795" s="50"/>
      <c r="AW795" s="50"/>
      <c r="AX795" s="50"/>
      <c r="AY795" s="50"/>
      <c r="AZ795" s="50"/>
      <c r="BA795" s="50"/>
      <c r="BB795" s="50"/>
      <c r="BC795" s="50"/>
      <c r="BD795" s="50"/>
      <c r="BE795" s="50"/>
      <c r="BF795" s="50"/>
      <c r="BG795" s="50"/>
      <c r="BH795" s="50"/>
      <c r="BI795" s="50"/>
      <c r="BJ795" s="50"/>
      <c r="BK795" s="50"/>
      <c r="BL795" s="50"/>
      <c r="BM795" s="50"/>
      <c r="BN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50"/>
      <c r="AC796" s="50"/>
      <c r="AD796" s="50"/>
      <c r="AE796" s="50"/>
      <c r="AF796" s="50"/>
      <c r="AG796" s="50"/>
      <c r="AH796" s="50"/>
      <c r="AI796" s="50"/>
      <c r="AJ796" s="50"/>
      <c r="AK796" s="50"/>
      <c r="AL796" s="50"/>
      <c r="AM796" s="50"/>
      <c r="AN796" s="50"/>
      <c r="AO796" s="50"/>
      <c r="AP796" s="50"/>
      <c r="AQ796" s="50"/>
      <c r="AR796" s="50"/>
      <c r="AS796" s="50"/>
      <c r="AT796" s="50"/>
      <c r="AU796" s="50"/>
      <c r="AV796" s="50"/>
      <c r="AW796" s="50"/>
      <c r="AX796" s="50"/>
      <c r="AY796" s="50"/>
      <c r="AZ796" s="50"/>
      <c r="BA796" s="50"/>
      <c r="BB796" s="50"/>
      <c r="BC796" s="50"/>
      <c r="BD796" s="50"/>
      <c r="BE796" s="50"/>
      <c r="BF796" s="50"/>
      <c r="BG796" s="50"/>
      <c r="BH796" s="50"/>
      <c r="BI796" s="50"/>
      <c r="BJ796" s="50"/>
      <c r="BK796" s="50"/>
      <c r="BL796" s="50"/>
      <c r="BM796" s="50"/>
      <c r="BN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50"/>
      <c r="AU797" s="50"/>
      <c r="AV797" s="50"/>
      <c r="AW797" s="50"/>
      <c r="AX797" s="50"/>
      <c r="AY797" s="50"/>
      <c r="AZ797" s="50"/>
      <c r="BA797" s="50"/>
      <c r="BB797" s="50"/>
      <c r="BC797" s="50"/>
      <c r="BD797" s="50"/>
      <c r="BE797" s="50"/>
      <c r="BF797" s="50"/>
      <c r="BG797" s="50"/>
      <c r="BH797" s="50"/>
      <c r="BI797" s="50"/>
      <c r="BJ797" s="50"/>
      <c r="BK797" s="50"/>
      <c r="BL797" s="50"/>
      <c r="BM797" s="50"/>
      <c r="BN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0"/>
      <c r="BE798" s="50"/>
      <c r="BF798" s="50"/>
      <c r="BG798" s="50"/>
      <c r="BH798" s="50"/>
      <c r="BI798" s="50"/>
      <c r="BJ798" s="50"/>
      <c r="BK798" s="50"/>
      <c r="BL798" s="50"/>
      <c r="BM798" s="50"/>
      <c r="BN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/>
      <c r="BE799" s="50"/>
      <c r="BF799" s="50"/>
      <c r="BG799" s="50"/>
      <c r="BH799" s="50"/>
      <c r="BI799" s="50"/>
      <c r="BJ799" s="50"/>
      <c r="BK799" s="50"/>
      <c r="BL799" s="50"/>
      <c r="BM799" s="50"/>
      <c r="BN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0"/>
      <c r="BF800" s="50"/>
      <c r="BG800" s="50"/>
      <c r="BH800" s="50"/>
      <c r="BI800" s="50"/>
      <c r="BJ800" s="50"/>
      <c r="BK800" s="50"/>
      <c r="BL800" s="50"/>
      <c r="BM800" s="50"/>
      <c r="BN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50"/>
      <c r="AU801" s="50"/>
      <c r="AV801" s="50"/>
      <c r="AW801" s="50"/>
      <c r="AX801" s="50"/>
      <c r="AY801" s="50"/>
      <c r="AZ801" s="50"/>
      <c r="BA801" s="50"/>
      <c r="BB801" s="50"/>
      <c r="BC801" s="50"/>
      <c r="BD801" s="50"/>
      <c r="BE801" s="50"/>
      <c r="BF801" s="50"/>
      <c r="BG801" s="50"/>
      <c r="BH801" s="50"/>
      <c r="BI801" s="50"/>
      <c r="BJ801" s="50"/>
      <c r="BK801" s="50"/>
      <c r="BL801" s="50"/>
      <c r="BM801" s="50"/>
      <c r="BN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/>
      <c r="AR802" s="50"/>
      <c r="AS802" s="50"/>
      <c r="AT802" s="50"/>
      <c r="AU802" s="50"/>
      <c r="AV802" s="50"/>
      <c r="AW802" s="50"/>
      <c r="AX802" s="50"/>
      <c r="AY802" s="50"/>
      <c r="AZ802" s="50"/>
      <c r="BA802" s="50"/>
      <c r="BB802" s="50"/>
      <c r="BC802" s="50"/>
      <c r="BD802" s="50"/>
      <c r="BE802" s="50"/>
      <c r="BF802" s="50"/>
      <c r="BG802" s="50"/>
      <c r="BH802" s="50"/>
      <c r="BI802" s="50"/>
      <c r="BJ802" s="50"/>
      <c r="BK802" s="50"/>
      <c r="BL802" s="50"/>
      <c r="BM802" s="50"/>
      <c r="BN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50"/>
      <c r="AU803" s="50"/>
      <c r="AV803" s="50"/>
      <c r="AW803" s="50"/>
      <c r="AX803" s="50"/>
      <c r="AY803" s="50"/>
      <c r="AZ803" s="50"/>
      <c r="BA803" s="50"/>
      <c r="BB803" s="50"/>
      <c r="BC803" s="50"/>
      <c r="BD803" s="50"/>
      <c r="BE803" s="50"/>
      <c r="BF803" s="50"/>
      <c r="BG803" s="50"/>
      <c r="BH803" s="50"/>
      <c r="BI803" s="50"/>
      <c r="BJ803" s="50"/>
      <c r="BK803" s="50"/>
      <c r="BL803" s="50"/>
      <c r="BM803" s="50"/>
      <c r="BN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  <c r="AL804" s="50"/>
      <c r="AM804" s="50"/>
      <c r="AN804" s="50"/>
      <c r="AO804" s="50"/>
      <c r="AP804" s="50"/>
      <c r="AQ804" s="50"/>
      <c r="AR804" s="50"/>
      <c r="AS804" s="50"/>
      <c r="AT804" s="50"/>
      <c r="AU804" s="50"/>
      <c r="AV804" s="50"/>
      <c r="AW804" s="50"/>
      <c r="AX804" s="50"/>
      <c r="AY804" s="50"/>
      <c r="AZ804" s="50"/>
      <c r="BA804" s="50"/>
      <c r="BB804" s="50"/>
      <c r="BC804" s="50"/>
      <c r="BD804" s="50"/>
      <c r="BE804" s="50"/>
      <c r="BF804" s="50"/>
      <c r="BG804" s="50"/>
      <c r="BH804" s="50"/>
      <c r="BI804" s="50"/>
      <c r="BJ804" s="50"/>
      <c r="BK804" s="50"/>
      <c r="BL804" s="50"/>
      <c r="BM804" s="50"/>
      <c r="BN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50"/>
      <c r="AU805" s="50"/>
      <c r="AV805" s="50"/>
      <c r="AW805" s="50"/>
      <c r="AX805" s="50"/>
      <c r="AY805" s="50"/>
      <c r="AZ805" s="50"/>
      <c r="BA805" s="50"/>
      <c r="BB805" s="50"/>
      <c r="BC805" s="50"/>
      <c r="BD805" s="50"/>
      <c r="BE805" s="50"/>
      <c r="BF805" s="50"/>
      <c r="BG805" s="50"/>
      <c r="BH805" s="50"/>
      <c r="BI805" s="50"/>
      <c r="BJ805" s="50"/>
      <c r="BK805" s="50"/>
      <c r="BL805" s="50"/>
      <c r="BM805" s="50"/>
      <c r="BN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50"/>
      <c r="AR806" s="50"/>
      <c r="AS806" s="50"/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0"/>
      <c r="BE806" s="50"/>
      <c r="BF806" s="50"/>
      <c r="BG806" s="50"/>
      <c r="BH806" s="50"/>
      <c r="BI806" s="50"/>
      <c r="BJ806" s="50"/>
      <c r="BK806" s="50"/>
      <c r="BL806" s="50"/>
      <c r="BM806" s="50"/>
      <c r="BN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0"/>
      <c r="BE807" s="50"/>
      <c r="BF807" s="50"/>
      <c r="BG807" s="50"/>
      <c r="BH807" s="50"/>
      <c r="BI807" s="50"/>
      <c r="BJ807" s="50"/>
      <c r="BK807" s="50"/>
      <c r="BL807" s="50"/>
      <c r="BM807" s="50"/>
      <c r="BN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50"/>
      <c r="AR808" s="50"/>
      <c r="AS808" s="50"/>
      <c r="AT808" s="50"/>
      <c r="AU808" s="50"/>
      <c r="AV808" s="50"/>
      <c r="AW808" s="50"/>
      <c r="AX808" s="50"/>
      <c r="AY808" s="50"/>
      <c r="AZ808" s="50"/>
      <c r="BA808" s="50"/>
      <c r="BB808" s="50"/>
      <c r="BC808" s="50"/>
      <c r="BD808" s="50"/>
      <c r="BE808" s="50"/>
      <c r="BF808" s="50"/>
      <c r="BG808" s="50"/>
      <c r="BH808" s="50"/>
      <c r="BI808" s="50"/>
      <c r="BJ808" s="50"/>
      <c r="BK808" s="50"/>
      <c r="BL808" s="50"/>
      <c r="BM808" s="50"/>
      <c r="BN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0"/>
      <c r="BE809" s="50"/>
      <c r="BF809" s="50"/>
      <c r="BG809" s="50"/>
      <c r="BH809" s="50"/>
      <c r="BI809" s="50"/>
      <c r="BJ809" s="50"/>
      <c r="BK809" s="50"/>
      <c r="BL809" s="50"/>
      <c r="BM809" s="50"/>
      <c r="BN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  <c r="AL810" s="50"/>
      <c r="AM810" s="50"/>
      <c r="AN810" s="50"/>
      <c r="AO810" s="50"/>
      <c r="AP810" s="50"/>
      <c r="AQ810" s="50"/>
      <c r="AR810" s="50"/>
      <c r="AS810" s="50"/>
      <c r="AT810" s="50"/>
      <c r="AU810" s="50"/>
      <c r="AV810" s="50"/>
      <c r="AW810" s="50"/>
      <c r="AX810" s="50"/>
      <c r="AY810" s="50"/>
      <c r="AZ810" s="50"/>
      <c r="BA810" s="50"/>
      <c r="BB810" s="50"/>
      <c r="BC810" s="50"/>
      <c r="BD810" s="50"/>
      <c r="BE810" s="50"/>
      <c r="BF810" s="50"/>
      <c r="BG810" s="50"/>
      <c r="BH810" s="50"/>
      <c r="BI810" s="50"/>
      <c r="BJ810" s="50"/>
      <c r="BK810" s="50"/>
      <c r="BL810" s="50"/>
      <c r="BM810" s="50"/>
      <c r="BN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  <c r="AV811" s="50"/>
      <c r="AW811" s="50"/>
      <c r="AX811" s="50"/>
      <c r="AY811" s="50"/>
      <c r="AZ811" s="50"/>
      <c r="BA811" s="50"/>
      <c r="BB811" s="50"/>
      <c r="BC811" s="50"/>
      <c r="BD811" s="50"/>
      <c r="BE811" s="50"/>
      <c r="BF811" s="50"/>
      <c r="BG811" s="50"/>
      <c r="BH811" s="50"/>
      <c r="BI811" s="50"/>
      <c r="BJ811" s="50"/>
      <c r="BK811" s="50"/>
      <c r="BL811" s="50"/>
      <c r="BM811" s="50"/>
      <c r="BN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  <c r="AL812" s="50"/>
      <c r="AM812" s="50"/>
      <c r="AN812" s="50"/>
      <c r="AO812" s="50"/>
      <c r="AP812" s="50"/>
      <c r="AQ812" s="50"/>
      <c r="AR812" s="50"/>
      <c r="AS812" s="50"/>
      <c r="AT812" s="50"/>
      <c r="AU812" s="50"/>
      <c r="AV812" s="50"/>
      <c r="AW812" s="50"/>
      <c r="AX812" s="50"/>
      <c r="AY812" s="50"/>
      <c r="AZ812" s="50"/>
      <c r="BA812" s="50"/>
      <c r="BB812" s="50"/>
      <c r="BC812" s="50"/>
      <c r="BD812" s="50"/>
      <c r="BE812" s="50"/>
      <c r="BF812" s="50"/>
      <c r="BG812" s="50"/>
      <c r="BH812" s="50"/>
      <c r="BI812" s="50"/>
      <c r="BJ812" s="50"/>
      <c r="BK812" s="50"/>
      <c r="BL812" s="50"/>
      <c r="BM812" s="50"/>
      <c r="BN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50"/>
      <c r="AU813" s="50"/>
      <c r="AV813" s="50"/>
      <c r="AW813" s="50"/>
      <c r="AX813" s="50"/>
      <c r="AY813" s="50"/>
      <c r="AZ813" s="50"/>
      <c r="BA813" s="50"/>
      <c r="BB813" s="50"/>
      <c r="BC813" s="50"/>
      <c r="BD813" s="50"/>
      <c r="BE813" s="50"/>
      <c r="BF813" s="50"/>
      <c r="BG813" s="50"/>
      <c r="BH813" s="50"/>
      <c r="BI813" s="50"/>
      <c r="BJ813" s="50"/>
      <c r="BK813" s="50"/>
      <c r="BL813" s="50"/>
      <c r="BM813" s="50"/>
      <c r="BN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  <c r="AL814" s="50"/>
      <c r="AM814" s="50"/>
      <c r="AN814" s="50"/>
      <c r="AO814" s="50"/>
      <c r="AP814" s="50"/>
      <c r="AQ814" s="50"/>
      <c r="AR814" s="50"/>
      <c r="AS814" s="50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/>
      <c r="BE814" s="50"/>
      <c r="BF814" s="50"/>
      <c r="BG814" s="50"/>
      <c r="BH814" s="50"/>
      <c r="BI814" s="50"/>
      <c r="BJ814" s="50"/>
      <c r="BK814" s="50"/>
      <c r="BL814" s="50"/>
      <c r="BM814" s="50"/>
      <c r="BN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50"/>
      <c r="AU815" s="50"/>
      <c r="AV815" s="50"/>
      <c r="AW815" s="50"/>
      <c r="AX815" s="50"/>
      <c r="AY815" s="50"/>
      <c r="AZ815" s="50"/>
      <c r="BA815" s="50"/>
      <c r="BB815" s="50"/>
      <c r="BC815" s="50"/>
      <c r="BD815" s="50"/>
      <c r="BE815" s="50"/>
      <c r="BF815" s="50"/>
      <c r="BG815" s="50"/>
      <c r="BH815" s="50"/>
      <c r="BI815" s="50"/>
      <c r="BJ815" s="50"/>
      <c r="BK815" s="50"/>
      <c r="BL815" s="50"/>
      <c r="BM815" s="50"/>
      <c r="BN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0"/>
      <c r="BE816" s="50"/>
      <c r="BF816" s="50"/>
      <c r="BG816" s="50"/>
      <c r="BH816" s="50"/>
      <c r="BI816" s="50"/>
      <c r="BJ816" s="50"/>
      <c r="BK816" s="50"/>
      <c r="BL816" s="50"/>
      <c r="BM816" s="50"/>
      <c r="BN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0"/>
      <c r="BE817" s="50"/>
      <c r="BF817" s="50"/>
      <c r="BG817" s="50"/>
      <c r="BH817" s="50"/>
      <c r="BI817" s="50"/>
      <c r="BJ817" s="50"/>
      <c r="BK817" s="50"/>
      <c r="BL817" s="50"/>
      <c r="BM817" s="50"/>
      <c r="BN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/>
      <c r="BE818" s="50"/>
      <c r="BF818" s="50"/>
      <c r="BG818" s="50"/>
      <c r="BH818" s="50"/>
      <c r="BI818" s="50"/>
      <c r="BJ818" s="50"/>
      <c r="BK818" s="50"/>
      <c r="BL818" s="50"/>
      <c r="BM818" s="50"/>
      <c r="BN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50"/>
      <c r="AU819" s="50"/>
      <c r="AV819" s="50"/>
      <c r="AW819" s="50"/>
      <c r="AX819" s="50"/>
      <c r="AY819" s="50"/>
      <c r="AZ819" s="50"/>
      <c r="BA819" s="50"/>
      <c r="BB819" s="50"/>
      <c r="BC819" s="50"/>
      <c r="BD819" s="50"/>
      <c r="BE819" s="50"/>
      <c r="BF819" s="50"/>
      <c r="BG819" s="50"/>
      <c r="BH819" s="50"/>
      <c r="BI819" s="50"/>
      <c r="BJ819" s="50"/>
      <c r="BK819" s="50"/>
      <c r="BL819" s="50"/>
      <c r="BM819" s="50"/>
      <c r="BN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  <c r="AV820" s="50"/>
      <c r="AW820" s="50"/>
      <c r="AX820" s="50"/>
      <c r="AY820" s="50"/>
      <c r="AZ820" s="50"/>
      <c r="BA820" s="50"/>
      <c r="BB820" s="50"/>
      <c r="BC820" s="50"/>
      <c r="BD820" s="50"/>
      <c r="BE820" s="50"/>
      <c r="BF820" s="50"/>
      <c r="BG820" s="50"/>
      <c r="BH820" s="50"/>
      <c r="BI820" s="50"/>
      <c r="BJ820" s="50"/>
      <c r="BK820" s="50"/>
      <c r="BL820" s="50"/>
      <c r="BM820" s="50"/>
      <c r="BN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50"/>
      <c r="AU821" s="50"/>
      <c r="AV821" s="50"/>
      <c r="AW821" s="50"/>
      <c r="AX821" s="50"/>
      <c r="AY821" s="50"/>
      <c r="AZ821" s="50"/>
      <c r="BA821" s="50"/>
      <c r="BB821" s="50"/>
      <c r="BC821" s="50"/>
      <c r="BD821" s="50"/>
      <c r="BE821" s="50"/>
      <c r="BF821" s="50"/>
      <c r="BG821" s="50"/>
      <c r="BH821" s="50"/>
      <c r="BI821" s="50"/>
      <c r="BJ821" s="50"/>
      <c r="BK821" s="50"/>
      <c r="BL821" s="50"/>
      <c r="BM821" s="50"/>
      <c r="BN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50"/>
      <c r="AR822" s="50"/>
      <c r="AS822" s="50"/>
      <c r="AT822" s="50"/>
      <c r="AU822" s="50"/>
      <c r="AV822" s="50"/>
      <c r="AW822" s="50"/>
      <c r="AX822" s="50"/>
      <c r="AY822" s="50"/>
      <c r="AZ822" s="50"/>
      <c r="BA822" s="50"/>
      <c r="BB822" s="50"/>
      <c r="BC822" s="50"/>
      <c r="BD822" s="50"/>
      <c r="BE822" s="50"/>
      <c r="BF822" s="50"/>
      <c r="BG822" s="50"/>
      <c r="BH822" s="50"/>
      <c r="BI822" s="50"/>
      <c r="BJ822" s="50"/>
      <c r="BK822" s="50"/>
      <c r="BL822" s="50"/>
      <c r="BM822" s="50"/>
      <c r="BN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50"/>
      <c r="AU823" s="50"/>
      <c r="AV823" s="50"/>
      <c r="AW823" s="50"/>
      <c r="AX823" s="50"/>
      <c r="AY823" s="50"/>
      <c r="AZ823" s="50"/>
      <c r="BA823" s="50"/>
      <c r="BB823" s="50"/>
      <c r="BC823" s="50"/>
      <c r="BD823" s="50"/>
      <c r="BE823" s="50"/>
      <c r="BF823" s="50"/>
      <c r="BG823" s="50"/>
      <c r="BH823" s="50"/>
      <c r="BI823" s="50"/>
      <c r="BJ823" s="50"/>
      <c r="BK823" s="50"/>
      <c r="BL823" s="50"/>
      <c r="BM823" s="50"/>
      <c r="BN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0"/>
      <c r="BF824" s="50"/>
      <c r="BG824" s="50"/>
      <c r="BH824" s="50"/>
      <c r="BI824" s="50"/>
      <c r="BJ824" s="50"/>
      <c r="BK824" s="50"/>
      <c r="BL824" s="50"/>
      <c r="BM824" s="50"/>
      <c r="BN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/>
      <c r="BB825" s="50"/>
      <c r="BC825" s="50"/>
      <c r="BD825" s="50"/>
      <c r="BE825" s="50"/>
      <c r="BF825" s="50"/>
      <c r="BG825" s="50"/>
      <c r="BH825" s="50"/>
      <c r="BI825" s="50"/>
      <c r="BJ825" s="50"/>
      <c r="BK825" s="50"/>
      <c r="BL825" s="50"/>
      <c r="BM825" s="50"/>
      <c r="BN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/>
      <c r="AR826" s="50"/>
      <c r="AS826" s="50"/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0"/>
      <c r="BE826" s="50"/>
      <c r="BF826" s="50"/>
      <c r="BG826" s="50"/>
      <c r="BH826" s="50"/>
      <c r="BI826" s="50"/>
      <c r="BJ826" s="50"/>
      <c r="BK826" s="50"/>
      <c r="BL826" s="50"/>
      <c r="BM826" s="50"/>
      <c r="BN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/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  <c r="BL827" s="50"/>
      <c r="BM827" s="50"/>
      <c r="BN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0"/>
      <c r="BE828" s="50"/>
      <c r="BF828" s="50"/>
      <c r="BG828" s="50"/>
      <c r="BH828" s="50"/>
      <c r="BI828" s="50"/>
      <c r="BJ828" s="50"/>
      <c r="BK828" s="50"/>
      <c r="BL828" s="50"/>
      <c r="BM828" s="50"/>
      <c r="BN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/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  <c r="BL829" s="50"/>
      <c r="BM829" s="50"/>
      <c r="BN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50"/>
      <c r="AC830" s="50"/>
      <c r="AD830" s="50"/>
      <c r="AE830" s="50"/>
      <c r="AF830" s="50"/>
      <c r="AG830" s="50"/>
      <c r="AH830" s="50"/>
      <c r="AI830" s="50"/>
      <c r="AJ830" s="50"/>
      <c r="AK830" s="50"/>
      <c r="AL830" s="50"/>
      <c r="AM830" s="50"/>
      <c r="AN830" s="50"/>
      <c r="AO830" s="50"/>
      <c r="AP830" s="50"/>
      <c r="AQ830" s="50"/>
      <c r="AR830" s="50"/>
      <c r="AS830" s="50"/>
      <c r="AT830" s="50"/>
      <c r="AU830" s="50"/>
      <c r="AV830" s="50"/>
      <c r="AW830" s="50"/>
      <c r="AX830" s="50"/>
      <c r="AY830" s="50"/>
      <c r="AZ830" s="50"/>
      <c r="BA830" s="50"/>
      <c r="BB830" s="50"/>
      <c r="BC830" s="50"/>
      <c r="BD830" s="50"/>
      <c r="BE830" s="50"/>
      <c r="BF830" s="50"/>
      <c r="BG830" s="50"/>
      <c r="BH830" s="50"/>
      <c r="BI830" s="50"/>
      <c r="BJ830" s="50"/>
      <c r="BK830" s="50"/>
      <c r="BL830" s="50"/>
      <c r="BM830" s="50"/>
      <c r="BN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/>
      <c r="AR831" s="50"/>
      <c r="AS831" s="50"/>
      <c r="AT831" s="50"/>
      <c r="AU831" s="50"/>
      <c r="AV831" s="50"/>
      <c r="AW831" s="50"/>
      <c r="AX831" s="50"/>
      <c r="AY831" s="50"/>
      <c r="AZ831" s="50"/>
      <c r="BA831" s="50"/>
      <c r="BB831" s="50"/>
      <c r="BC831" s="50"/>
      <c r="BD831" s="50"/>
      <c r="BE831" s="50"/>
      <c r="BF831" s="50"/>
      <c r="BG831" s="50"/>
      <c r="BH831" s="50"/>
      <c r="BI831" s="50"/>
      <c r="BJ831" s="50"/>
      <c r="BK831" s="50"/>
      <c r="BL831" s="50"/>
      <c r="BM831" s="50"/>
      <c r="BN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50"/>
      <c r="AC832" s="50"/>
      <c r="AD832" s="50"/>
      <c r="AE832" s="50"/>
      <c r="AF832" s="50"/>
      <c r="AG832" s="50"/>
      <c r="AH832" s="50"/>
      <c r="AI832" s="50"/>
      <c r="AJ832" s="50"/>
      <c r="AK832" s="50"/>
      <c r="AL832" s="50"/>
      <c r="AM832" s="50"/>
      <c r="AN832" s="50"/>
      <c r="AO832" s="50"/>
      <c r="AP832" s="50"/>
      <c r="AQ832" s="50"/>
      <c r="AR832" s="50"/>
      <c r="AS832" s="50"/>
      <c r="AT832" s="50"/>
      <c r="AU832" s="50"/>
      <c r="AV832" s="50"/>
      <c r="AW832" s="50"/>
      <c r="AX832" s="50"/>
      <c r="AY832" s="50"/>
      <c r="AZ832" s="50"/>
      <c r="BA832" s="50"/>
      <c r="BB832" s="50"/>
      <c r="BC832" s="50"/>
      <c r="BD832" s="50"/>
      <c r="BE832" s="50"/>
      <c r="BF832" s="50"/>
      <c r="BG832" s="50"/>
      <c r="BH832" s="50"/>
      <c r="BI832" s="50"/>
      <c r="BJ832" s="50"/>
      <c r="BK832" s="50"/>
      <c r="BL832" s="50"/>
      <c r="BM832" s="50"/>
      <c r="BN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0"/>
      <c r="BE833" s="50"/>
      <c r="BF833" s="50"/>
      <c r="BG833" s="50"/>
      <c r="BH833" s="50"/>
      <c r="BI833" s="50"/>
      <c r="BJ833" s="50"/>
      <c r="BK833" s="50"/>
      <c r="BL833" s="50"/>
      <c r="BM833" s="50"/>
      <c r="BN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50"/>
      <c r="BG834" s="50"/>
      <c r="BH834" s="50"/>
      <c r="BI834" s="50"/>
      <c r="BJ834" s="50"/>
      <c r="BK834" s="50"/>
      <c r="BL834" s="50"/>
      <c r="BM834" s="50"/>
      <c r="BN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/>
      <c r="BE835" s="50"/>
      <c r="BF835" s="50"/>
      <c r="BG835" s="50"/>
      <c r="BH835" s="50"/>
      <c r="BI835" s="50"/>
      <c r="BJ835" s="50"/>
      <c r="BK835" s="50"/>
      <c r="BL835" s="50"/>
      <c r="BM835" s="50"/>
      <c r="BN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50"/>
      <c r="AR836" s="50"/>
      <c r="AS836" s="50"/>
      <c r="AT836" s="50"/>
      <c r="AU836" s="50"/>
      <c r="AV836" s="50"/>
      <c r="AW836" s="50"/>
      <c r="AX836" s="50"/>
      <c r="AY836" s="50"/>
      <c r="AZ836" s="50"/>
      <c r="BA836" s="50"/>
      <c r="BB836" s="50"/>
      <c r="BC836" s="50"/>
      <c r="BD836" s="50"/>
      <c r="BE836" s="50"/>
      <c r="BF836" s="50"/>
      <c r="BG836" s="50"/>
      <c r="BH836" s="50"/>
      <c r="BI836" s="50"/>
      <c r="BJ836" s="50"/>
      <c r="BK836" s="50"/>
      <c r="BL836" s="50"/>
      <c r="BM836" s="50"/>
      <c r="BN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50"/>
      <c r="AU837" s="50"/>
      <c r="AV837" s="50"/>
      <c r="AW837" s="50"/>
      <c r="AX837" s="50"/>
      <c r="AY837" s="50"/>
      <c r="AZ837" s="50"/>
      <c r="BA837" s="50"/>
      <c r="BB837" s="50"/>
      <c r="BC837" s="50"/>
      <c r="BD837" s="50"/>
      <c r="BE837" s="50"/>
      <c r="BF837" s="50"/>
      <c r="BG837" s="50"/>
      <c r="BH837" s="50"/>
      <c r="BI837" s="50"/>
      <c r="BJ837" s="50"/>
      <c r="BK837" s="50"/>
      <c r="BL837" s="50"/>
      <c r="BM837" s="50"/>
      <c r="BN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/>
      <c r="BE838" s="50"/>
      <c r="BF838" s="50"/>
      <c r="BG838" s="50"/>
      <c r="BH838" s="50"/>
      <c r="BI838" s="50"/>
      <c r="BJ838" s="50"/>
      <c r="BK838" s="50"/>
      <c r="BL838" s="50"/>
      <c r="BM838" s="50"/>
      <c r="BN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50"/>
      <c r="AU839" s="50"/>
      <c r="AV839" s="50"/>
      <c r="AW839" s="50"/>
      <c r="AX839" s="50"/>
      <c r="AY839" s="50"/>
      <c r="AZ839" s="50"/>
      <c r="BA839" s="50"/>
      <c r="BB839" s="50"/>
      <c r="BC839" s="50"/>
      <c r="BD839" s="50"/>
      <c r="BE839" s="50"/>
      <c r="BF839" s="50"/>
      <c r="BG839" s="50"/>
      <c r="BH839" s="50"/>
      <c r="BI839" s="50"/>
      <c r="BJ839" s="50"/>
      <c r="BK839" s="50"/>
      <c r="BL839" s="50"/>
      <c r="BM839" s="50"/>
      <c r="BN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/>
      <c r="AW840" s="50"/>
      <c r="AX840" s="50"/>
      <c r="AY840" s="50"/>
      <c r="AZ840" s="50"/>
      <c r="BA840" s="50"/>
      <c r="BB840" s="50"/>
      <c r="BC840" s="50"/>
      <c r="BD840" s="50"/>
      <c r="BE840" s="50"/>
      <c r="BF840" s="50"/>
      <c r="BG840" s="50"/>
      <c r="BH840" s="50"/>
      <c r="BI840" s="50"/>
      <c r="BJ840" s="50"/>
      <c r="BK840" s="50"/>
      <c r="BL840" s="50"/>
      <c r="BM840" s="50"/>
      <c r="BN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50"/>
      <c r="AU841" s="50"/>
      <c r="AV841" s="50"/>
      <c r="AW841" s="50"/>
      <c r="AX841" s="50"/>
      <c r="AY841" s="50"/>
      <c r="AZ841" s="50"/>
      <c r="BA841" s="50"/>
      <c r="BB841" s="50"/>
      <c r="BC841" s="50"/>
      <c r="BD841" s="50"/>
      <c r="BE841" s="50"/>
      <c r="BF841" s="50"/>
      <c r="BG841" s="50"/>
      <c r="BH841" s="50"/>
      <c r="BI841" s="50"/>
      <c r="BJ841" s="50"/>
      <c r="BK841" s="50"/>
      <c r="BL841" s="50"/>
      <c r="BM841" s="50"/>
      <c r="BN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  <c r="AL842" s="50"/>
      <c r="AM842" s="50"/>
      <c r="AN842" s="50"/>
      <c r="AO842" s="50"/>
      <c r="AP842" s="50"/>
      <c r="AQ842" s="50"/>
      <c r="AR842" s="50"/>
      <c r="AS842" s="50"/>
      <c r="AT842" s="50"/>
      <c r="AU842" s="50"/>
      <c r="AV842" s="50"/>
      <c r="AW842" s="50"/>
      <c r="AX842" s="50"/>
      <c r="AY842" s="50"/>
      <c r="AZ842" s="50"/>
      <c r="BA842" s="50"/>
      <c r="BB842" s="50"/>
      <c r="BC842" s="50"/>
      <c r="BD842" s="50"/>
      <c r="BE842" s="50"/>
      <c r="BF842" s="50"/>
      <c r="BG842" s="50"/>
      <c r="BH842" s="50"/>
      <c r="BI842" s="50"/>
      <c r="BJ842" s="50"/>
      <c r="BK842" s="50"/>
      <c r="BL842" s="50"/>
      <c r="BM842" s="50"/>
      <c r="BN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  <c r="AL843" s="50"/>
      <c r="AM843" s="50"/>
      <c r="AN843" s="50"/>
      <c r="AO843" s="50"/>
      <c r="AP843" s="50"/>
      <c r="AQ843" s="50"/>
      <c r="AR843" s="50"/>
      <c r="AS843" s="50"/>
      <c r="AT843" s="50"/>
      <c r="AU843" s="50"/>
      <c r="AV843" s="50"/>
      <c r="AW843" s="50"/>
      <c r="AX843" s="50"/>
      <c r="AY843" s="50"/>
      <c r="AZ843" s="50"/>
      <c r="BA843" s="50"/>
      <c r="BB843" s="50"/>
      <c r="BC843" s="50"/>
      <c r="BD843" s="50"/>
      <c r="BE843" s="50"/>
      <c r="BF843" s="50"/>
      <c r="BG843" s="50"/>
      <c r="BH843" s="50"/>
      <c r="BI843" s="50"/>
      <c r="BJ843" s="50"/>
      <c r="BK843" s="50"/>
      <c r="BL843" s="50"/>
      <c r="BM843" s="50"/>
      <c r="BN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0"/>
      <c r="BE844" s="50"/>
      <c r="BF844" s="50"/>
      <c r="BG844" s="50"/>
      <c r="BH844" s="50"/>
      <c r="BI844" s="50"/>
      <c r="BJ844" s="50"/>
      <c r="BK844" s="50"/>
      <c r="BL844" s="50"/>
      <c r="BM844" s="50"/>
      <c r="BN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0"/>
      <c r="BE845" s="50"/>
      <c r="BF845" s="50"/>
      <c r="BG845" s="50"/>
      <c r="BH845" s="50"/>
      <c r="BI845" s="50"/>
      <c r="BJ845" s="50"/>
      <c r="BK845" s="50"/>
      <c r="BL845" s="50"/>
      <c r="BM845" s="50"/>
      <c r="BN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50"/>
      <c r="BG846" s="50"/>
      <c r="BH846" s="50"/>
      <c r="BI846" s="50"/>
      <c r="BJ846" s="50"/>
      <c r="BK846" s="50"/>
      <c r="BL846" s="50"/>
      <c r="BM846" s="50"/>
      <c r="BN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0"/>
      <c r="BE847" s="50"/>
      <c r="BF847" s="50"/>
      <c r="BG847" s="50"/>
      <c r="BH847" s="50"/>
      <c r="BI847" s="50"/>
      <c r="BJ847" s="50"/>
      <c r="BK847" s="50"/>
      <c r="BL847" s="50"/>
      <c r="BM847" s="50"/>
      <c r="BN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0"/>
      <c r="BF848" s="50"/>
      <c r="BG848" s="50"/>
      <c r="BH848" s="50"/>
      <c r="BI848" s="50"/>
      <c r="BJ848" s="50"/>
      <c r="BK848" s="50"/>
      <c r="BL848" s="50"/>
      <c r="BM848" s="50"/>
      <c r="BN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  <c r="AL849" s="50"/>
      <c r="AM849" s="50"/>
      <c r="AN849" s="50"/>
      <c r="AO849" s="50"/>
      <c r="AP849" s="50"/>
      <c r="AQ849" s="50"/>
      <c r="AR849" s="50"/>
      <c r="AS849" s="50"/>
      <c r="AT849" s="50"/>
      <c r="AU849" s="50"/>
      <c r="AV849" s="50"/>
      <c r="AW849" s="50"/>
      <c r="AX849" s="50"/>
      <c r="AY849" s="50"/>
      <c r="AZ849" s="50"/>
      <c r="BA849" s="50"/>
      <c r="BB849" s="50"/>
      <c r="BC849" s="50"/>
      <c r="BD849" s="50"/>
      <c r="BE849" s="50"/>
      <c r="BF849" s="50"/>
      <c r="BG849" s="50"/>
      <c r="BH849" s="50"/>
      <c r="BI849" s="50"/>
      <c r="BJ849" s="50"/>
      <c r="BK849" s="50"/>
      <c r="BL849" s="50"/>
      <c r="BM849" s="50"/>
      <c r="BN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50"/>
      <c r="AC850" s="50"/>
      <c r="AD850" s="50"/>
      <c r="AE850" s="50"/>
      <c r="AF850" s="50"/>
      <c r="AG850" s="50"/>
      <c r="AH850" s="50"/>
      <c r="AI850" s="50"/>
      <c r="AJ850" s="50"/>
      <c r="AK850" s="50"/>
      <c r="AL850" s="50"/>
      <c r="AM850" s="50"/>
      <c r="AN850" s="50"/>
      <c r="AO850" s="50"/>
      <c r="AP850" s="50"/>
      <c r="AQ850" s="50"/>
      <c r="AR850" s="50"/>
      <c r="AS850" s="50"/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0"/>
      <c r="BE850" s="50"/>
      <c r="BF850" s="50"/>
      <c r="BG850" s="50"/>
      <c r="BH850" s="50"/>
      <c r="BI850" s="50"/>
      <c r="BJ850" s="50"/>
      <c r="BK850" s="50"/>
      <c r="BL850" s="50"/>
      <c r="BM850" s="50"/>
      <c r="BN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50"/>
      <c r="AC851" s="50"/>
      <c r="AD851" s="50"/>
      <c r="AE851" s="50"/>
      <c r="AF851" s="50"/>
      <c r="AG851" s="50"/>
      <c r="AH851" s="50"/>
      <c r="AI851" s="50"/>
      <c r="AJ851" s="50"/>
      <c r="AK851" s="50"/>
      <c r="AL851" s="50"/>
      <c r="AM851" s="50"/>
      <c r="AN851" s="50"/>
      <c r="AO851" s="50"/>
      <c r="AP851" s="50"/>
      <c r="AQ851" s="50"/>
      <c r="AR851" s="50"/>
      <c r="AS851" s="50"/>
      <c r="AT851" s="50"/>
      <c r="AU851" s="50"/>
      <c r="AV851" s="50"/>
      <c r="AW851" s="50"/>
      <c r="AX851" s="50"/>
      <c r="AY851" s="50"/>
      <c r="AZ851" s="50"/>
      <c r="BA851" s="50"/>
      <c r="BB851" s="50"/>
      <c r="BC851" s="50"/>
      <c r="BD851" s="50"/>
      <c r="BE851" s="50"/>
      <c r="BF851" s="50"/>
      <c r="BG851" s="50"/>
      <c r="BH851" s="50"/>
      <c r="BI851" s="50"/>
      <c r="BJ851" s="50"/>
      <c r="BK851" s="50"/>
      <c r="BL851" s="50"/>
      <c r="BM851" s="50"/>
      <c r="BN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50"/>
      <c r="AC852" s="50"/>
      <c r="AD852" s="50"/>
      <c r="AE852" s="50"/>
      <c r="AF852" s="50"/>
      <c r="AG852" s="50"/>
      <c r="AH852" s="50"/>
      <c r="AI852" s="50"/>
      <c r="AJ852" s="50"/>
      <c r="AK852" s="50"/>
      <c r="AL852" s="50"/>
      <c r="AM852" s="50"/>
      <c r="AN852" s="50"/>
      <c r="AO852" s="50"/>
      <c r="AP852" s="50"/>
      <c r="AQ852" s="50"/>
      <c r="AR852" s="50"/>
      <c r="AS852" s="50"/>
      <c r="AT852" s="50"/>
      <c r="AU852" s="50"/>
      <c r="AV852" s="50"/>
      <c r="AW852" s="50"/>
      <c r="AX852" s="50"/>
      <c r="AY852" s="50"/>
      <c r="AZ852" s="50"/>
      <c r="BA852" s="50"/>
      <c r="BB852" s="50"/>
      <c r="BC852" s="50"/>
      <c r="BD852" s="50"/>
      <c r="BE852" s="50"/>
      <c r="BF852" s="50"/>
      <c r="BG852" s="50"/>
      <c r="BH852" s="50"/>
      <c r="BI852" s="50"/>
      <c r="BJ852" s="50"/>
      <c r="BK852" s="50"/>
      <c r="BL852" s="50"/>
      <c r="BM852" s="50"/>
      <c r="BN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50"/>
      <c r="AC853" s="50"/>
      <c r="AD853" s="50"/>
      <c r="AE853" s="50"/>
      <c r="AF853" s="50"/>
      <c r="AG853" s="50"/>
      <c r="AH853" s="50"/>
      <c r="AI853" s="50"/>
      <c r="AJ853" s="50"/>
      <c r="AK853" s="50"/>
      <c r="AL853" s="50"/>
      <c r="AM853" s="50"/>
      <c r="AN853" s="50"/>
      <c r="AO853" s="50"/>
      <c r="AP853" s="50"/>
      <c r="AQ853" s="50"/>
      <c r="AR853" s="50"/>
      <c r="AS853" s="50"/>
      <c r="AT853" s="50"/>
      <c r="AU853" s="50"/>
      <c r="AV853" s="50"/>
      <c r="AW853" s="50"/>
      <c r="AX853" s="50"/>
      <c r="AY853" s="50"/>
      <c r="AZ853" s="50"/>
      <c r="BA853" s="50"/>
      <c r="BB853" s="50"/>
      <c r="BC853" s="50"/>
      <c r="BD853" s="50"/>
      <c r="BE853" s="50"/>
      <c r="BF853" s="50"/>
      <c r="BG853" s="50"/>
      <c r="BH853" s="50"/>
      <c r="BI853" s="50"/>
      <c r="BJ853" s="50"/>
      <c r="BK853" s="50"/>
      <c r="BL853" s="50"/>
      <c r="BM853" s="50"/>
      <c r="BN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50"/>
      <c r="AC854" s="50"/>
      <c r="AD854" s="50"/>
      <c r="AE854" s="50"/>
      <c r="AF854" s="50"/>
      <c r="AG854" s="50"/>
      <c r="AH854" s="50"/>
      <c r="AI854" s="50"/>
      <c r="AJ854" s="50"/>
      <c r="AK854" s="50"/>
      <c r="AL854" s="50"/>
      <c r="AM854" s="50"/>
      <c r="AN854" s="50"/>
      <c r="AO854" s="50"/>
      <c r="AP854" s="50"/>
      <c r="AQ854" s="50"/>
      <c r="AR854" s="50"/>
      <c r="AS854" s="50"/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0"/>
      <c r="BE854" s="50"/>
      <c r="BF854" s="50"/>
      <c r="BG854" s="50"/>
      <c r="BH854" s="50"/>
      <c r="BI854" s="50"/>
      <c r="BJ854" s="50"/>
      <c r="BK854" s="50"/>
      <c r="BL854" s="50"/>
      <c r="BM854" s="50"/>
      <c r="BN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50"/>
      <c r="AC855" s="50"/>
      <c r="AD855" s="50"/>
      <c r="AE855" s="50"/>
      <c r="AF855" s="50"/>
      <c r="AG855" s="50"/>
      <c r="AH855" s="50"/>
      <c r="AI855" s="50"/>
      <c r="AJ855" s="50"/>
      <c r="AK855" s="50"/>
      <c r="AL855" s="50"/>
      <c r="AM855" s="50"/>
      <c r="AN855" s="50"/>
      <c r="AO855" s="50"/>
      <c r="AP855" s="50"/>
      <c r="AQ855" s="50"/>
      <c r="AR855" s="50"/>
      <c r="AS855" s="50"/>
      <c r="AT855" s="50"/>
      <c r="AU855" s="50"/>
      <c r="AV855" s="50"/>
      <c r="AW855" s="50"/>
      <c r="AX855" s="50"/>
      <c r="AY855" s="50"/>
      <c r="AZ855" s="50"/>
      <c r="BA855" s="50"/>
      <c r="BB855" s="50"/>
      <c r="BC855" s="50"/>
      <c r="BD855" s="50"/>
      <c r="BE855" s="50"/>
      <c r="BF855" s="50"/>
      <c r="BG855" s="50"/>
      <c r="BH855" s="50"/>
      <c r="BI855" s="50"/>
      <c r="BJ855" s="50"/>
      <c r="BK855" s="50"/>
      <c r="BL855" s="50"/>
      <c r="BM855" s="50"/>
      <c r="BN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50"/>
      <c r="AR856" s="50"/>
      <c r="AS856" s="50"/>
      <c r="AT856" s="50"/>
      <c r="AU856" s="50"/>
      <c r="AV856" s="50"/>
      <c r="AW856" s="50"/>
      <c r="AX856" s="50"/>
      <c r="AY856" s="50"/>
      <c r="AZ856" s="50"/>
      <c r="BA856" s="50"/>
      <c r="BB856" s="50"/>
      <c r="BC856" s="50"/>
      <c r="BD856" s="50"/>
      <c r="BE856" s="50"/>
      <c r="BF856" s="50"/>
      <c r="BG856" s="50"/>
      <c r="BH856" s="50"/>
      <c r="BI856" s="50"/>
      <c r="BJ856" s="50"/>
      <c r="BK856" s="50"/>
      <c r="BL856" s="50"/>
      <c r="BM856" s="50"/>
      <c r="BN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50"/>
      <c r="AR857" s="50"/>
      <c r="AS857" s="50"/>
      <c r="AT857" s="50"/>
      <c r="AU857" s="50"/>
      <c r="AV857" s="50"/>
      <c r="AW857" s="50"/>
      <c r="AX857" s="50"/>
      <c r="AY857" s="50"/>
      <c r="AZ857" s="50"/>
      <c r="BA857" s="50"/>
      <c r="BB857" s="50"/>
      <c r="BC857" s="50"/>
      <c r="BD857" s="50"/>
      <c r="BE857" s="50"/>
      <c r="BF857" s="50"/>
      <c r="BG857" s="50"/>
      <c r="BH857" s="50"/>
      <c r="BI857" s="50"/>
      <c r="BJ857" s="50"/>
      <c r="BK857" s="50"/>
      <c r="BL857" s="50"/>
      <c r="BM857" s="50"/>
      <c r="BN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/>
      <c r="BE858" s="50"/>
      <c r="BF858" s="50"/>
      <c r="BG858" s="50"/>
      <c r="BH858" s="50"/>
      <c r="BI858" s="50"/>
      <c r="BJ858" s="50"/>
      <c r="BK858" s="50"/>
      <c r="BL858" s="50"/>
      <c r="BM858" s="50"/>
      <c r="BN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50"/>
      <c r="AC859" s="50"/>
      <c r="AD859" s="50"/>
      <c r="AE859" s="50"/>
      <c r="AF859" s="50"/>
      <c r="AG859" s="50"/>
      <c r="AH859" s="50"/>
      <c r="AI859" s="50"/>
      <c r="AJ859" s="50"/>
      <c r="AK859" s="50"/>
      <c r="AL859" s="50"/>
      <c r="AM859" s="50"/>
      <c r="AN859" s="50"/>
      <c r="AO859" s="50"/>
      <c r="AP859" s="50"/>
      <c r="AQ859" s="50"/>
      <c r="AR859" s="50"/>
      <c r="AS859" s="50"/>
      <c r="AT859" s="50"/>
      <c r="AU859" s="50"/>
      <c r="AV859" s="50"/>
      <c r="AW859" s="50"/>
      <c r="AX859" s="50"/>
      <c r="AY859" s="50"/>
      <c r="AZ859" s="50"/>
      <c r="BA859" s="50"/>
      <c r="BB859" s="50"/>
      <c r="BC859" s="50"/>
      <c r="BD859" s="50"/>
      <c r="BE859" s="50"/>
      <c r="BF859" s="50"/>
      <c r="BG859" s="50"/>
      <c r="BH859" s="50"/>
      <c r="BI859" s="50"/>
      <c r="BJ859" s="50"/>
      <c r="BK859" s="50"/>
      <c r="BL859" s="50"/>
      <c r="BM859" s="50"/>
      <c r="BN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50"/>
      <c r="AC860" s="50"/>
      <c r="AD860" s="50"/>
      <c r="AE860" s="50"/>
      <c r="AF860" s="50"/>
      <c r="AG860" s="50"/>
      <c r="AH860" s="50"/>
      <c r="AI860" s="50"/>
      <c r="AJ860" s="50"/>
      <c r="AK860" s="50"/>
      <c r="AL860" s="50"/>
      <c r="AM860" s="50"/>
      <c r="AN860" s="50"/>
      <c r="AO860" s="50"/>
      <c r="AP860" s="50"/>
      <c r="AQ860" s="50"/>
      <c r="AR860" s="50"/>
      <c r="AS860" s="50"/>
      <c r="AT860" s="50"/>
      <c r="AU860" s="50"/>
      <c r="AV860" s="50"/>
      <c r="AW860" s="50"/>
      <c r="AX860" s="50"/>
      <c r="AY860" s="50"/>
      <c r="AZ860" s="50"/>
      <c r="BA860" s="50"/>
      <c r="BB860" s="50"/>
      <c r="BC860" s="50"/>
      <c r="BD860" s="50"/>
      <c r="BE860" s="50"/>
      <c r="BF860" s="50"/>
      <c r="BG860" s="50"/>
      <c r="BH860" s="50"/>
      <c r="BI860" s="50"/>
      <c r="BJ860" s="50"/>
      <c r="BK860" s="50"/>
      <c r="BL860" s="50"/>
      <c r="BM860" s="50"/>
      <c r="BN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  <c r="AL861" s="50"/>
      <c r="AM861" s="50"/>
      <c r="AN861" s="50"/>
      <c r="AO861" s="50"/>
      <c r="AP861" s="50"/>
      <c r="AQ861" s="50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0"/>
      <c r="BE861" s="50"/>
      <c r="BF861" s="50"/>
      <c r="BG861" s="50"/>
      <c r="BH861" s="50"/>
      <c r="BI861" s="50"/>
      <c r="BJ861" s="50"/>
      <c r="BK861" s="50"/>
      <c r="BL861" s="50"/>
      <c r="BM861" s="50"/>
      <c r="BN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/>
      <c r="BE862" s="50"/>
      <c r="BF862" s="50"/>
      <c r="BG862" s="50"/>
      <c r="BH862" s="50"/>
      <c r="BI862" s="50"/>
      <c r="BJ862" s="50"/>
      <c r="BK862" s="50"/>
      <c r="BL862" s="50"/>
      <c r="BM862" s="50"/>
      <c r="BN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0"/>
      <c r="BE863" s="50"/>
      <c r="BF863" s="50"/>
      <c r="BG863" s="50"/>
      <c r="BH863" s="50"/>
      <c r="BI863" s="50"/>
      <c r="BJ863" s="50"/>
      <c r="BK863" s="50"/>
      <c r="BL863" s="50"/>
      <c r="BM863" s="50"/>
      <c r="BN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50"/>
      <c r="BG864" s="50"/>
      <c r="BH864" s="50"/>
      <c r="BI864" s="50"/>
      <c r="BJ864" s="50"/>
      <c r="BK864" s="50"/>
      <c r="BL864" s="50"/>
      <c r="BM864" s="50"/>
      <c r="BN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/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  <c r="BL865" s="50"/>
      <c r="BM865" s="50"/>
      <c r="BN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0"/>
      <c r="BF866" s="50"/>
      <c r="BG866" s="50"/>
      <c r="BH866" s="50"/>
      <c r="BI866" s="50"/>
      <c r="BJ866" s="50"/>
      <c r="BK866" s="50"/>
      <c r="BL866" s="50"/>
      <c r="BM866" s="50"/>
      <c r="BN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/>
      <c r="BE867" s="50"/>
      <c r="BF867" s="50"/>
      <c r="BG867" s="50"/>
      <c r="BH867" s="50"/>
      <c r="BI867" s="50"/>
      <c r="BJ867" s="50"/>
      <c r="BK867" s="50"/>
      <c r="BL867" s="50"/>
      <c r="BM867" s="50"/>
      <c r="BN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50"/>
      <c r="AC868" s="50"/>
      <c r="AD868" s="50"/>
      <c r="AE868" s="50"/>
      <c r="AF868" s="50"/>
      <c r="AG868" s="50"/>
      <c r="AH868" s="50"/>
      <c r="AI868" s="50"/>
      <c r="AJ868" s="50"/>
      <c r="AK868" s="50"/>
      <c r="AL868" s="50"/>
      <c r="AM868" s="50"/>
      <c r="AN868" s="50"/>
      <c r="AO868" s="50"/>
      <c r="AP868" s="50"/>
      <c r="AQ868" s="50"/>
      <c r="AR868" s="50"/>
      <c r="AS868" s="50"/>
      <c r="AT868" s="50"/>
      <c r="AU868" s="50"/>
      <c r="AV868" s="50"/>
      <c r="AW868" s="50"/>
      <c r="AX868" s="50"/>
      <c r="AY868" s="50"/>
      <c r="AZ868" s="50"/>
      <c r="BA868" s="50"/>
      <c r="BB868" s="50"/>
      <c r="BC868" s="50"/>
      <c r="BD868" s="50"/>
      <c r="BE868" s="50"/>
      <c r="BF868" s="50"/>
      <c r="BG868" s="50"/>
      <c r="BH868" s="50"/>
      <c r="BI868" s="50"/>
      <c r="BJ868" s="50"/>
      <c r="BK868" s="50"/>
      <c r="BL868" s="50"/>
      <c r="BM868" s="50"/>
      <c r="BN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/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0"/>
      <c r="BE869" s="50"/>
      <c r="BF869" s="50"/>
      <c r="BG869" s="50"/>
      <c r="BH869" s="50"/>
      <c r="BI869" s="50"/>
      <c r="BJ869" s="50"/>
      <c r="BK869" s="50"/>
      <c r="BL869" s="50"/>
      <c r="BM869" s="50"/>
      <c r="BN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50"/>
      <c r="AC870" s="50"/>
      <c r="AD870" s="50"/>
      <c r="AE870" s="50"/>
      <c r="AF870" s="50"/>
      <c r="AG870" s="50"/>
      <c r="AH870" s="50"/>
      <c r="AI870" s="50"/>
      <c r="AJ870" s="50"/>
      <c r="AK870" s="50"/>
      <c r="AL870" s="50"/>
      <c r="AM870" s="50"/>
      <c r="AN870" s="50"/>
      <c r="AO870" s="50"/>
      <c r="AP870" s="50"/>
      <c r="AQ870" s="50"/>
      <c r="AR870" s="50"/>
      <c r="AS870" s="50"/>
      <c r="AT870" s="50"/>
      <c r="AU870" s="50"/>
      <c r="AV870" s="50"/>
      <c r="AW870" s="50"/>
      <c r="AX870" s="50"/>
      <c r="AY870" s="50"/>
      <c r="AZ870" s="50"/>
      <c r="BA870" s="50"/>
      <c r="BB870" s="50"/>
      <c r="BC870" s="50"/>
      <c r="BD870" s="50"/>
      <c r="BE870" s="50"/>
      <c r="BF870" s="50"/>
      <c r="BG870" s="50"/>
      <c r="BH870" s="50"/>
      <c r="BI870" s="50"/>
      <c r="BJ870" s="50"/>
      <c r="BK870" s="50"/>
      <c r="BL870" s="50"/>
      <c r="BM870" s="50"/>
      <c r="BN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50"/>
      <c r="AC871" s="50"/>
      <c r="AD871" s="50"/>
      <c r="AE871" s="50"/>
      <c r="AF871" s="50"/>
      <c r="AG871" s="50"/>
      <c r="AH871" s="50"/>
      <c r="AI871" s="50"/>
      <c r="AJ871" s="50"/>
      <c r="AK871" s="50"/>
      <c r="AL871" s="50"/>
      <c r="AM871" s="50"/>
      <c r="AN871" s="50"/>
      <c r="AO871" s="50"/>
      <c r="AP871" s="50"/>
      <c r="AQ871" s="50"/>
      <c r="AR871" s="50"/>
      <c r="AS871" s="50"/>
      <c r="AT871" s="50"/>
      <c r="AU871" s="50"/>
      <c r="AV871" s="50"/>
      <c r="AW871" s="50"/>
      <c r="AX871" s="50"/>
      <c r="AY871" s="50"/>
      <c r="AZ871" s="50"/>
      <c r="BA871" s="50"/>
      <c r="BB871" s="50"/>
      <c r="BC871" s="50"/>
      <c r="BD871" s="50"/>
      <c r="BE871" s="50"/>
      <c r="BF871" s="50"/>
      <c r="BG871" s="50"/>
      <c r="BH871" s="50"/>
      <c r="BI871" s="50"/>
      <c r="BJ871" s="50"/>
      <c r="BK871" s="50"/>
      <c r="BL871" s="50"/>
      <c r="BM871" s="50"/>
      <c r="BN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  <c r="AL872" s="50"/>
      <c r="AM872" s="50"/>
      <c r="AN872" s="50"/>
      <c r="AO872" s="50"/>
      <c r="AP872" s="50"/>
      <c r="AQ872" s="50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0"/>
      <c r="BE872" s="50"/>
      <c r="BF872" s="50"/>
      <c r="BG872" s="50"/>
      <c r="BH872" s="50"/>
      <c r="BI872" s="50"/>
      <c r="BJ872" s="50"/>
      <c r="BK872" s="50"/>
      <c r="BL872" s="50"/>
      <c r="BM872" s="50"/>
      <c r="BN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50"/>
      <c r="AC873" s="50"/>
      <c r="AD873" s="50"/>
      <c r="AE873" s="50"/>
      <c r="AF873" s="50"/>
      <c r="AG873" s="50"/>
      <c r="AH873" s="50"/>
      <c r="AI873" s="50"/>
      <c r="AJ873" s="50"/>
      <c r="AK873" s="50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  <c r="AV873" s="50"/>
      <c r="AW873" s="50"/>
      <c r="AX873" s="50"/>
      <c r="AY873" s="50"/>
      <c r="AZ873" s="50"/>
      <c r="BA873" s="50"/>
      <c r="BB873" s="50"/>
      <c r="BC873" s="50"/>
      <c r="BD873" s="50"/>
      <c r="BE873" s="50"/>
      <c r="BF873" s="50"/>
      <c r="BG873" s="50"/>
      <c r="BH873" s="50"/>
      <c r="BI873" s="50"/>
      <c r="BJ873" s="50"/>
      <c r="BK873" s="50"/>
      <c r="BL873" s="50"/>
      <c r="BM873" s="50"/>
      <c r="BN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0"/>
      <c r="BE874" s="50"/>
      <c r="BF874" s="50"/>
      <c r="BG874" s="50"/>
      <c r="BH874" s="50"/>
      <c r="BI874" s="50"/>
      <c r="BJ874" s="50"/>
      <c r="BK874" s="50"/>
      <c r="BL874" s="50"/>
      <c r="BM874" s="50"/>
      <c r="BN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0"/>
      <c r="BE875" s="50"/>
      <c r="BF875" s="50"/>
      <c r="BG875" s="50"/>
      <c r="BH875" s="50"/>
      <c r="BI875" s="50"/>
      <c r="BJ875" s="50"/>
      <c r="BK875" s="50"/>
      <c r="BL875" s="50"/>
      <c r="BM875" s="50"/>
      <c r="BN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50"/>
      <c r="AR876" s="50"/>
      <c r="AS876" s="50"/>
      <c r="AT876" s="50"/>
      <c r="AU876" s="50"/>
      <c r="AV876" s="50"/>
      <c r="AW876" s="50"/>
      <c r="AX876" s="50"/>
      <c r="AY876" s="50"/>
      <c r="AZ876" s="50"/>
      <c r="BA876" s="50"/>
      <c r="BB876" s="50"/>
      <c r="BC876" s="50"/>
      <c r="BD876" s="50"/>
      <c r="BE876" s="50"/>
      <c r="BF876" s="50"/>
      <c r="BG876" s="50"/>
      <c r="BH876" s="50"/>
      <c r="BI876" s="50"/>
      <c r="BJ876" s="50"/>
      <c r="BK876" s="50"/>
      <c r="BL876" s="50"/>
      <c r="BM876" s="50"/>
      <c r="BN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50"/>
      <c r="AC877" s="50"/>
      <c r="AD877" s="50"/>
      <c r="AE877" s="50"/>
      <c r="AF877" s="50"/>
      <c r="AG877" s="50"/>
      <c r="AH877" s="50"/>
      <c r="AI877" s="50"/>
      <c r="AJ877" s="50"/>
      <c r="AK877" s="50"/>
      <c r="AL877" s="50"/>
      <c r="AM877" s="50"/>
      <c r="AN877" s="50"/>
      <c r="AO877" s="50"/>
      <c r="AP877" s="50"/>
      <c r="AQ877" s="50"/>
      <c r="AR877" s="50"/>
      <c r="AS877" s="50"/>
      <c r="AT877" s="50"/>
      <c r="AU877" s="50"/>
      <c r="AV877" s="50"/>
      <c r="AW877" s="50"/>
      <c r="AX877" s="50"/>
      <c r="AY877" s="50"/>
      <c r="AZ877" s="50"/>
      <c r="BA877" s="50"/>
      <c r="BB877" s="50"/>
      <c r="BC877" s="50"/>
      <c r="BD877" s="50"/>
      <c r="BE877" s="50"/>
      <c r="BF877" s="50"/>
      <c r="BG877" s="50"/>
      <c r="BH877" s="50"/>
      <c r="BI877" s="50"/>
      <c r="BJ877" s="50"/>
      <c r="BK877" s="50"/>
      <c r="BL877" s="50"/>
      <c r="BM877" s="50"/>
      <c r="BN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50"/>
      <c r="AC878" s="50"/>
      <c r="AD878" s="50"/>
      <c r="AE878" s="50"/>
      <c r="AF878" s="50"/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0"/>
      <c r="BF878" s="50"/>
      <c r="BG878" s="50"/>
      <c r="BH878" s="50"/>
      <c r="BI878" s="50"/>
      <c r="BJ878" s="50"/>
      <c r="BK878" s="50"/>
      <c r="BL878" s="50"/>
      <c r="BM878" s="50"/>
      <c r="BN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50"/>
      <c r="AC879" s="50"/>
      <c r="AD879" s="50"/>
      <c r="AE879" s="50"/>
      <c r="AF879" s="50"/>
      <c r="AG879" s="50"/>
      <c r="AH879" s="50"/>
      <c r="AI879" s="50"/>
      <c r="AJ879" s="50"/>
      <c r="AK879" s="50"/>
      <c r="AL879" s="50"/>
      <c r="AM879" s="50"/>
      <c r="AN879" s="50"/>
      <c r="AO879" s="50"/>
      <c r="AP879" s="50"/>
      <c r="AQ879" s="50"/>
      <c r="AR879" s="50"/>
      <c r="AS879" s="50"/>
      <c r="AT879" s="50"/>
      <c r="AU879" s="50"/>
      <c r="AV879" s="50"/>
      <c r="AW879" s="50"/>
      <c r="AX879" s="50"/>
      <c r="AY879" s="50"/>
      <c r="AZ879" s="50"/>
      <c r="BA879" s="50"/>
      <c r="BB879" s="50"/>
      <c r="BC879" s="50"/>
      <c r="BD879" s="50"/>
      <c r="BE879" s="50"/>
      <c r="BF879" s="50"/>
      <c r="BG879" s="50"/>
      <c r="BH879" s="50"/>
      <c r="BI879" s="50"/>
      <c r="BJ879" s="50"/>
      <c r="BK879" s="50"/>
      <c r="BL879" s="50"/>
      <c r="BM879" s="50"/>
      <c r="BN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50"/>
      <c r="AC880" s="50"/>
      <c r="AD880" s="50"/>
      <c r="AE880" s="50"/>
      <c r="AF880" s="50"/>
      <c r="AG880" s="50"/>
      <c r="AH880" s="50"/>
      <c r="AI880" s="50"/>
      <c r="AJ880" s="50"/>
      <c r="AK880" s="50"/>
      <c r="AL880" s="50"/>
      <c r="AM880" s="50"/>
      <c r="AN880" s="50"/>
      <c r="AO880" s="50"/>
      <c r="AP880" s="50"/>
      <c r="AQ880" s="50"/>
      <c r="AR880" s="50"/>
      <c r="AS880" s="50"/>
      <c r="AT880" s="50"/>
      <c r="AU880" s="50"/>
      <c r="AV880" s="50"/>
      <c r="AW880" s="50"/>
      <c r="AX880" s="50"/>
      <c r="AY880" s="50"/>
      <c r="AZ880" s="50"/>
      <c r="BA880" s="50"/>
      <c r="BB880" s="50"/>
      <c r="BC880" s="50"/>
      <c r="BD880" s="50"/>
      <c r="BE880" s="50"/>
      <c r="BF880" s="50"/>
      <c r="BG880" s="50"/>
      <c r="BH880" s="50"/>
      <c r="BI880" s="50"/>
      <c r="BJ880" s="50"/>
      <c r="BK880" s="50"/>
      <c r="BL880" s="50"/>
      <c r="BM880" s="50"/>
      <c r="BN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50"/>
      <c r="AC881" s="50"/>
      <c r="AD881" s="50"/>
      <c r="AE881" s="50"/>
      <c r="AF881" s="50"/>
      <c r="AG881" s="50"/>
      <c r="AH881" s="50"/>
      <c r="AI881" s="50"/>
      <c r="AJ881" s="50"/>
      <c r="AK881" s="50"/>
      <c r="AL881" s="50"/>
      <c r="AM881" s="50"/>
      <c r="AN881" s="50"/>
      <c r="AO881" s="50"/>
      <c r="AP881" s="50"/>
      <c r="AQ881" s="50"/>
      <c r="AR881" s="50"/>
      <c r="AS881" s="50"/>
      <c r="AT881" s="50"/>
      <c r="AU881" s="50"/>
      <c r="AV881" s="50"/>
      <c r="AW881" s="50"/>
      <c r="AX881" s="50"/>
      <c r="AY881" s="50"/>
      <c r="AZ881" s="50"/>
      <c r="BA881" s="50"/>
      <c r="BB881" s="50"/>
      <c r="BC881" s="50"/>
      <c r="BD881" s="50"/>
      <c r="BE881" s="50"/>
      <c r="BF881" s="50"/>
      <c r="BG881" s="50"/>
      <c r="BH881" s="50"/>
      <c r="BI881" s="50"/>
      <c r="BJ881" s="50"/>
      <c r="BK881" s="50"/>
      <c r="BL881" s="50"/>
      <c r="BM881" s="50"/>
      <c r="BN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50"/>
      <c r="AC882" s="50"/>
      <c r="AD882" s="50"/>
      <c r="AE882" s="50"/>
      <c r="AF882" s="50"/>
      <c r="AG882" s="50"/>
      <c r="AH882" s="50"/>
      <c r="AI882" s="50"/>
      <c r="AJ882" s="50"/>
      <c r="AK882" s="50"/>
      <c r="AL882" s="50"/>
      <c r="AM882" s="50"/>
      <c r="AN882" s="50"/>
      <c r="AO882" s="50"/>
      <c r="AP882" s="50"/>
      <c r="AQ882" s="50"/>
      <c r="AR882" s="50"/>
      <c r="AS882" s="50"/>
      <c r="AT882" s="50"/>
      <c r="AU882" s="50"/>
      <c r="AV882" s="50"/>
      <c r="AW882" s="50"/>
      <c r="AX882" s="50"/>
      <c r="AY882" s="50"/>
      <c r="AZ882" s="50"/>
      <c r="BA882" s="50"/>
      <c r="BB882" s="50"/>
      <c r="BC882" s="50"/>
      <c r="BD882" s="50"/>
      <c r="BE882" s="50"/>
      <c r="BF882" s="50"/>
      <c r="BG882" s="50"/>
      <c r="BH882" s="50"/>
      <c r="BI882" s="50"/>
      <c r="BJ882" s="50"/>
      <c r="BK882" s="50"/>
      <c r="BL882" s="50"/>
      <c r="BM882" s="50"/>
      <c r="BN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50"/>
      <c r="AC883" s="50"/>
      <c r="AD883" s="50"/>
      <c r="AE883" s="50"/>
      <c r="AF883" s="50"/>
      <c r="AG883" s="50"/>
      <c r="AH883" s="50"/>
      <c r="AI883" s="50"/>
      <c r="AJ883" s="50"/>
      <c r="AK883" s="50"/>
      <c r="AL883" s="50"/>
      <c r="AM883" s="50"/>
      <c r="AN883" s="50"/>
      <c r="AO883" s="50"/>
      <c r="AP883" s="50"/>
      <c r="AQ883" s="50"/>
      <c r="AR883" s="50"/>
      <c r="AS883" s="50"/>
      <c r="AT883" s="50"/>
      <c r="AU883" s="50"/>
      <c r="AV883" s="50"/>
      <c r="AW883" s="50"/>
      <c r="AX883" s="50"/>
      <c r="AY883" s="50"/>
      <c r="AZ883" s="50"/>
      <c r="BA883" s="50"/>
      <c r="BB883" s="50"/>
      <c r="BC883" s="50"/>
      <c r="BD883" s="50"/>
      <c r="BE883" s="50"/>
      <c r="BF883" s="50"/>
      <c r="BG883" s="50"/>
      <c r="BH883" s="50"/>
      <c r="BI883" s="50"/>
      <c r="BJ883" s="50"/>
      <c r="BK883" s="50"/>
      <c r="BL883" s="50"/>
      <c r="BM883" s="50"/>
      <c r="BN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50"/>
      <c r="AC884" s="50"/>
      <c r="AD884" s="50"/>
      <c r="AE884" s="50"/>
      <c r="AF884" s="50"/>
      <c r="AG884" s="50"/>
      <c r="AH884" s="50"/>
      <c r="AI884" s="50"/>
      <c r="AJ884" s="50"/>
      <c r="AK884" s="50"/>
      <c r="AL884" s="50"/>
      <c r="AM884" s="50"/>
      <c r="AN884" s="50"/>
      <c r="AO884" s="50"/>
      <c r="AP884" s="50"/>
      <c r="AQ884" s="50"/>
      <c r="AR884" s="50"/>
      <c r="AS884" s="50"/>
      <c r="AT884" s="50"/>
      <c r="AU884" s="50"/>
      <c r="AV884" s="50"/>
      <c r="AW884" s="50"/>
      <c r="AX884" s="50"/>
      <c r="AY884" s="50"/>
      <c r="AZ884" s="50"/>
      <c r="BA884" s="50"/>
      <c r="BB884" s="50"/>
      <c r="BC884" s="50"/>
      <c r="BD884" s="50"/>
      <c r="BE884" s="50"/>
      <c r="BF884" s="50"/>
      <c r="BG884" s="50"/>
      <c r="BH884" s="50"/>
      <c r="BI884" s="50"/>
      <c r="BJ884" s="50"/>
      <c r="BK884" s="50"/>
      <c r="BL884" s="50"/>
      <c r="BM884" s="50"/>
      <c r="BN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50"/>
      <c r="AC885" s="50"/>
      <c r="AD885" s="50"/>
      <c r="AE885" s="50"/>
      <c r="AF885" s="50"/>
      <c r="AG885" s="50"/>
      <c r="AH885" s="50"/>
      <c r="AI885" s="50"/>
      <c r="AJ885" s="50"/>
      <c r="AK885" s="50"/>
      <c r="AL885" s="50"/>
      <c r="AM885" s="50"/>
      <c r="AN885" s="50"/>
      <c r="AO885" s="50"/>
      <c r="AP885" s="50"/>
      <c r="AQ885" s="50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0"/>
      <c r="BE885" s="50"/>
      <c r="BF885" s="50"/>
      <c r="BG885" s="50"/>
      <c r="BH885" s="50"/>
      <c r="BI885" s="50"/>
      <c r="BJ885" s="50"/>
      <c r="BK885" s="50"/>
      <c r="BL885" s="50"/>
      <c r="BM885" s="50"/>
      <c r="BN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50"/>
      <c r="AC886" s="50"/>
      <c r="AD886" s="50"/>
      <c r="AE886" s="50"/>
      <c r="AF886" s="50"/>
      <c r="AG886" s="50"/>
      <c r="AH886" s="50"/>
      <c r="AI886" s="50"/>
      <c r="AJ886" s="50"/>
      <c r="AK886" s="50"/>
      <c r="AL886" s="50"/>
      <c r="AM886" s="50"/>
      <c r="AN886" s="50"/>
      <c r="AO886" s="50"/>
      <c r="AP886" s="50"/>
      <c r="AQ886" s="50"/>
      <c r="AR886" s="50"/>
      <c r="AS886" s="50"/>
      <c r="AT886" s="50"/>
      <c r="AU886" s="50"/>
      <c r="AV886" s="50"/>
      <c r="AW886" s="50"/>
      <c r="AX886" s="50"/>
      <c r="AY886" s="50"/>
      <c r="AZ886" s="50"/>
      <c r="BA886" s="50"/>
      <c r="BB886" s="50"/>
      <c r="BC886" s="50"/>
      <c r="BD886" s="50"/>
      <c r="BE886" s="50"/>
      <c r="BF886" s="50"/>
      <c r="BG886" s="50"/>
      <c r="BH886" s="50"/>
      <c r="BI886" s="50"/>
      <c r="BJ886" s="50"/>
      <c r="BK886" s="50"/>
      <c r="BL886" s="50"/>
      <c r="BM886" s="50"/>
      <c r="BN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50"/>
      <c r="AC887" s="50"/>
      <c r="AD887" s="50"/>
      <c r="AE887" s="50"/>
      <c r="AF887" s="50"/>
      <c r="AG887" s="50"/>
      <c r="AH887" s="50"/>
      <c r="AI887" s="50"/>
      <c r="AJ887" s="50"/>
      <c r="AK887" s="50"/>
      <c r="AL887" s="50"/>
      <c r="AM887" s="50"/>
      <c r="AN887" s="50"/>
      <c r="AO887" s="50"/>
      <c r="AP887" s="50"/>
      <c r="AQ887" s="50"/>
      <c r="AR887" s="50"/>
      <c r="AS887" s="50"/>
      <c r="AT887" s="50"/>
      <c r="AU887" s="50"/>
      <c r="AV887" s="50"/>
      <c r="AW887" s="50"/>
      <c r="AX887" s="50"/>
      <c r="AY887" s="50"/>
      <c r="AZ887" s="50"/>
      <c r="BA887" s="50"/>
      <c r="BB887" s="50"/>
      <c r="BC887" s="50"/>
      <c r="BD887" s="50"/>
      <c r="BE887" s="50"/>
      <c r="BF887" s="50"/>
      <c r="BG887" s="50"/>
      <c r="BH887" s="50"/>
      <c r="BI887" s="50"/>
      <c r="BJ887" s="50"/>
      <c r="BK887" s="50"/>
      <c r="BL887" s="50"/>
      <c r="BM887" s="50"/>
      <c r="BN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50"/>
      <c r="AC888" s="50"/>
      <c r="AD888" s="50"/>
      <c r="AE888" s="50"/>
      <c r="AF888" s="50"/>
      <c r="AG888" s="50"/>
      <c r="AH888" s="50"/>
      <c r="AI888" s="50"/>
      <c r="AJ888" s="50"/>
      <c r="AK888" s="50"/>
      <c r="AL888" s="50"/>
      <c r="AM888" s="50"/>
      <c r="AN888" s="50"/>
      <c r="AO888" s="50"/>
      <c r="AP888" s="50"/>
      <c r="AQ888" s="50"/>
      <c r="AR888" s="50"/>
      <c r="AS888" s="50"/>
      <c r="AT888" s="50"/>
      <c r="AU888" s="50"/>
      <c r="AV888" s="50"/>
      <c r="AW888" s="50"/>
      <c r="AX888" s="50"/>
      <c r="AY888" s="50"/>
      <c r="AZ888" s="50"/>
      <c r="BA888" s="50"/>
      <c r="BB888" s="50"/>
      <c r="BC888" s="50"/>
      <c r="BD888" s="50"/>
      <c r="BE888" s="50"/>
      <c r="BF888" s="50"/>
      <c r="BG888" s="50"/>
      <c r="BH888" s="50"/>
      <c r="BI888" s="50"/>
      <c r="BJ888" s="50"/>
      <c r="BK888" s="50"/>
      <c r="BL888" s="50"/>
      <c r="BM888" s="50"/>
      <c r="BN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50"/>
      <c r="AC889" s="50"/>
      <c r="AD889" s="50"/>
      <c r="AE889" s="50"/>
      <c r="AF889" s="50"/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50"/>
      <c r="AR889" s="50"/>
      <c r="AS889" s="50"/>
      <c r="AT889" s="50"/>
      <c r="AU889" s="50"/>
      <c r="AV889" s="50"/>
      <c r="AW889" s="50"/>
      <c r="AX889" s="50"/>
      <c r="AY889" s="50"/>
      <c r="AZ889" s="50"/>
      <c r="BA889" s="50"/>
      <c r="BB889" s="50"/>
      <c r="BC889" s="50"/>
      <c r="BD889" s="50"/>
      <c r="BE889" s="50"/>
      <c r="BF889" s="50"/>
      <c r="BG889" s="50"/>
      <c r="BH889" s="50"/>
      <c r="BI889" s="50"/>
      <c r="BJ889" s="50"/>
      <c r="BK889" s="50"/>
      <c r="BL889" s="50"/>
      <c r="BM889" s="50"/>
      <c r="BN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50"/>
      <c r="AC890" s="50"/>
      <c r="AD890" s="50"/>
      <c r="AE890" s="50"/>
      <c r="AF890" s="50"/>
      <c r="AG890" s="50"/>
      <c r="AH890" s="50"/>
      <c r="AI890" s="50"/>
      <c r="AJ890" s="50"/>
      <c r="AK890" s="50"/>
      <c r="AL890" s="50"/>
      <c r="AM890" s="50"/>
      <c r="AN890" s="50"/>
      <c r="AO890" s="50"/>
      <c r="AP890" s="50"/>
      <c r="AQ890" s="50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/>
      <c r="BE890" s="50"/>
      <c r="BF890" s="50"/>
      <c r="BG890" s="50"/>
      <c r="BH890" s="50"/>
      <c r="BI890" s="50"/>
      <c r="BJ890" s="50"/>
      <c r="BK890" s="50"/>
      <c r="BL890" s="50"/>
      <c r="BM890" s="50"/>
      <c r="BN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50"/>
      <c r="AC891" s="50"/>
      <c r="AD891" s="50"/>
      <c r="AE891" s="50"/>
      <c r="AF891" s="50"/>
      <c r="AG891" s="50"/>
      <c r="AH891" s="50"/>
      <c r="AI891" s="50"/>
      <c r="AJ891" s="50"/>
      <c r="AK891" s="50"/>
      <c r="AL891" s="50"/>
      <c r="AM891" s="50"/>
      <c r="AN891" s="50"/>
      <c r="AO891" s="50"/>
      <c r="AP891" s="50"/>
      <c r="AQ891" s="50"/>
      <c r="AR891" s="50"/>
      <c r="AS891" s="50"/>
      <c r="AT891" s="50"/>
      <c r="AU891" s="50"/>
      <c r="AV891" s="50"/>
      <c r="AW891" s="50"/>
      <c r="AX891" s="50"/>
      <c r="AY891" s="50"/>
      <c r="AZ891" s="50"/>
      <c r="BA891" s="50"/>
      <c r="BB891" s="50"/>
      <c r="BC891" s="50"/>
      <c r="BD891" s="50"/>
      <c r="BE891" s="50"/>
      <c r="BF891" s="50"/>
      <c r="BG891" s="50"/>
      <c r="BH891" s="50"/>
      <c r="BI891" s="50"/>
      <c r="BJ891" s="50"/>
      <c r="BK891" s="50"/>
      <c r="BL891" s="50"/>
      <c r="BM891" s="50"/>
      <c r="BN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50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0"/>
      <c r="BE892" s="50"/>
      <c r="BF892" s="50"/>
      <c r="BG892" s="50"/>
      <c r="BH892" s="50"/>
      <c r="BI892" s="50"/>
      <c r="BJ892" s="50"/>
      <c r="BK892" s="50"/>
      <c r="BL892" s="50"/>
      <c r="BM892" s="50"/>
      <c r="BN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50"/>
      <c r="AC893" s="50"/>
      <c r="AD893" s="50"/>
      <c r="AE893" s="50"/>
      <c r="AF893" s="50"/>
      <c r="AG893" s="50"/>
      <c r="AH893" s="50"/>
      <c r="AI893" s="50"/>
      <c r="AJ893" s="50"/>
      <c r="AK893" s="50"/>
      <c r="AL893" s="50"/>
      <c r="AM893" s="50"/>
      <c r="AN893" s="50"/>
      <c r="AO893" s="50"/>
      <c r="AP893" s="50"/>
      <c r="AQ893" s="50"/>
      <c r="AR893" s="50"/>
      <c r="AS893" s="50"/>
      <c r="AT893" s="50"/>
      <c r="AU893" s="50"/>
      <c r="AV893" s="50"/>
      <c r="AW893" s="50"/>
      <c r="AX893" s="50"/>
      <c r="AY893" s="50"/>
      <c r="AZ893" s="50"/>
      <c r="BA893" s="50"/>
      <c r="BB893" s="50"/>
      <c r="BC893" s="50"/>
      <c r="BD893" s="50"/>
      <c r="BE893" s="50"/>
      <c r="BF893" s="50"/>
      <c r="BG893" s="50"/>
      <c r="BH893" s="50"/>
      <c r="BI893" s="50"/>
      <c r="BJ893" s="50"/>
      <c r="BK893" s="50"/>
      <c r="BL893" s="50"/>
      <c r="BM893" s="50"/>
      <c r="BN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50"/>
      <c r="AC894" s="50"/>
      <c r="AD894" s="50"/>
      <c r="AE894" s="50"/>
      <c r="AF894" s="50"/>
      <c r="AG894" s="50"/>
      <c r="AH894" s="50"/>
      <c r="AI894" s="50"/>
      <c r="AJ894" s="50"/>
      <c r="AK894" s="50"/>
      <c r="AL894" s="50"/>
      <c r="AM894" s="50"/>
      <c r="AN894" s="50"/>
      <c r="AO894" s="50"/>
      <c r="AP894" s="50"/>
      <c r="AQ894" s="50"/>
      <c r="AR894" s="50"/>
      <c r="AS894" s="50"/>
      <c r="AT894" s="50"/>
      <c r="AU894" s="50"/>
      <c r="AV894" s="50"/>
      <c r="AW894" s="50"/>
      <c r="AX894" s="50"/>
      <c r="AY894" s="50"/>
      <c r="AZ894" s="50"/>
      <c r="BA894" s="50"/>
      <c r="BB894" s="50"/>
      <c r="BC894" s="50"/>
      <c r="BD894" s="50"/>
      <c r="BE894" s="50"/>
      <c r="BF894" s="50"/>
      <c r="BG894" s="50"/>
      <c r="BH894" s="50"/>
      <c r="BI894" s="50"/>
      <c r="BJ894" s="50"/>
      <c r="BK894" s="50"/>
      <c r="BL894" s="50"/>
      <c r="BM894" s="50"/>
      <c r="BN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50"/>
      <c r="AC895" s="50"/>
      <c r="AD895" s="50"/>
      <c r="AE895" s="50"/>
      <c r="AF895" s="50"/>
      <c r="AG895" s="50"/>
      <c r="AH895" s="50"/>
      <c r="AI895" s="50"/>
      <c r="AJ895" s="50"/>
      <c r="AK895" s="50"/>
      <c r="AL895" s="50"/>
      <c r="AM895" s="50"/>
      <c r="AN895" s="50"/>
      <c r="AO895" s="50"/>
      <c r="AP895" s="50"/>
      <c r="AQ895" s="50"/>
      <c r="AR895" s="50"/>
      <c r="AS895" s="50"/>
      <c r="AT895" s="50"/>
      <c r="AU895" s="50"/>
      <c r="AV895" s="50"/>
      <c r="AW895" s="50"/>
      <c r="AX895" s="50"/>
      <c r="AY895" s="50"/>
      <c r="AZ895" s="50"/>
      <c r="BA895" s="50"/>
      <c r="BB895" s="50"/>
      <c r="BC895" s="50"/>
      <c r="BD895" s="50"/>
      <c r="BE895" s="50"/>
      <c r="BF895" s="50"/>
      <c r="BG895" s="50"/>
      <c r="BH895" s="50"/>
      <c r="BI895" s="50"/>
      <c r="BJ895" s="50"/>
      <c r="BK895" s="50"/>
      <c r="BL895" s="50"/>
      <c r="BM895" s="50"/>
      <c r="BN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50"/>
      <c r="AC896" s="50"/>
      <c r="AD896" s="50"/>
      <c r="AE896" s="50"/>
      <c r="AF896" s="50"/>
      <c r="AG896" s="50"/>
      <c r="AH896" s="50"/>
      <c r="AI896" s="50"/>
      <c r="AJ896" s="50"/>
      <c r="AK896" s="50"/>
      <c r="AL896" s="50"/>
      <c r="AM896" s="50"/>
      <c r="AN896" s="50"/>
      <c r="AO896" s="50"/>
      <c r="AP896" s="50"/>
      <c r="AQ896" s="50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0"/>
      <c r="BE896" s="50"/>
      <c r="BF896" s="50"/>
      <c r="BG896" s="50"/>
      <c r="BH896" s="50"/>
      <c r="BI896" s="50"/>
      <c r="BJ896" s="50"/>
      <c r="BK896" s="50"/>
      <c r="BL896" s="50"/>
      <c r="BM896" s="50"/>
      <c r="BN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  <c r="AB897" s="50"/>
      <c r="AC897" s="50"/>
      <c r="AD897" s="50"/>
      <c r="AE897" s="50"/>
      <c r="AF897" s="50"/>
      <c r="AG897" s="50"/>
      <c r="AH897" s="50"/>
      <c r="AI897" s="50"/>
      <c r="AJ897" s="50"/>
      <c r="AK897" s="50"/>
      <c r="AL897" s="50"/>
      <c r="AM897" s="50"/>
      <c r="AN897" s="50"/>
      <c r="AO897" s="50"/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/>
      <c r="BE897" s="50"/>
      <c r="BF897" s="50"/>
      <c r="BG897" s="50"/>
      <c r="BH897" s="50"/>
      <c r="BI897" s="50"/>
      <c r="BJ897" s="50"/>
      <c r="BK897" s="50"/>
      <c r="BL897" s="50"/>
      <c r="BM897" s="50"/>
      <c r="BN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  <c r="AB898" s="50"/>
      <c r="AC898" s="50"/>
      <c r="AD898" s="50"/>
      <c r="AE898" s="50"/>
      <c r="AF898" s="50"/>
      <c r="AG898" s="50"/>
      <c r="AH898" s="50"/>
      <c r="AI898" s="50"/>
      <c r="AJ898" s="50"/>
      <c r="AK898" s="50"/>
      <c r="AL898" s="50"/>
      <c r="AM898" s="50"/>
      <c r="AN898" s="50"/>
      <c r="AO898" s="50"/>
      <c r="AP898" s="50"/>
      <c r="AQ898" s="50"/>
      <c r="AR898" s="50"/>
      <c r="AS898" s="50"/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0"/>
      <c r="BE898" s="50"/>
      <c r="BF898" s="50"/>
      <c r="BG898" s="50"/>
      <c r="BH898" s="50"/>
      <c r="BI898" s="50"/>
      <c r="BJ898" s="50"/>
      <c r="BK898" s="50"/>
      <c r="BL898" s="50"/>
      <c r="BM898" s="50"/>
      <c r="BN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8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  <c r="AL899" s="50"/>
      <c r="AM899" s="50"/>
      <c r="AN899" s="50"/>
      <c r="AO899" s="50"/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/>
      <c r="BE899" s="50"/>
      <c r="BF899" s="50"/>
      <c r="BG899" s="50"/>
      <c r="BH899" s="50"/>
      <c r="BI899" s="50"/>
      <c r="BJ899" s="50"/>
      <c r="BK899" s="50"/>
      <c r="BL899" s="50"/>
      <c r="BM899" s="50"/>
      <c r="BN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8"/>
      <c r="AB900" s="50"/>
      <c r="AC900" s="50"/>
      <c r="AD900" s="50"/>
      <c r="AE900" s="50"/>
      <c r="AF900" s="50"/>
      <c r="AG900" s="50"/>
      <c r="AH900" s="50"/>
      <c r="AI900" s="50"/>
      <c r="AJ900" s="50"/>
      <c r="AK900" s="50"/>
      <c r="AL900" s="50"/>
      <c r="AM900" s="50"/>
      <c r="AN900" s="50"/>
      <c r="AO900" s="50"/>
      <c r="AP900" s="50"/>
      <c r="AQ900" s="50"/>
      <c r="AR900" s="50"/>
      <c r="AS900" s="50"/>
      <c r="AT900" s="50"/>
      <c r="AU900" s="50"/>
      <c r="AV900" s="50"/>
      <c r="AW900" s="50"/>
      <c r="AX900" s="50"/>
      <c r="AY900" s="50"/>
      <c r="AZ900" s="50"/>
      <c r="BA900" s="50"/>
      <c r="BB900" s="50"/>
      <c r="BC900" s="50"/>
      <c r="BD900" s="50"/>
      <c r="BE900" s="50"/>
      <c r="BF900" s="50"/>
      <c r="BG900" s="50"/>
      <c r="BH900" s="50"/>
      <c r="BI900" s="50"/>
      <c r="BJ900" s="50"/>
      <c r="BK900" s="50"/>
      <c r="BL900" s="50"/>
      <c r="BM900" s="50"/>
      <c r="BN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8"/>
      <c r="AB901" s="50"/>
      <c r="AC901" s="50"/>
      <c r="AD901" s="50"/>
      <c r="AE901" s="50"/>
      <c r="AF901" s="50"/>
      <c r="AG901" s="50"/>
      <c r="AH901" s="50"/>
      <c r="AI901" s="50"/>
      <c r="AJ901" s="50"/>
      <c r="AK901" s="50"/>
      <c r="AL901" s="50"/>
      <c r="AM901" s="50"/>
      <c r="AN901" s="50"/>
      <c r="AO901" s="50"/>
      <c r="AP901" s="50"/>
      <c r="AQ901" s="50"/>
      <c r="AR901" s="50"/>
      <c r="AS901" s="50"/>
      <c r="AT901" s="50"/>
      <c r="AU901" s="50"/>
      <c r="AV901" s="50"/>
      <c r="AW901" s="50"/>
      <c r="AX901" s="50"/>
      <c r="AY901" s="50"/>
      <c r="AZ901" s="50"/>
      <c r="BA901" s="50"/>
      <c r="BB901" s="50"/>
      <c r="BC901" s="50"/>
      <c r="BD901" s="50"/>
      <c r="BE901" s="50"/>
      <c r="BF901" s="50"/>
      <c r="BG901" s="50"/>
      <c r="BH901" s="50"/>
      <c r="BI901" s="50"/>
      <c r="BJ901" s="50"/>
      <c r="BK901" s="50"/>
      <c r="BL901" s="50"/>
      <c r="BM901" s="50"/>
      <c r="BN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  <c r="AA902" s="168"/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  <c r="AL902" s="50"/>
      <c r="AM902" s="50"/>
      <c r="AN902" s="50"/>
      <c r="AO902" s="50"/>
      <c r="AP902" s="50"/>
      <c r="AQ902" s="50"/>
      <c r="AR902" s="50"/>
      <c r="AS902" s="50"/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0"/>
      <c r="BE902" s="50"/>
      <c r="BF902" s="50"/>
      <c r="BG902" s="50"/>
      <c r="BH902" s="50"/>
      <c r="BI902" s="50"/>
      <c r="BJ902" s="50"/>
      <c r="BK902" s="50"/>
      <c r="BL902" s="50"/>
      <c r="BM902" s="50"/>
      <c r="BN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  <c r="AA903" s="168"/>
      <c r="AB903" s="50"/>
      <c r="AC903" s="50"/>
      <c r="AD903" s="50"/>
      <c r="AE903" s="50"/>
      <c r="AF903" s="50"/>
      <c r="AG903" s="50"/>
      <c r="AH903" s="50"/>
      <c r="AI903" s="50"/>
      <c r="AJ903" s="50"/>
      <c r="AK903" s="50"/>
      <c r="AL903" s="50"/>
      <c r="AM903" s="50"/>
      <c r="AN903" s="50"/>
      <c r="AO903" s="50"/>
      <c r="AP903" s="50"/>
      <c r="AQ903" s="50"/>
      <c r="AR903" s="50"/>
      <c r="AS903" s="50"/>
      <c r="AT903" s="50"/>
      <c r="AU903" s="50"/>
      <c r="AV903" s="50"/>
      <c r="AW903" s="50"/>
      <c r="AX903" s="50"/>
      <c r="AY903" s="50"/>
      <c r="AZ903" s="50"/>
      <c r="BA903" s="50"/>
      <c r="BB903" s="50"/>
      <c r="BC903" s="50"/>
      <c r="BD903" s="50"/>
      <c r="BE903" s="50"/>
      <c r="BF903" s="50"/>
      <c r="BG903" s="50"/>
      <c r="BH903" s="50"/>
      <c r="BI903" s="50"/>
      <c r="BJ903" s="50"/>
      <c r="BK903" s="50"/>
      <c r="BL903" s="50"/>
      <c r="BM903" s="50"/>
      <c r="BN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  <c r="AA904" s="168"/>
      <c r="AB904" s="50"/>
      <c r="AC904" s="50"/>
      <c r="AD904" s="50"/>
      <c r="AE904" s="50"/>
      <c r="AF904" s="50"/>
      <c r="AG904" s="50"/>
      <c r="AH904" s="50"/>
      <c r="AI904" s="50"/>
      <c r="AJ904" s="50"/>
      <c r="AK904" s="50"/>
      <c r="AL904" s="50"/>
      <c r="AM904" s="50"/>
      <c r="AN904" s="50"/>
      <c r="AO904" s="50"/>
      <c r="AP904" s="50"/>
      <c r="AQ904" s="50"/>
      <c r="AR904" s="50"/>
      <c r="AS904" s="50"/>
      <c r="AT904" s="50"/>
      <c r="AU904" s="50"/>
      <c r="AV904" s="50"/>
      <c r="AW904" s="50"/>
      <c r="AX904" s="50"/>
      <c r="AY904" s="50"/>
      <c r="AZ904" s="50"/>
      <c r="BA904" s="50"/>
      <c r="BB904" s="50"/>
      <c r="BC904" s="50"/>
      <c r="BD904" s="50"/>
      <c r="BE904" s="50"/>
      <c r="BF904" s="50"/>
      <c r="BG904" s="50"/>
      <c r="BH904" s="50"/>
      <c r="BI904" s="50"/>
      <c r="BJ904" s="50"/>
      <c r="BK904" s="50"/>
      <c r="BL904" s="50"/>
      <c r="BM904" s="50"/>
      <c r="BN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  <c r="AA905" s="168"/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/>
      <c r="BE905" s="50"/>
      <c r="BF905" s="50"/>
      <c r="BG905" s="50"/>
      <c r="BH905" s="50"/>
      <c r="BI905" s="50"/>
      <c r="BJ905" s="50"/>
      <c r="BK905" s="50"/>
      <c r="BL905" s="50"/>
      <c r="BM905" s="50"/>
      <c r="BN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  <c r="AA906" s="168"/>
      <c r="AB906" s="50"/>
      <c r="AC906" s="50"/>
      <c r="AD906" s="50"/>
      <c r="AE906" s="50"/>
      <c r="AF906" s="50"/>
      <c r="AG906" s="50"/>
      <c r="AH906" s="50"/>
      <c r="AI906" s="50"/>
      <c r="AJ906" s="50"/>
      <c r="AK906" s="50"/>
      <c r="AL906" s="50"/>
      <c r="AM906" s="50"/>
      <c r="AN906" s="50"/>
      <c r="AO906" s="50"/>
      <c r="AP906" s="50"/>
      <c r="AQ906" s="50"/>
      <c r="AR906" s="50"/>
      <c r="AS906" s="50"/>
      <c r="AT906" s="50"/>
      <c r="AU906" s="50"/>
      <c r="AV906" s="50"/>
      <c r="AW906" s="50"/>
      <c r="AX906" s="50"/>
      <c r="AY906" s="50"/>
      <c r="AZ906" s="50"/>
      <c r="BA906" s="50"/>
      <c r="BB906" s="50"/>
      <c r="BC906" s="50"/>
      <c r="BD906" s="50"/>
      <c r="BE906" s="50"/>
      <c r="BF906" s="50"/>
      <c r="BG906" s="50"/>
      <c r="BH906" s="50"/>
      <c r="BI906" s="50"/>
      <c r="BJ906" s="50"/>
      <c r="BK906" s="50"/>
      <c r="BL906" s="50"/>
      <c r="BM906" s="50"/>
      <c r="BN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  <c r="AA907" s="168"/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  <c r="AL907" s="50"/>
      <c r="AM907" s="50"/>
      <c r="AN907" s="50"/>
      <c r="AO907" s="50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/>
      <c r="BB907" s="50"/>
      <c r="BC907" s="50"/>
      <c r="BD907" s="50"/>
      <c r="BE907" s="50"/>
      <c r="BF907" s="50"/>
      <c r="BG907" s="50"/>
      <c r="BH907" s="50"/>
      <c r="BI907" s="50"/>
      <c r="BJ907" s="50"/>
      <c r="BK907" s="50"/>
      <c r="BL907" s="50"/>
      <c r="BM907" s="50"/>
      <c r="BN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  <c r="AA908" s="168"/>
      <c r="AB908" s="50"/>
      <c r="AC908" s="50"/>
      <c r="AD908" s="50"/>
      <c r="AE908" s="50"/>
      <c r="AF908" s="50"/>
      <c r="AG908" s="50"/>
      <c r="AH908" s="50"/>
      <c r="AI908" s="50"/>
      <c r="AJ908" s="50"/>
      <c r="AK908" s="50"/>
      <c r="AL908" s="50"/>
      <c r="AM908" s="50"/>
      <c r="AN908" s="50"/>
      <c r="AO908" s="50"/>
      <c r="AP908" s="50"/>
      <c r="AQ908" s="50"/>
      <c r="AR908" s="50"/>
      <c r="AS908" s="50"/>
      <c r="AT908" s="50"/>
      <c r="AU908" s="50"/>
      <c r="AV908" s="50"/>
      <c r="AW908" s="50"/>
      <c r="AX908" s="50"/>
      <c r="AY908" s="50"/>
      <c r="AZ908" s="50"/>
      <c r="BA908" s="50"/>
      <c r="BB908" s="50"/>
      <c r="BC908" s="50"/>
      <c r="BD908" s="50"/>
      <c r="BE908" s="50"/>
      <c r="BF908" s="50"/>
      <c r="BG908" s="50"/>
      <c r="BH908" s="50"/>
      <c r="BI908" s="50"/>
      <c r="BJ908" s="50"/>
      <c r="BK908" s="50"/>
      <c r="BL908" s="50"/>
      <c r="BM908" s="50"/>
      <c r="BN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  <c r="AA909" s="168"/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/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/>
      <c r="BB909" s="50"/>
      <c r="BC909" s="50"/>
      <c r="BD909" s="50"/>
      <c r="BE909" s="50"/>
      <c r="BF909" s="50"/>
      <c r="BG909" s="50"/>
      <c r="BH909" s="50"/>
      <c r="BI909" s="50"/>
      <c r="BJ909" s="50"/>
      <c r="BK909" s="50"/>
      <c r="BL909" s="50"/>
      <c r="BM909" s="50"/>
      <c r="BN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  <c r="AA910" s="168"/>
      <c r="AB910" s="50"/>
      <c r="AC910" s="50"/>
      <c r="AD910" s="50"/>
      <c r="AE910" s="50"/>
      <c r="AF910" s="50"/>
      <c r="AG910" s="50"/>
      <c r="AH910" s="50"/>
      <c r="AI910" s="50"/>
      <c r="AJ910" s="50"/>
      <c r="AK910" s="50"/>
      <c r="AL910" s="50"/>
      <c r="AM910" s="50"/>
      <c r="AN910" s="50"/>
      <c r="AO910" s="50"/>
      <c r="AP910" s="50"/>
      <c r="AQ910" s="50"/>
      <c r="AR910" s="50"/>
      <c r="AS910" s="50"/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0"/>
      <c r="BE910" s="50"/>
      <c r="BF910" s="50"/>
      <c r="BG910" s="50"/>
      <c r="BH910" s="50"/>
      <c r="BI910" s="50"/>
      <c r="BJ910" s="50"/>
      <c r="BK910" s="50"/>
      <c r="BL910" s="50"/>
      <c r="BM910" s="50"/>
      <c r="BN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  <c r="AA911" s="168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  <c r="AL911" s="50"/>
      <c r="AM911" s="50"/>
      <c r="AN911" s="50"/>
      <c r="AO911" s="50"/>
      <c r="AP911" s="50"/>
      <c r="AQ911" s="50"/>
      <c r="AR911" s="50"/>
      <c r="AS911" s="50"/>
      <c r="AT911" s="50"/>
      <c r="AU911" s="50"/>
      <c r="AV911" s="50"/>
      <c r="AW911" s="50"/>
      <c r="AX911" s="50"/>
      <c r="AY911" s="50"/>
      <c r="AZ911" s="50"/>
      <c r="BA911" s="50"/>
      <c r="BB911" s="50"/>
      <c r="BC911" s="50"/>
      <c r="BD911" s="50"/>
      <c r="BE911" s="50"/>
      <c r="BF911" s="50"/>
      <c r="BG911" s="50"/>
      <c r="BH911" s="50"/>
      <c r="BI911" s="50"/>
      <c r="BJ911" s="50"/>
      <c r="BK911" s="50"/>
      <c r="BL911" s="50"/>
      <c r="BM911" s="50"/>
      <c r="BN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  <c r="AA912" s="168"/>
      <c r="AB912" s="50"/>
      <c r="AC912" s="50"/>
      <c r="AD912" s="50"/>
      <c r="AE912" s="50"/>
      <c r="AF912" s="50"/>
      <c r="AG912" s="50"/>
      <c r="AH912" s="50"/>
      <c r="AI912" s="50"/>
      <c r="AJ912" s="50"/>
      <c r="AK912" s="50"/>
      <c r="AL912" s="50"/>
      <c r="AM912" s="50"/>
      <c r="AN912" s="50"/>
      <c r="AO912" s="50"/>
      <c r="AP912" s="50"/>
      <c r="AQ912" s="50"/>
      <c r="AR912" s="50"/>
      <c r="AS912" s="50"/>
      <c r="AT912" s="50"/>
      <c r="AU912" s="50"/>
      <c r="AV912" s="50"/>
      <c r="AW912" s="50"/>
      <c r="AX912" s="50"/>
      <c r="AY912" s="50"/>
      <c r="AZ912" s="50"/>
      <c r="BA912" s="50"/>
      <c r="BB912" s="50"/>
      <c r="BC912" s="50"/>
      <c r="BD912" s="50"/>
      <c r="BE912" s="50"/>
      <c r="BF912" s="50"/>
      <c r="BG912" s="50"/>
      <c r="BH912" s="50"/>
      <c r="BI912" s="50"/>
      <c r="BJ912" s="50"/>
      <c r="BK912" s="50"/>
      <c r="BL912" s="50"/>
      <c r="BM912" s="50"/>
      <c r="BN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  <c r="AA913" s="168"/>
      <c r="AB913" s="50"/>
      <c r="AC913" s="50"/>
      <c r="AD913" s="50"/>
      <c r="AE913" s="50"/>
      <c r="AF913" s="50"/>
      <c r="AG913" s="50"/>
      <c r="AH913" s="50"/>
      <c r="AI913" s="50"/>
      <c r="AJ913" s="50"/>
      <c r="AK913" s="50"/>
      <c r="AL913" s="50"/>
      <c r="AM913" s="50"/>
      <c r="AN913" s="50"/>
      <c r="AO913" s="50"/>
      <c r="AP913" s="50"/>
      <c r="AQ913" s="50"/>
      <c r="AR913" s="50"/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/>
      <c r="BE913" s="50"/>
      <c r="BF913" s="50"/>
      <c r="BG913" s="50"/>
      <c r="BH913" s="50"/>
      <c r="BI913" s="50"/>
      <c r="BJ913" s="50"/>
      <c r="BK913" s="50"/>
      <c r="BL913" s="50"/>
      <c r="BM913" s="50"/>
      <c r="BN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  <c r="AA914" s="168"/>
      <c r="AB914" s="50"/>
      <c r="AC914" s="50"/>
      <c r="AD914" s="50"/>
      <c r="AE914" s="50"/>
      <c r="AF914" s="50"/>
      <c r="AG914" s="50"/>
      <c r="AH914" s="50"/>
      <c r="AI914" s="50"/>
      <c r="AJ914" s="50"/>
      <c r="AK914" s="50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/>
      <c r="BE914" s="50"/>
      <c r="BF914" s="50"/>
      <c r="BG914" s="50"/>
      <c r="BH914" s="50"/>
      <c r="BI914" s="50"/>
      <c r="BJ914" s="50"/>
      <c r="BK914" s="50"/>
      <c r="BL914" s="50"/>
      <c r="BM914" s="50"/>
      <c r="BN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  <c r="AA915" s="168"/>
      <c r="AB915" s="50"/>
      <c r="AC915" s="50"/>
      <c r="AD915" s="50"/>
      <c r="AE915" s="50"/>
      <c r="AF915" s="50"/>
      <c r="AG915" s="50"/>
      <c r="AH915" s="50"/>
      <c r="AI915" s="50"/>
      <c r="AJ915" s="50"/>
      <c r="AK915" s="50"/>
      <c r="AL915" s="50"/>
      <c r="AM915" s="50"/>
      <c r="AN915" s="50"/>
      <c r="AO915" s="50"/>
      <c r="AP915" s="50"/>
      <c r="AQ915" s="50"/>
      <c r="AR915" s="50"/>
      <c r="AS915" s="50"/>
      <c r="AT915" s="50"/>
      <c r="AU915" s="50"/>
      <c r="AV915" s="50"/>
      <c r="AW915" s="50"/>
      <c r="AX915" s="50"/>
      <c r="AY915" s="50"/>
      <c r="AZ915" s="50"/>
      <c r="BA915" s="50"/>
      <c r="BB915" s="50"/>
      <c r="BC915" s="50"/>
      <c r="BD915" s="50"/>
      <c r="BE915" s="50"/>
      <c r="BF915" s="50"/>
      <c r="BG915" s="50"/>
      <c r="BH915" s="50"/>
      <c r="BI915" s="50"/>
      <c r="BJ915" s="50"/>
      <c r="BK915" s="50"/>
      <c r="BL915" s="50"/>
      <c r="BM915" s="50"/>
      <c r="BN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  <c r="AA916" s="168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/>
      <c r="BE916" s="50"/>
      <c r="BF916" s="50"/>
      <c r="BG916" s="50"/>
      <c r="BH916" s="50"/>
      <c r="BI916" s="50"/>
      <c r="BJ916" s="50"/>
      <c r="BK916" s="50"/>
      <c r="BL916" s="50"/>
      <c r="BM916" s="50"/>
      <c r="BN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  <c r="AA917" s="168"/>
      <c r="AB917" s="50"/>
      <c r="AC917" s="50"/>
      <c r="AD917" s="50"/>
      <c r="AE917" s="50"/>
      <c r="AF917" s="50"/>
      <c r="AG917" s="50"/>
      <c r="AH917" s="50"/>
      <c r="AI917" s="50"/>
      <c r="AJ917" s="50"/>
      <c r="AK917" s="50"/>
      <c r="AL917" s="50"/>
      <c r="AM917" s="50"/>
      <c r="AN917" s="50"/>
      <c r="AO917" s="50"/>
      <c r="AP917" s="50"/>
      <c r="AQ917" s="50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0"/>
      <c r="BE917" s="50"/>
      <c r="BF917" s="50"/>
      <c r="BG917" s="50"/>
      <c r="BH917" s="50"/>
      <c r="BI917" s="50"/>
      <c r="BJ917" s="50"/>
      <c r="BK917" s="50"/>
      <c r="BL917" s="50"/>
      <c r="BM917" s="50"/>
      <c r="BN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  <c r="AA918" s="168"/>
      <c r="AB918" s="50"/>
      <c r="AC918" s="50"/>
      <c r="AD918" s="50"/>
      <c r="AE918" s="50"/>
      <c r="AF918" s="50"/>
      <c r="AG918" s="50"/>
      <c r="AH918" s="50"/>
      <c r="AI918" s="50"/>
      <c r="AJ918" s="50"/>
      <c r="AK918" s="50"/>
      <c r="AL918" s="50"/>
      <c r="AM918" s="50"/>
      <c r="AN918" s="50"/>
      <c r="AO918" s="50"/>
      <c r="AP918" s="50"/>
      <c r="AQ918" s="50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0"/>
      <c r="BE918" s="50"/>
      <c r="BF918" s="50"/>
      <c r="BG918" s="50"/>
      <c r="BH918" s="50"/>
      <c r="BI918" s="50"/>
      <c r="BJ918" s="50"/>
      <c r="BK918" s="50"/>
      <c r="BL918" s="50"/>
      <c r="BM918" s="50"/>
      <c r="BN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  <c r="AA919" s="168"/>
      <c r="AB919" s="50"/>
      <c r="AC919" s="50"/>
      <c r="AD919" s="50"/>
      <c r="AE919" s="50"/>
      <c r="AF919" s="50"/>
      <c r="AG919" s="50"/>
      <c r="AH919" s="50"/>
      <c r="AI919" s="50"/>
      <c r="AJ919" s="50"/>
      <c r="AK919" s="50"/>
      <c r="AL919" s="50"/>
      <c r="AM919" s="50"/>
      <c r="AN919" s="50"/>
      <c r="AO919" s="50"/>
      <c r="AP919" s="50"/>
      <c r="AQ919" s="50"/>
      <c r="AR919" s="50"/>
      <c r="AS919" s="50"/>
      <c r="AT919" s="50"/>
      <c r="AU919" s="50"/>
      <c r="AV919" s="50"/>
      <c r="AW919" s="50"/>
      <c r="AX919" s="50"/>
      <c r="AY919" s="50"/>
      <c r="AZ919" s="50"/>
      <c r="BA919" s="50"/>
      <c r="BB919" s="50"/>
      <c r="BC919" s="50"/>
      <c r="BD919" s="50"/>
      <c r="BE919" s="50"/>
      <c r="BF919" s="50"/>
      <c r="BG919" s="50"/>
      <c r="BH919" s="50"/>
      <c r="BI919" s="50"/>
      <c r="BJ919" s="50"/>
      <c r="BK919" s="50"/>
      <c r="BL919" s="50"/>
      <c r="BM919" s="50"/>
      <c r="BN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  <c r="AA920" s="168"/>
      <c r="AB920" s="50"/>
      <c r="AC920" s="50"/>
      <c r="AD920" s="50"/>
      <c r="AE920" s="50"/>
      <c r="AF920" s="50"/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/>
      <c r="BE920" s="50"/>
      <c r="BF920" s="50"/>
      <c r="BG920" s="50"/>
      <c r="BH920" s="50"/>
      <c r="BI920" s="50"/>
      <c r="BJ920" s="50"/>
      <c r="BK920" s="50"/>
      <c r="BL920" s="50"/>
      <c r="BM920" s="50"/>
      <c r="BN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  <c r="AA921" s="168"/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  <c r="AL921" s="50"/>
      <c r="AM921" s="50"/>
      <c r="AN921" s="50"/>
      <c r="AO921" s="50"/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/>
      <c r="BE921" s="50"/>
      <c r="BF921" s="50"/>
      <c r="BG921" s="50"/>
      <c r="BH921" s="50"/>
      <c r="BI921" s="50"/>
      <c r="BJ921" s="50"/>
      <c r="BK921" s="50"/>
      <c r="BL921" s="50"/>
      <c r="BM921" s="50"/>
      <c r="BN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  <c r="AA922" s="168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  <c r="AL922" s="50"/>
      <c r="AM922" s="50"/>
      <c r="AN922" s="50"/>
      <c r="AO922" s="50"/>
      <c r="AP922" s="50"/>
      <c r="AQ922" s="50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/>
      <c r="BE922" s="50"/>
      <c r="BF922" s="50"/>
      <c r="BG922" s="50"/>
      <c r="BH922" s="50"/>
      <c r="BI922" s="50"/>
      <c r="BJ922" s="50"/>
      <c r="BK922" s="50"/>
      <c r="BL922" s="50"/>
      <c r="BM922" s="50"/>
      <c r="BN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  <c r="AA923" s="168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/>
      <c r="BE923" s="50"/>
      <c r="BF923" s="50"/>
      <c r="BG923" s="50"/>
      <c r="BH923" s="50"/>
      <c r="BI923" s="50"/>
      <c r="BJ923" s="50"/>
      <c r="BK923" s="50"/>
      <c r="BL923" s="50"/>
      <c r="BM923" s="50"/>
      <c r="BN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  <c r="AA924" s="168"/>
      <c r="AB924" s="50"/>
      <c r="AC924" s="50"/>
      <c r="AD924" s="50"/>
      <c r="AE924" s="50"/>
      <c r="AF924" s="50"/>
      <c r="AG924" s="50"/>
      <c r="AH924" s="50"/>
      <c r="AI924" s="50"/>
      <c r="AJ924" s="50"/>
      <c r="AK924" s="50"/>
      <c r="AL924" s="50"/>
      <c r="AM924" s="50"/>
      <c r="AN924" s="50"/>
      <c r="AO924" s="50"/>
      <c r="AP924" s="50"/>
      <c r="AQ924" s="50"/>
      <c r="AR924" s="50"/>
      <c r="AS924" s="50"/>
      <c r="AT924" s="50"/>
      <c r="AU924" s="50"/>
      <c r="AV924" s="50"/>
      <c r="AW924" s="50"/>
      <c r="AX924" s="50"/>
      <c r="AY924" s="50"/>
      <c r="AZ924" s="50"/>
      <c r="BA924" s="50"/>
      <c r="BB924" s="50"/>
      <c r="BC924" s="50"/>
      <c r="BD924" s="50"/>
      <c r="BE924" s="50"/>
      <c r="BF924" s="50"/>
      <c r="BG924" s="50"/>
      <c r="BH924" s="50"/>
      <c r="BI924" s="50"/>
      <c r="BJ924" s="50"/>
      <c r="BK924" s="50"/>
      <c r="BL924" s="50"/>
      <c r="BM924" s="50"/>
      <c r="BN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  <c r="AA925" s="168"/>
      <c r="AB925" s="50"/>
      <c r="AC925" s="50"/>
      <c r="AD925" s="50"/>
      <c r="AE925" s="50"/>
      <c r="AF925" s="50"/>
      <c r="AG925" s="50"/>
      <c r="AH925" s="50"/>
      <c r="AI925" s="50"/>
      <c r="AJ925" s="50"/>
      <c r="AK925" s="50"/>
      <c r="AL925" s="50"/>
      <c r="AM925" s="50"/>
      <c r="AN925" s="50"/>
      <c r="AO925" s="50"/>
      <c r="AP925" s="50"/>
      <c r="AQ925" s="50"/>
      <c r="AR925" s="50"/>
      <c r="AS925" s="50"/>
      <c r="AT925" s="50"/>
      <c r="AU925" s="50"/>
      <c r="AV925" s="50"/>
      <c r="AW925" s="50"/>
      <c r="AX925" s="50"/>
      <c r="AY925" s="50"/>
      <c r="AZ925" s="50"/>
      <c r="BA925" s="50"/>
      <c r="BB925" s="50"/>
      <c r="BC925" s="50"/>
      <c r="BD925" s="50"/>
      <c r="BE925" s="50"/>
      <c r="BF925" s="50"/>
      <c r="BG925" s="50"/>
      <c r="BH925" s="50"/>
      <c r="BI925" s="50"/>
      <c r="BJ925" s="50"/>
      <c r="BK925" s="50"/>
      <c r="BL925" s="50"/>
      <c r="BM925" s="50"/>
      <c r="BN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  <c r="AA926" s="168"/>
      <c r="AB926" s="50"/>
      <c r="AC926" s="50"/>
      <c r="AD926" s="50"/>
      <c r="AE926" s="50"/>
      <c r="AF926" s="50"/>
      <c r="AG926" s="50"/>
      <c r="AH926" s="50"/>
      <c r="AI926" s="50"/>
      <c r="AJ926" s="50"/>
      <c r="AK926" s="50"/>
      <c r="AL926" s="50"/>
      <c r="AM926" s="50"/>
      <c r="AN926" s="50"/>
      <c r="AO926" s="50"/>
      <c r="AP926" s="50"/>
      <c r="AQ926" s="50"/>
      <c r="AR926" s="50"/>
      <c r="AS926" s="50"/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0"/>
      <c r="BE926" s="50"/>
      <c r="BF926" s="50"/>
      <c r="BG926" s="50"/>
      <c r="BH926" s="50"/>
      <c r="BI926" s="50"/>
      <c r="BJ926" s="50"/>
      <c r="BK926" s="50"/>
      <c r="BL926" s="50"/>
      <c r="BM926" s="50"/>
      <c r="BN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  <c r="AA927" s="168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  <c r="AL927" s="50"/>
      <c r="AM927" s="50"/>
      <c r="AN927" s="50"/>
      <c r="AO927" s="50"/>
      <c r="AP927" s="50"/>
      <c r="AQ927" s="50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0"/>
      <c r="BE927" s="50"/>
      <c r="BF927" s="50"/>
      <c r="BG927" s="50"/>
      <c r="BH927" s="50"/>
      <c r="BI927" s="50"/>
      <c r="BJ927" s="50"/>
      <c r="BK927" s="50"/>
      <c r="BL927" s="50"/>
      <c r="BM927" s="50"/>
      <c r="BN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  <c r="AA928" s="168"/>
      <c r="AB928" s="50"/>
      <c r="AC928" s="50"/>
      <c r="AD928" s="50"/>
      <c r="AE928" s="50"/>
      <c r="AF928" s="50"/>
      <c r="AG928" s="50"/>
      <c r="AH928" s="50"/>
      <c r="AI928" s="50"/>
      <c r="AJ928" s="50"/>
      <c r="AK928" s="50"/>
      <c r="AL928" s="50"/>
      <c r="AM928" s="50"/>
      <c r="AN928" s="50"/>
      <c r="AO928" s="50"/>
      <c r="AP928" s="50"/>
      <c r="AQ928" s="50"/>
      <c r="AR928" s="50"/>
      <c r="AS928" s="50"/>
      <c r="AT928" s="50"/>
      <c r="AU928" s="50"/>
      <c r="AV928" s="50"/>
      <c r="AW928" s="50"/>
      <c r="AX928" s="50"/>
      <c r="AY928" s="50"/>
      <c r="AZ928" s="50"/>
      <c r="BA928" s="50"/>
      <c r="BB928" s="50"/>
      <c r="BC928" s="50"/>
      <c r="BD928" s="50"/>
      <c r="BE928" s="50"/>
      <c r="BF928" s="50"/>
      <c r="BG928" s="50"/>
      <c r="BH928" s="50"/>
      <c r="BI928" s="50"/>
      <c r="BJ928" s="50"/>
      <c r="BK928" s="50"/>
      <c r="BL928" s="50"/>
      <c r="BM928" s="50"/>
      <c r="BN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  <c r="AA929" s="168"/>
      <c r="AB929" s="50"/>
      <c r="AC929" s="50"/>
      <c r="AD929" s="50"/>
      <c r="AE929" s="50"/>
      <c r="AF929" s="50"/>
      <c r="AG929" s="50"/>
      <c r="AH929" s="50"/>
      <c r="AI929" s="50"/>
      <c r="AJ929" s="50"/>
      <c r="AK929" s="50"/>
      <c r="AL929" s="50"/>
      <c r="AM929" s="50"/>
      <c r="AN929" s="50"/>
      <c r="AO929" s="50"/>
      <c r="AP929" s="50"/>
      <c r="AQ929" s="50"/>
      <c r="AR929" s="50"/>
      <c r="AS929" s="50"/>
      <c r="AT929" s="50"/>
      <c r="AU929" s="50"/>
      <c r="AV929" s="50"/>
      <c r="AW929" s="50"/>
      <c r="AX929" s="50"/>
      <c r="AY929" s="50"/>
      <c r="AZ929" s="50"/>
      <c r="BA929" s="50"/>
      <c r="BB929" s="50"/>
      <c r="BC929" s="50"/>
      <c r="BD929" s="50"/>
      <c r="BE929" s="50"/>
      <c r="BF929" s="50"/>
      <c r="BG929" s="50"/>
      <c r="BH929" s="50"/>
      <c r="BI929" s="50"/>
      <c r="BJ929" s="50"/>
      <c r="BK929" s="50"/>
      <c r="BL929" s="50"/>
      <c r="BM929" s="50"/>
      <c r="BN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  <c r="AA930" s="168"/>
      <c r="AB930" s="50"/>
      <c r="AC930" s="50"/>
      <c r="AD930" s="50"/>
      <c r="AE930" s="50"/>
      <c r="AF930" s="50"/>
      <c r="AG930" s="50"/>
      <c r="AH930" s="50"/>
      <c r="AI930" s="50"/>
      <c r="AJ930" s="50"/>
      <c r="AK930" s="50"/>
      <c r="AL930" s="50"/>
      <c r="AM930" s="50"/>
      <c r="AN930" s="50"/>
      <c r="AO930" s="50"/>
      <c r="AP930" s="50"/>
      <c r="AQ930" s="50"/>
      <c r="AR930" s="50"/>
      <c r="AS930" s="50"/>
      <c r="AT930" s="50"/>
      <c r="AU930" s="50"/>
      <c r="AV930" s="50"/>
      <c r="AW930" s="50"/>
      <c r="AX930" s="50"/>
      <c r="AY930" s="50"/>
      <c r="AZ930" s="50"/>
      <c r="BA930" s="50"/>
      <c r="BB930" s="50"/>
      <c r="BC930" s="50"/>
      <c r="BD930" s="50"/>
      <c r="BE930" s="50"/>
      <c r="BF930" s="50"/>
      <c r="BG930" s="50"/>
      <c r="BH930" s="50"/>
      <c r="BI930" s="50"/>
      <c r="BJ930" s="50"/>
      <c r="BK930" s="50"/>
      <c r="BL930" s="50"/>
      <c r="BM930" s="50"/>
      <c r="BN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  <c r="AA931" s="168"/>
      <c r="AB931" s="50"/>
      <c r="AC931" s="50"/>
      <c r="AD931" s="50"/>
      <c r="AE931" s="50"/>
      <c r="AF931" s="50"/>
      <c r="AG931" s="50"/>
      <c r="AH931" s="50"/>
      <c r="AI931" s="50"/>
      <c r="AJ931" s="50"/>
      <c r="AK931" s="50"/>
      <c r="AL931" s="50"/>
      <c r="AM931" s="50"/>
      <c r="AN931" s="50"/>
      <c r="AO931" s="50"/>
      <c r="AP931" s="50"/>
      <c r="AQ931" s="50"/>
      <c r="AR931" s="50"/>
      <c r="AS931" s="50"/>
      <c r="AT931" s="50"/>
      <c r="AU931" s="50"/>
      <c r="AV931" s="50"/>
      <c r="AW931" s="50"/>
      <c r="AX931" s="50"/>
      <c r="AY931" s="50"/>
      <c r="AZ931" s="50"/>
      <c r="BA931" s="50"/>
      <c r="BB931" s="50"/>
      <c r="BC931" s="50"/>
      <c r="BD931" s="50"/>
      <c r="BE931" s="50"/>
      <c r="BF931" s="50"/>
      <c r="BG931" s="50"/>
      <c r="BH931" s="50"/>
      <c r="BI931" s="50"/>
      <c r="BJ931" s="50"/>
      <c r="BK931" s="50"/>
      <c r="BL931" s="50"/>
      <c r="BM931" s="50"/>
      <c r="BN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  <c r="AA932" s="168"/>
      <c r="AB932" s="50"/>
      <c r="AC932" s="50"/>
      <c r="AD932" s="50"/>
      <c r="AE932" s="50"/>
      <c r="AF932" s="50"/>
      <c r="AG932" s="50"/>
      <c r="AH932" s="50"/>
      <c r="AI932" s="50"/>
      <c r="AJ932" s="50"/>
      <c r="AK932" s="50"/>
      <c r="AL932" s="50"/>
      <c r="AM932" s="50"/>
      <c r="AN932" s="50"/>
      <c r="AO932" s="50"/>
      <c r="AP932" s="50"/>
      <c r="AQ932" s="50"/>
      <c r="AR932" s="50"/>
      <c r="AS932" s="50"/>
      <c r="AT932" s="50"/>
      <c r="AU932" s="50"/>
      <c r="AV932" s="50"/>
      <c r="AW932" s="50"/>
      <c r="AX932" s="50"/>
      <c r="AY932" s="50"/>
      <c r="AZ932" s="50"/>
      <c r="BA932" s="50"/>
      <c r="BB932" s="50"/>
      <c r="BC932" s="50"/>
      <c r="BD932" s="50"/>
      <c r="BE932" s="50"/>
      <c r="BF932" s="50"/>
      <c r="BG932" s="50"/>
      <c r="BH932" s="50"/>
      <c r="BI932" s="50"/>
      <c r="BJ932" s="50"/>
      <c r="BK932" s="50"/>
      <c r="BL932" s="50"/>
      <c r="BM932" s="50"/>
      <c r="BN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  <c r="AA933" s="168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/>
      <c r="AR933" s="50"/>
      <c r="AS933" s="50"/>
      <c r="AT933" s="50"/>
      <c r="AU933" s="50"/>
      <c r="AV933" s="50"/>
      <c r="AW933" s="50"/>
      <c r="AX933" s="50"/>
      <c r="AY933" s="50"/>
      <c r="AZ933" s="50"/>
      <c r="BA933" s="50"/>
      <c r="BB933" s="50"/>
      <c r="BC933" s="50"/>
      <c r="BD933" s="50"/>
      <c r="BE933" s="50"/>
      <c r="BF933" s="50"/>
      <c r="BG933" s="50"/>
      <c r="BH933" s="50"/>
      <c r="BI933" s="50"/>
      <c r="BJ933" s="50"/>
      <c r="BK933" s="50"/>
      <c r="BL933" s="50"/>
      <c r="BM933" s="50"/>
      <c r="BN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  <c r="AA934" s="168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  <c r="AL934" s="50"/>
      <c r="AM934" s="50"/>
      <c r="AN934" s="50"/>
      <c r="AO934" s="50"/>
      <c r="AP934" s="50"/>
      <c r="AQ934" s="50"/>
      <c r="AR934" s="50"/>
      <c r="AS934" s="50"/>
      <c r="AT934" s="50"/>
      <c r="AU934" s="50"/>
      <c r="AV934" s="50"/>
      <c r="AW934" s="50"/>
      <c r="AX934" s="50"/>
      <c r="AY934" s="50"/>
      <c r="AZ934" s="50"/>
      <c r="BA934" s="50"/>
      <c r="BB934" s="50"/>
      <c r="BC934" s="50"/>
      <c r="BD934" s="50"/>
      <c r="BE934" s="50"/>
      <c r="BF934" s="50"/>
      <c r="BG934" s="50"/>
      <c r="BH934" s="50"/>
      <c r="BI934" s="50"/>
      <c r="BJ934" s="50"/>
      <c r="BK934" s="50"/>
      <c r="BL934" s="50"/>
      <c r="BM934" s="50"/>
      <c r="BN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  <c r="AA935" s="168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/>
      <c r="AR935" s="50"/>
      <c r="AS935" s="50"/>
      <c r="AT935" s="50"/>
      <c r="AU935" s="50"/>
      <c r="AV935" s="50"/>
      <c r="AW935" s="50"/>
      <c r="AX935" s="50"/>
      <c r="AY935" s="50"/>
      <c r="AZ935" s="50"/>
      <c r="BA935" s="50"/>
      <c r="BB935" s="50"/>
      <c r="BC935" s="50"/>
      <c r="BD935" s="50"/>
      <c r="BE935" s="50"/>
      <c r="BF935" s="50"/>
      <c r="BG935" s="50"/>
      <c r="BH935" s="50"/>
      <c r="BI935" s="50"/>
      <c r="BJ935" s="50"/>
      <c r="BK935" s="50"/>
      <c r="BL935" s="50"/>
      <c r="BM935" s="50"/>
      <c r="BN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  <c r="AA936" s="168"/>
      <c r="AB936" s="50"/>
      <c r="AC936" s="50"/>
      <c r="AD936" s="50"/>
      <c r="AE936" s="50"/>
      <c r="AF936" s="50"/>
      <c r="AG936" s="50"/>
      <c r="AH936" s="50"/>
      <c r="AI936" s="50"/>
      <c r="AJ936" s="50"/>
      <c r="AK936" s="50"/>
      <c r="AL936" s="50"/>
      <c r="AM936" s="50"/>
      <c r="AN936" s="50"/>
      <c r="AO936" s="50"/>
      <c r="AP936" s="50"/>
      <c r="AQ936" s="50"/>
      <c r="AR936" s="50"/>
      <c r="AS936" s="50"/>
      <c r="AT936" s="50"/>
      <c r="AU936" s="50"/>
      <c r="AV936" s="50"/>
      <c r="AW936" s="50"/>
      <c r="AX936" s="50"/>
      <c r="AY936" s="50"/>
      <c r="AZ936" s="50"/>
      <c r="BA936" s="50"/>
      <c r="BB936" s="50"/>
      <c r="BC936" s="50"/>
      <c r="BD936" s="50"/>
      <c r="BE936" s="50"/>
      <c r="BF936" s="50"/>
      <c r="BG936" s="50"/>
      <c r="BH936" s="50"/>
      <c r="BI936" s="50"/>
      <c r="BJ936" s="50"/>
      <c r="BK936" s="50"/>
      <c r="BL936" s="50"/>
      <c r="BM936" s="50"/>
      <c r="BN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  <c r="AA937" s="168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/>
      <c r="AR937" s="50"/>
      <c r="AS937" s="50"/>
      <c r="AT937" s="50"/>
      <c r="AU937" s="50"/>
      <c r="AV937" s="50"/>
      <c r="AW937" s="50"/>
      <c r="AX937" s="50"/>
      <c r="AY937" s="50"/>
      <c r="AZ937" s="50"/>
      <c r="BA937" s="50"/>
      <c r="BB937" s="50"/>
      <c r="BC937" s="50"/>
      <c r="BD937" s="50"/>
      <c r="BE937" s="50"/>
      <c r="BF937" s="50"/>
      <c r="BG937" s="50"/>
      <c r="BH937" s="50"/>
      <c r="BI937" s="50"/>
      <c r="BJ937" s="50"/>
      <c r="BK937" s="50"/>
      <c r="BL937" s="50"/>
      <c r="BM937" s="50"/>
      <c r="BN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  <c r="AA938" s="168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0"/>
      <c r="BE938" s="50"/>
      <c r="BF938" s="50"/>
      <c r="BG938" s="50"/>
      <c r="BH938" s="50"/>
      <c r="BI938" s="50"/>
      <c r="BJ938" s="50"/>
      <c r="BK938" s="50"/>
      <c r="BL938" s="50"/>
      <c r="BM938" s="50"/>
      <c r="BN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  <c r="AA939" s="168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/>
      <c r="AR939" s="50"/>
      <c r="AS939" s="50"/>
      <c r="AT939" s="50"/>
      <c r="AU939" s="50"/>
      <c r="AV939" s="50"/>
      <c r="AW939" s="50"/>
      <c r="AX939" s="50"/>
      <c r="AY939" s="50"/>
      <c r="AZ939" s="50"/>
      <c r="BA939" s="50"/>
      <c r="BB939" s="50"/>
      <c r="BC939" s="50"/>
      <c r="BD939" s="50"/>
      <c r="BE939" s="50"/>
      <c r="BF939" s="50"/>
      <c r="BG939" s="50"/>
      <c r="BH939" s="50"/>
      <c r="BI939" s="50"/>
      <c r="BJ939" s="50"/>
      <c r="BK939" s="50"/>
      <c r="BL939" s="50"/>
      <c r="BM939" s="50"/>
      <c r="BN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  <c r="AA940" s="168"/>
      <c r="AB940" s="50"/>
      <c r="AC940" s="50"/>
      <c r="AD940" s="50"/>
      <c r="AE940" s="50"/>
      <c r="AF940" s="50"/>
      <c r="AG940" s="50"/>
      <c r="AH940" s="50"/>
      <c r="AI940" s="50"/>
      <c r="AJ940" s="50"/>
      <c r="AK940" s="50"/>
      <c r="AL940" s="50"/>
      <c r="AM940" s="50"/>
      <c r="AN940" s="50"/>
      <c r="AO940" s="50"/>
      <c r="AP940" s="50"/>
      <c r="AQ940" s="50"/>
      <c r="AR940" s="50"/>
      <c r="AS940" s="50"/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0"/>
      <c r="BE940" s="50"/>
      <c r="BF940" s="50"/>
      <c r="BG940" s="50"/>
      <c r="BH940" s="50"/>
      <c r="BI940" s="50"/>
      <c r="BJ940" s="50"/>
      <c r="BK940" s="50"/>
      <c r="BL940" s="50"/>
      <c r="BM940" s="50"/>
      <c r="BN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  <c r="AA941" s="168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50"/>
      <c r="AU941" s="50"/>
      <c r="AV941" s="50"/>
      <c r="AW941" s="50"/>
      <c r="AX941" s="50"/>
      <c r="AY941" s="50"/>
      <c r="AZ941" s="50"/>
      <c r="BA941" s="50"/>
      <c r="BB941" s="50"/>
      <c r="BC941" s="50"/>
      <c r="BD941" s="50"/>
      <c r="BE941" s="50"/>
      <c r="BF941" s="50"/>
      <c r="BG941" s="50"/>
      <c r="BH941" s="50"/>
      <c r="BI941" s="50"/>
      <c r="BJ941" s="50"/>
      <c r="BK941" s="50"/>
      <c r="BL941" s="50"/>
      <c r="BM941" s="50"/>
      <c r="BN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  <c r="AA942" s="168"/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50"/>
      <c r="AN942" s="50"/>
      <c r="AO942" s="50"/>
      <c r="AP942" s="50"/>
      <c r="AQ942" s="50"/>
      <c r="AR942" s="50"/>
      <c r="AS942" s="50"/>
      <c r="AT942" s="50"/>
      <c r="AU942" s="50"/>
      <c r="AV942" s="50"/>
      <c r="AW942" s="50"/>
      <c r="AX942" s="50"/>
      <c r="AY942" s="50"/>
      <c r="AZ942" s="50"/>
      <c r="BA942" s="50"/>
      <c r="BB942" s="50"/>
      <c r="BC942" s="50"/>
      <c r="BD942" s="50"/>
      <c r="BE942" s="50"/>
      <c r="BF942" s="50"/>
      <c r="BG942" s="50"/>
      <c r="BH942" s="50"/>
      <c r="BI942" s="50"/>
      <c r="BJ942" s="50"/>
      <c r="BK942" s="50"/>
      <c r="BL942" s="50"/>
      <c r="BM942" s="50"/>
      <c r="BN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  <c r="AA943" s="168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50"/>
      <c r="AU943" s="50"/>
      <c r="AV943" s="50"/>
      <c r="AW943" s="50"/>
      <c r="AX943" s="50"/>
      <c r="AY943" s="50"/>
      <c r="AZ943" s="50"/>
      <c r="BA943" s="50"/>
      <c r="BB943" s="50"/>
      <c r="BC943" s="50"/>
      <c r="BD943" s="50"/>
      <c r="BE943" s="50"/>
      <c r="BF943" s="50"/>
      <c r="BG943" s="50"/>
      <c r="BH943" s="50"/>
      <c r="BI943" s="50"/>
      <c r="BJ943" s="50"/>
      <c r="BK943" s="50"/>
      <c r="BL943" s="50"/>
      <c r="BM943" s="50"/>
      <c r="BN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  <c r="AA944" s="168"/>
      <c r="AB944" s="50"/>
      <c r="AC944" s="50"/>
      <c r="AD944" s="50"/>
      <c r="AE944" s="50"/>
      <c r="AF944" s="50"/>
      <c r="AG944" s="50"/>
      <c r="AH944" s="50"/>
      <c r="AI944" s="50"/>
      <c r="AJ944" s="50"/>
      <c r="AK944" s="50"/>
      <c r="AL944" s="50"/>
      <c r="AM944" s="50"/>
      <c r="AN944" s="50"/>
      <c r="AO944" s="50"/>
      <c r="AP944" s="50"/>
      <c r="AQ944" s="50"/>
      <c r="AR944" s="50"/>
      <c r="AS944" s="50"/>
      <c r="AT944" s="50"/>
      <c r="AU944" s="50"/>
      <c r="AV944" s="50"/>
      <c r="AW944" s="50"/>
      <c r="AX944" s="50"/>
      <c r="AY944" s="50"/>
      <c r="AZ944" s="50"/>
      <c r="BA944" s="50"/>
      <c r="BB944" s="50"/>
      <c r="BC944" s="50"/>
      <c r="BD944" s="50"/>
      <c r="BE944" s="50"/>
      <c r="BF944" s="50"/>
      <c r="BG944" s="50"/>
      <c r="BH944" s="50"/>
      <c r="BI944" s="50"/>
      <c r="BJ944" s="50"/>
      <c r="BK944" s="50"/>
      <c r="BL944" s="50"/>
      <c r="BM944" s="50"/>
      <c r="BN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  <c r="AA945" s="168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/>
      <c r="BB945" s="50"/>
      <c r="BC945" s="50"/>
      <c r="BD945" s="50"/>
      <c r="BE945" s="50"/>
      <c r="BF945" s="50"/>
      <c r="BG945" s="50"/>
      <c r="BH945" s="50"/>
      <c r="BI945" s="50"/>
      <c r="BJ945" s="50"/>
      <c r="BK945" s="50"/>
      <c r="BL945" s="50"/>
      <c r="BM945" s="50"/>
      <c r="BN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  <c r="AA946" s="168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/>
      <c r="AR946" s="50"/>
      <c r="AS946" s="50"/>
      <c r="AT946" s="50"/>
      <c r="AU946" s="50"/>
      <c r="AV946" s="50"/>
      <c r="AW946" s="50"/>
      <c r="AX946" s="50"/>
      <c r="AY946" s="50"/>
      <c r="AZ946" s="50"/>
      <c r="BA946" s="50"/>
      <c r="BB946" s="50"/>
      <c r="BC946" s="50"/>
      <c r="BD946" s="50"/>
      <c r="BE946" s="50"/>
      <c r="BF946" s="50"/>
      <c r="BG946" s="50"/>
      <c r="BH946" s="50"/>
      <c r="BI946" s="50"/>
      <c r="BJ946" s="50"/>
      <c r="BK946" s="50"/>
      <c r="BL946" s="50"/>
      <c r="BM946" s="50"/>
      <c r="BN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  <c r="AA947" s="168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/>
      <c r="BB947" s="50"/>
      <c r="BC947" s="50"/>
      <c r="BD947" s="50"/>
      <c r="BE947" s="50"/>
      <c r="BF947" s="50"/>
      <c r="BG947" s="50"/>
      <c r="BH947" s="50"/>
      <c r="BI947" s="50"/>
      <c r="BJ947" s="50"/>
      <c r="BK947" s="50"/>
      <c r="BL947" s="50"/>
      <c r="BM947" s="50"/>
      <c r="BN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  <c r="AA948" s="168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  <c r="AL948" s="50"/>
      <c r="AM948" s="50"/>
      <c r="AN948" s="50"/>
      <c r="AO948" s="50"/>
      <c r="AP948" s="50"/>
      <c r="AQ948" s="50"/>
      <c r="AR948" s="50"/>
      <c r="AS948" s="50"/>
      <c r="AT948" s="50"/>
      <c r="AU948" s="50"/>
      <c r="AV948" s="50"/>
      <c r="AW948" s="50"/>
      <c r="AX948" s="50"/>
      <c r="AY948" s="50"/>
      <c r="AZ948" s="50"/>
      <c r="BA948" s="50"/>
      <c r="BB948" s="50"/>
      <c r="BC948" s="50"/>
      <c r="BD948" s="50"/>
      <c r="BE948" s="50"/>
      <c r="BF948" s="50"/>
      <c r="BG948" s="50"/>
      <c r="BH948" s="50"/>
      <c r="BI948" s="50"/>
      <c r="BJ948" s="50"/>
      <c r="BK948" s="50"/>
      <c r="BL948" s="50"/>
      <c r="BM948" s="50"/>
      <c r="BN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  <c r="AA949" s="168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/>
      <c r="BB949" s="50"/>
      <c r="BC949" s="50"/>
      <c r="BD949" s="50"/>
      <c r="BE949" s="50"/>
      <c r="BF949" s="50"/>
      <c r="BG949" s="50"/>
      <c r="BH949" s="50"/>
      <c r="BI949" s="50"/>
      <c r="BJ949" s="50"/>
      <c r="BK949" s="50"/>
      <c r="BL949" s="50"/>
      <c r="BM949" s="50"/>
      <c r="BN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  <c r="AA950" s="168"/>
      <c r="AB950" s="50"/>
      <c r="AC950" s="50"/>
      <c r="AD950" s="50"/>
      <c r="AE950" s="50"/>
      <c r="AF950" s="50"/>
      <c r="AG950" s="50"/>
      <c r="AH950" s="50"/>
      <c r="AI950" s="50"/>
      <c r="AJ950" s="50"/>
      <c r="AK950" s="50"/>
      <c r="AL950" s="50"/>
      <c r="AM950" s="50"/>
      <c r="AN950" s="50"/>
      <c r="AO950" s="50"/>
      <c r="AP950" s="50"/>
      <c r="AQ950" s="50"/>
      <c r="AR950" s="50"/>
      <c r="AS950" s="50"/>
      <c r="AT950" s="50"/>
      <c r="AU950" s="50"/>
      <c r="AV950" s="50"/>
      <c r="AW950" s="50"/>
      <c r="AX950" s="50"/>
      <c r="AY950" s="50"/>
      <c r="AZ950" s="50"/>
      <c r="BA950" s="50"/>
      <c r="BB950" s="50"/>
      <c r="BC950" s="50"/>
      <c r="BD950" s="50"/>
      <c r="BE950" s="50"/>
      <c r="BF950" s="50"/>
      <c r="BG950" s="50"/>
      <c r="BH950" s="50"/>
      <c r="BI950" s="50"/>
      <c r="BJ950" s="50"/>
      <c r="BK950" s="50"/>
      <c r="BL950" s="50"/>
      <c r="BM950" s="50"/>
      <c r="BN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  <c r="AA951" s="168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0"/>
      <c r="BE951" s="50"/>
      <c r="BF951" s="50"/>
      <c r="BG951" s="50"/>
      <c r="BH951" s="50"/>
      <c r="BI951" s="50"/>
      <c r="BJ951" s="50"/>
      <c r="BK951" s="50"/>
      <c r="BL951" s="50"/>
      <c r="BM951" s="50"/>
      <c r="BN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  <c r="AA952" s="168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0"/>
      <c r="BE952" s="50"/>
      <c r="BF952" s="50"/>
      <c r="BG952" s="50"/>
      <c r="BH952" s="50"/>
      <c r="BI952" s="50"/>
      <c r="BJ952" s="50"/>
      <c r="BK952" s="50"/>
      <c r="BL952" s="50"/>
      <c r="BM952" s="50"/>
      <c r="BN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  <c r="AA953" s="168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0"/>
      <c r="BC953" s="50"/>
      <c r="BD953" s="50"/>
      <c r="BE953" s="50"/>
      <c r="BF953" s="50"/>
      <c r="BG953" s="50"/>
      <c r="BH953" s="50"/>
      <c r="BI953" s="50"/>
      <c r="BJ953" s="50"/>
      <c r="BK953" s="50"/>
      <c r="BL953" s="50"/>
      <c r="BM953" s="50"/>
      <c r="BN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  <c r="AA954" s="168"/>
      <c r="AB954" s="50"/>
      <c r="AC954" s="50"/>
      <c r="AD954" s="50"/>
      <c r="AE954" s="50"/>
      <c r="AF954" s="50"/>
      <c r="AG954" s="50"/>
      <c r="AH954" s="50"/>
      <c r="AI954" s="50"/>
      <c r="AJ954" s="50"/>
      <c r="AK954" s="50"/>
      <c r="AL954" s="50"/>
      <c r="AM954" s="50"/>
      <c r="AN954" s="50"/>
      <c r="AO954" s="50"/>
      <c r="AP954" s="50"/>
      <c r="AQ954" s="50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0"/>
      <c r="BC954" s="50"/>
      <c r="BD954" s="50"/>
      <c r="BE954" s="50"/>
      <c r="BF954" s="50"/>
      <c r="BG954" s="50"/>
      <c r="BH954" s="50"/>
      <c r="BI954" s="50"/>
      <c r="BJ954" s="50"/>
      <c r="BK954" s="50"/>
      <c r="BL954" s="50"/>
      <c r="BM954" s="50"/>
      <c r="BN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  <c r="AA955" s="168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/>
      <c r="AR955" s="50"/>
      <c r="AS955" s="50"/>
      <c r="AT955" s="50"/>
      <c r="AU955" s="50"/>
      <c r="AV955" s="50"/>
      <c r="AW955" s="50"/>
      <c r="AX955" s="50"/>
      <c r="AY955" s="50"/>
      <c r="AZ955" s="50"/>
      <c r="BA955" s="50"/>
      <c r="BB955" s="50"/>
      <c r="BC955" s="50"/>
      <c r="BD955" s="50"/>
      <c r="BE955" s="50"/>
      <c r="BF955" s="50"/>
      <c r="BG955" s="50"/>
      <c r="BH955" s="50"/>
      <c r="BI955" s="50"/>
      <c r="BJ955" s="50"/>
      <c r="BK955" s="50"/>
      <c r="BL955" s="50"/>
      <c r="BM955" s="50"/>
      <c r="BN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  <c r="AA956" s="168"/>
      <c r="AB956" s="50"/>
      <c r="AC956" s="50"/>
      <c r="AD956" s="50"/>
      <c r="AE956" s="50"/>
      <c r="AF956" s="50"/>
      <c r="AG956" s="50"/>
      <c r="AH956" s="50"/>
      <c r="AI956" s="50"/>
      <c r="AJ956" s="50"/>
      <c r="AK956" s="50"/>
      <c r="AL956" s="50"/>
      <c r="AM956" s="50"/>
      <c r="AN956" s="50"/>
      <c r="AO956" s="50"/>
      <c r="AP956" s="50"/>
      <c r="AQ956" s="50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0"/>
      <c r="BC956" s="50"/>
      <c r="BD956" s="50"/>
      <c r="BE956" s="50"/>
      <c r="BF956" s="50"/>
      <c r="BG956" s="50"/>
      <c r="BH956" s="50"/>
      <c r="BI956" s="50"/>
      <c r="BJ956" s="50"/>
      <c r="BK956" s="50"/>
      <c r="BL956" s="50"/>
      <c r="BM956" s="50"/>
      <c r="BN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  <c r="AA957" s="168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/>
      <c r="AR957" s="50"/>
      <c r="AS957" s="50"/>
      <c r="AT957" s="50"/>
      <c r="AU957" s="50"/>
      <c r="AV957" s="50"/>
      <c r="AW957" s="50"/>
      <c r="AX957" s="50"/>
      <c r="AY957" s="50"/>
      <c r="AZ957" s="50"/>
      <c r="BA957" s="50"/>
      <c r="BB957" s="50"/>
      <c r="BC957" s="50"/>
      <c r="BD957" s="50"/>
      <c r="BE957" s="50"/>
      <c r="BF957" s="50"/>
      <c r="BG957" s="50"/>
      <c r="BH957" s="50"/>
      <c r="BI957" s="50"/>
      <c r="BJ957" s="50"/>
      <c r="BK957" s="50"/>
      <c r="BL957" s="50"/>
      <c r="BM957" s="50"/>
      <c r="BN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  <c r="AA958" s="168"/>
      <c r="AB958" s="50"/>
      <c r="AC958" s="50"/>
      <c r="AD958" s="50"/>
      <c r="AE958" s="50"/>
      <c r="AF958" s="50"/>
      <c r="AG958" s="50"/>
      <c r="AH958" s="50"/>
      <c r="AI958" s="50"/>
      <c r="AJ958" s="50"/>
      <c r="AK958" s="50"/>
      <c r="AL958" s="50"/>
      <c r="AM958" s="50"/>
      <c r="AN958" s="50"/>
      <c r="AO958" s="50"/>
      <c r="AP958" s="50"/>
      <c r="AQ958" s="50"/>
      <c r="AR958" s="50"/>
      <c r="AS958" s="50"/>
      <c r="AT958" s="50"/>
      <c r="AU958" s="50"/>
      <c r="AV958" s="50"/>
      <c r="AW958" s="50"/>
      <c r="AX958" s="50"/>
      <c r="AY958" s="50"/>
      <c r="AZ958" s="50"/>
      <c r="BA958" s="50"/>
      <c r="BB958" s="50"/>
      <c r="BC958" s="50"/>
      <c r="BD958" s="50"/>
      <c r="BE958" s="50"/>
      <c r="BF958" s="50"/>
      <c r="BG958" s="50"/>
      <c r="BH958" s="50"/>
      <c r="BI958" s="50"/>
      <c r="BJ958" s="50"/>
      <c r="BK958" s="50"/>
      <c r="BL958" s="50"/>
      <c r="BM958" s="50"/>
      <c r="BN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  <c r="AA959" s="168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0"/>
      <c r="BD959" s="50"/>
      <c r="BE959" s="50"/>
      <c r="BF959" s="50"/>
      <c r="BG959" s="50"/>
      <c r="BH959" s="50"/>
      <c r="BI959" s="50"/>
      <c r="BJ959" s="50"/>
      <c r="BK959" s="50"/>
      <c r="BL959" s="50"/>
      <c r="BM959" s="50"/>
      <c r="BN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  <c r="AA960" s="168"/>
      <c r="AB960" s="50"/>
      <c r="AC960" s="50"/>
      <c r="AD960" s="50"/>
      <c r="AE960" s="50"/>
      <c r="AF960" s="50"/>
      <c r="AG960" s="50"/>
      <c r="AH960" s="50"/>
      <c r="AI960" s="50"/>
      <c r="AJ960" s="50"/>
      <c r="AK960" s="50"/>
      <c r="AL960" s="50"/>
      <c r="AM960" s="50"/>
      <c r="AN960" s="50"/>
      <c r="AO960" s="50"/>
      <c r="AP960" s="50"/>
      <c r="AQ960" s="50"/>
      <c r="AR960" s="50"/>
      <c r="AS960" s="50"/>
      <c r="AT960" s="50"/>
      <c r="AU960" s="50"/>
      <c r="AV960" s="50"/>
      <c r="AW960" s="50"/>
      <c r="AX960" s="50"/>
      <c r="AY960" s="50"/>
      <c r="AZ960" s="50"/>
      <c r="BA960" s="50"/>
      <c r="BB960" s="50"/>
      <c r="BC960" s="50"/>
      <c r="BD960" s="50"/>
      <c r="BE960" s="50"/>
      <c r="BF960" s="50"/>
      <c r="BG960" s="50"/>
      <c r="BH960" s="50"/>
      <c r="BI960" s="50"/>
      <c r="BJ960" s="50"/>
      <c r="BK960" s="50"/>
      <c r="BL960" s="50"/>
      <c r="BM960" s="50"/>
      <c r="BN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  <c r="AA961" s="168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0"/>
      <c r="BE961" s="50"/>
      <c r="BF961" s="50"/>
      <c r="BG961" s="50"/>
      <c r="BH961" s="50"/>
      <c r="BI961" s="50"/>
      <c r="BJ961" s="50"/>
      <c r="BK961" s="50"/>
      <c r="BL961" s="50"/>
      <c r="BM961" s="50"/>
      <c r="BN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  <c r="AA962" s="168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0"/>
      <c r="BF962" s="50"/>
      <c r="BG962" s="50"/>
      <c r="BH962" s="50"/>
      <c r="BI962" s="50"/>
      <c r="BJ962" s="50"/>
      <c r="BK962" s="50"/>
      <c r="BL962" s="50"/>
      <c r="BM962" s="50"/>
      <c r="BN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  <c r="AA963" s="168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/>
      <c r="AR963" s="50"/>
      <c r="AS963" s="50"/>
      <c r="AT963" s="50"/>
      <c r="AU963" s="50"/>
      <c r="AV963" s="50"/>
      <c r="AW963" s="50"/>
      <c r="AX963" s="50"/>
      <c r="AY963" s="50"/>
      <c r="AZ963" s="50"/>
      <c r="BA963" s="50"/>
      <c r="BB963" s="50"/>
      <c r="BC963" s="50"/>
      <c r="BD963" s="50"/>
      <c r="BE963" s="50"/>
      <c r="BF963" s="50"/>
      <c r="BG963" s="50"/>
      <c r="BH963" s="50"/>
      <c r="BI963" s="50"/>
      <c r="BJ963" s="50"/>
      <c r="BK963" s="50"/>
      <c r="BL963" s="50"/>
      <c r="BM963" s="50"/>
      <c r="BN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  <c r="AA964" s="168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/>
      <c r="BE964" s="50"/>
      <c r="BF964" s="50"/>
      <c r="BG964" s="50"/>
      <c r="BH964" s="50"/>
      <c r="BI964" s="50"/>
      <c r="BJ964" s="50"/>
      <c r="BK964" s="50"/>
      <c r="BL964" s="50"/>
      <c r="BM964" s="50"/>
      <c r="BN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  <c r="AA965" s="168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0"/>
      <c r="BF965" s="50"/>
      <c r="BG965" s="50"/>
      <c r="BH965" s="50"/>
      <c r="BI965" s="50"/>
      <c r="BJ965" s="50"/>
      <c r="BK965" s="50"/>
      <c r="BL965" s="50"/>
      <c r="BM965" s="50"/>
      <c r="BN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  <c r="AA966" s="168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0"/>
      <c r="BE966" s="50"/>
      <c r="BF966" s="50"/>
      <c r="BG966" s="50"/>
      <c r="BH966" s="50"/>
      <c r="BI966" s="50"/>
      <c r="BJ966" s="50"/>
      <c r="BK966" s="50"/>
      <c r="BL966" s="50"/>
      <c r="BM966" s="50"/>
      <c r="BN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  <c r="AA967" s="168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/>
      <c r="BE967" s="50"/>
      <c r="BF967" s="50"/>
      <c r="BG967" s="50"/>
      <c r="BH967" s="50"/>
      <c r="BI967" s="50"/>
      <c r="BJ967" s="50"/>
      <c r="BK967" s="50"/>
      <c r="BL967" s="50"/>
      <c r="BM967" s="50"/>
      <c r="BN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  <c r="AA968" s="168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0"/>
      <c r="BE968" s="50"/>
      <c r="BF968" s="50"/>
      <c r="BG968" s="50"/>
      <c r="BH968" s="50"/>
      <c r="BI968" s="50"/>
      <c r="BJ968" s="50"/>
      <c r="BK968" s="50"/>
      <c r="BL968" s="50"/>
      <c r="BM968" s="50"/>
      <c r="BN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  <c r="AA969" s="168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/>
      <c r="BE969" s="50"/>
      <c r="BF969" s="50"/>
      <c r="BG969" s="50"/>
      <c r="BH969" s="50"/>
      <c r="BI969" s="50"/>
      <c r="BJ969" s="50"/>
      <c r="BK969" s="50"/>
      <c r="BL969" s="50"/>
      <c r="BM969" s="50"/>
      <c r="BN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  <c r="AA970" s="168"/>
      <c r="AB970" s="50"/>
      <c r="AC970" s="50"/>
      <c r="AD970" s="50"/>
      <c r="AE970" s="50"/>
      <c r="AF970" s="50"/>
      <c r="AG970" s="50"/>
      <c r="AH970" s="50"/>
      <c r="AI970" s="50"/>
      <c r="AJ970" s="50"/>
      <c r="AK970" s="50"/>
      <c r="AL970" s="50"/>
      <c r="AM970" s="50"/>
      <c r="AN970" s="50"/>
      <c r="AO970" s="50"/>
      <c r="AP970" s="50"/>
      <c r="AQ970" s="50"/>
      <c r="AR970" s="50"/>
      <c r="AS970" s="50"/>
      <c r="AT970" s="50"/>
      <c r="AU970" s="50"/>
      <c r="AV970" s="50"/>
      <c r="AW970" s="50"/>
      <c r="AX970" s="50"/>
      <c r="AY970" s="50"/>
      <c r="AZ970" s="50"/>
      <c r="BA970" s="50"/>
      <c r="BB970" s="50"/>
      <c r="BC970" s="50"/>
      <c r="BD970" s="50"/>
      <c r="BE970" s="50"/>
      <c r="BF970" s="50"/>
      <c r="BG970" s="50"/>
      <c r="BH970" s="50"/>
      <c r="BI970" s="50"/>
      <c r="BJ970" s="50"/>
      <c r="BK970" s="50"/>
      <c r="BL970" s="50"/>
      <c r="BM970" s="50"/>
      <c r="BN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  <c r="AA971" s="168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50"/>
      <c r="AU971" s="50"/>
      <c r="AV971" s="50"/>
      <c r="AW971" s="50"/>
      <c r="AX971" s="50"/>
      <c r="AY971" s="50"/>
      <c r="AZ971" s="50"/>
      <c r="BA971" s="50"/>
      <c r="BB971" s="50"/>
      <c r="BC971" s="50"/>
      <c r="BD971" s="50"/>
      <c r="BE971" s="50"/>
      <c r="BF971" s="50"/>
      <c r="BG971" s="50"/>
      <c r="BH971" s="50"/>
      <c r="BI971" s="50"/>
      <c r="BJ971" s="50"/>
      <c r="BK971" s="50"/>
      <c r="BL971" s="50"/>
      <c r="BM971" s="50"/>
      <c r="BN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  <c r="AA972" s="168"/>
      <c r="AB972" s="50"/>
      <c r="AC972" s="50"/>
      <c r="AD972" s="50"/>
      <c r="AE972" s="50"/>
      <c r="AF972" s="50"/>
      <c r="AG972" s="50"/>
      <c r="AH972" s="50"/>
      <c r="AI972" s="50"/>
      <c r="AJ972" s="50"/>
      <c r="AK972" s="50"/>
      <c r="AL972" s="50"/>
      <c r="AM972" s="50"/>
      <c r="AN972" s="50"/>
      <c r="AO972" s="50"/>
      <c r="AP972" s="50"/>
      <c r="AQ972" s="50"/>
      <c r="AR972" s="50"/>
      <c r="AS972" s="50"/>
      <c r="AT972" s="50"/>
      <c r="AU972" s="50"/>
      <c r="AV972" s="50"/>
      <c r="AW972" s="50"/>
      <c r="AX972" s="50"/>
      <c r="AY972" s="50"/>
      <c r="AZ972" s="50"/>
      <c r="BA972" s="50"/>
      <c r="BB972" s="50"/>
      <c r="BC972" s="50"/>
      <c r="BD972" s="50"/>
      <c r="BE972" s="50"/>
      <c r="BF972" s="50"/>
      <c r="BG972" s="50"/>
      <c r="BH972" s="50"/>
      <c r="BI972" s="50"/>
      <c r="BJ972" s="50"/>
      <c r="BK972" s="50"/>
      <c r="BL972" s="50"/>
      <c r="BM972" s="50"/>
      <c r="BN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  <c r="AA973" s="168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  <c r="AL973" s="50"/>
      <c r="AM973" s="50"/>
      <c r="AN973" s="50"/>
      <c r="AO973" s="50"/>
      <c r="AP973" s="50"/>
      <c r="AQ973" s="50"/>
      <c r="AR973" s="50"/>
      <c r="AS973" s="50"/>
      <c r="AT973" s="50"/>
      <c r="AU973" s="50"/>
      <c r="AV973" s="50"/>
      <c r="AW973" s="50"/>
      <c r="AX973" s="50"/>
      <c r="AY973" s="50"/>
      <c r="AZ973" s="50"/>
      <c r="BA973" s="50"/>
      <c r="BB973" s="50"/>
      <c r="BC973" s="50"/>
      <c r="BD973" s="50"/>
      <c r="BE973" s="50"/>
      <c r="BF973" s="50"/>
      <c r="BG973" s="50"/>
      <c r="BH973" s="50"/>
      <c r="BI973" s="50"/>
      <c r="BJ973" s="50"/>
      <c r="BK973" s="50"/>
      <c r="BL973" s="50"/>
      <c r="BM973" s="50"/>
      <c r="BN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  <c r="AA974" s="168"/>
      <c r="AB974" s="50"/>
      <c r="AC974" s="50"/>
      <c r="AD974" s="50"/>
      <c r="AE974" s="50"/>
      <c r="AF974" s="50"/>
      <c r="AG974" s="50"/>
      <c r="AH974" s="50"/>
      <c r="AI974" s="50"/>
      <c r="AJ974" s="50"/>
      <c r="AK974" s="50"/>
      <c r="AL974" s="50"/>
      <c r="AM974" s="50"/>
      <c r="AN974" s="50"/>
      <c r="AO974" s="50"/>
      <c r="AP974" s="50"/>
      <c r="AQ974" s="50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/>
      <c r="BE974" s="50"/>
      <c r="BF974" s="50"/>
      <c r="BG974" s="50"/>
      <c r="BH974" s="50"/>
      <c r="BI974" s="50"/>
      <c r="BJ974" s="50"/>
      <c r="BK974" s="50"/>
      <c r="BL974" s="50"/>
      <c r="BM974" s="50"/>
      <c r="BN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  <c r="AA975" s="168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/>
      <c r="AR975" s="50"/>
      <c r="AS975" s="50"/>
      <c r="AT975" s="50"/>
      <c r="AU975" s="50"/>
      <c r="AV975" s="50"/>
      <c r="AW975" s="50"/>
      <c r="AX975" s="50"/>
      <c r="AY975" s="50"/>
      <c r="AZ975" s="50"/>
      <c r="BA975" s="50"/>
      <c r="BB975" s="50"/>
      <c r="BC975" s="50"/>
      <c r="BD975" s="50"/>
      <c r="BE975" s="50"/>
      <c r="BF975" s="50"/>
      <c r="BG975" s="50"/>
      <c r="BH975" s="50"/>
      <c r="BI975" s="50"/>
      <c r="BJ975" s="50"/>
      <c r="BK975" s="50"/>
      <c r="BL975" s="50"/>
      <c r="BM975" s="50"/>
      <c r="BN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  <c r="AA976" s="168"/>
      <c r="AB976" s="50"/>
      <c r="AC976" s="50"/>
      <c r="AD976" s="50"/>
      <c r="AE976" s="50"/>
      <c r="AF976" s="50"/>
      <c r="AG976" s="50"/>
      <c r="AH976" s="50"/>
      <c r="AI976" s="50"/>
      <c r="AJ976" s="50"/>
      <c r="AK976" s="50"/>
      <c r="AL976" s="50"/>
      <c r="AM976" s="50"/>
      <c r="AN976" s="50"/>
      <c r="AO976" s="50"/>
      <c r="AP976" s="50"/>
      <c r="AQ976" s="50"/>
      <c r="AR976" s="50"/>
      <c r="AS976" s="50"/>
      <c r="AT976" s="50"/>
      <c r="AU976" s="50"/>
      <c r="AV976" s="50"/>
      <c r="AW976" s="50"/>
      <c r="AX976" s="50"/>
      <c r="AY976" s="50"/>
      <c r="AZ976" s="50"/>
      <c r="BA976" s="50"/>
      <c r="BB976" s="50"/>
      <c r="BC976" s="50"/>
      <c r="BD976" s="50"/>
      <c r="BE976" s="50"/>
      <c r="BF976" s="50"/>
      <c r="BG976" s="50"/>
      <c r="BH976" s="50"/>
      <c r="BI976" s="50"/>
      <c r="BJ976" s="50"/>
      <c r="BK976" s="50"/>
      <c r="BL976" s="50"/>
      <c r="BM976" s="50"/>
      <c r="BN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  <c r="AA977" s="168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50"/>
      <c r="AU977" s="50"/>
      <c r="AV977" s="50"/>
      <c r="AW977" s="50"/>
      <c r="AX977" s="50"/>
      <c r="AY977" s="50"/>
      <c r="AZ977" s="50"/>
      <c r="BA977" s="50"/>
      <c r="BB977" s="50"/>
      <c r="BC977" s="50"/>
      <c r="BD977" s="50"/>
      <c r="BE977" s="50"/>
      <c r="BF977" s="50"/>
      <c r="BG977" s="50"/>
      <c r="BH977" s="50"/>
      <c r="BI977" s="50"/>
      <c r="BJ977" s="50"/>
      <c r="BK977" s="50"/>
      <c r="BL977" s="50"/>
      <c r="BM977" s="50"/>
      <c r="BN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  <c r="AA978" s="168"/>
      <c r="AB978" s="50"/>
      <c r="AC978" s="50"/>
      <c r="AD978" s="50"/>
      <c r="AE978" s="50"/>
      <c r="AF978" s="50"/>
      <c r="AG978" s="50"/>
      <c r="AH978" s="50"/>
      <c r="AI978" s="50"/>
      <c r="AJ978" s="50"/>
      <c r="AK978" s="50"/>
      <c r="AL978" s="50"/>
      <c r="AM978" s="50"/>
      <c r="AN978" s="50"/>
      <c r="AO978" s="50"/>
      <c r="AP978" s="50"/>
      <c r="AQ978" s="50"/>
      <c r="AR978" s="50"/>
      <c r="AS978" s="50"/>
      <c r="AT978" s="50"/>
      <c r="AU978" s="50"/>
      <c r="AV978" s="50"/>
      <c r="AW978" s="50"/>
      <c r="AX978" s="50"/>
      <c r="AY978" s="50"/>
      <c r="AZ978" s="50"/>
      <c r="BA978" s="50"/>
      <c r="BB978" s="50"/>
      <c r="BC978" s="50"/>
      <c r="BD978" s="50"/>
      <c r="BE978" s="50"/>
      <c r="BF978" s="50"/>
      <c r="BG978" s="50"/>
      <c r="BH978" s="50"/>
      <c r="BI978" s="50"/>
      <c r="BJ978" s="50"/>
      <c r="BK978" s="50"/>
      <c r="BL978" s="50"/>
      <c r="BM978" s="50"/>
      <c r="BN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  <c r="AA979" s="168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0"/>
      <c r="BE979" s="50"/>
      <c r="BF979" s="50"/>
      <c r="BG979" s="50"/>
      <c r="BH979" s="50"/>
      <c r="BI979" s="50"/>
      <c r="BJ979" s="50"/>
      <c r="BK979" s="50"/>
      <c r="BL979" s="50"/>
      <c r="BM979" s="50"/>
      <c r="BN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  <c r="AA980" s="168"/>
      <c r="AB980" s="50"/>
      <c r="AC980" s="50"/>
      <c r="AD980" s="50"/>
      <c r="AE980" s="50"/>
      <c r="AF980" s="50"/>
      <c r="AG980" s="50"/>
      <c r="AH980" s="50"/>
      <c r="AI980" s="50"/>
      <c r="AJ980" s="50"/>
      <c r="AK980" s="50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  <c r="AV980" s="50"/>
      <c r="AW980" s="50"/>
      <c r="AX980" s="50"/>
      <c r="AY980" s="50"/>
      <c r="AZ980" s="50"/>
      <c r="BA980" s="50"/>
      <c r="BB980" s="50"/>
      <c r="BC980" s="50"/>
      <c r="BD980" s="50"/>
      <c r="BE980" s="50"/>
      <c r="BF980" s="50"/>
      <c r="BG980" s="50"/>
      <c r="BH980" s="50"/>
      <c r="BI980" s="50"/>
      <c r="BJ980" s="50"/>
      <c r="BK980" s="50"/>
      <c r="BL980" s="50"/>
      <c r="BM980" s="50"/>
      <c r="BN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  <c r="AA981" s="168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0"/>
      <c r="BE981" s="50"/>
      <c r="BF981" s="50"/>
      <c r="BG981" s="50"/>
      <c r="BH981" s="50"/>
      <c r="BI981" s="50"/>
      <c r="BJ981" s="50"/>
      <c r="BK981" s="50"/>
      <c r="BL981" s="50"/>
      <c r="BM981" s="50"/>
      <c r="BN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  <c r="AA982" s="168"/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50"/>
      <c r="AN982" s="50"/>
      <c r="AO982" s="50"/>
      <c r="AP982" s="50"/>
      <c r="AQ982" s="50"/>
      <c r="AR982" s="50"/>
      <c r="AS982" s="50"/>
      <c r="AT982" s="50"/>
      <c r="AU982" s="50"/>
      <c r="AV982" s="50"/>
      <c r="AW982" s="50"/>
      <c r="AX982" s="50"/>
      <c r="AY982" s="50"/>
      <c r="AZ982" s="50"/>
      <c r="BA982" s="50"/>
      <c r="BB982" s="50"/>
      <c r="BC982" s="50"/>
      <c r="BD982" s="50"/>
      <c r="BE982" s="50"/>
      <c r="BF982" s="50"/>
      <c r="BG982" s="50"/>
      <c r="BH982" s="50"/>
      <c r="BI982" s="50"/>
      <c r="BJ982" s="50"/>
      <c r="BK982" s="50"/>
      <c r="BL982" s="50"/>
      <c r="BM982" s="50"/>
      <c r="BN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  <c r="AA983" s="168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50"/>
      <c r="AU983" s="50"/>
      <c r="AV983" s="50"/>
      <c r="AW983" s="50"/>
      <c r="AX983" s="50"/>
      <c r="AY983" s="50"/>
      <c r="AZ983" s="50"/>
      <c r="BA983" s="50"/>
      <c r="BB983" s="50"/>
      <c r="BC983" s="50"/>
      <c r="BD983" s="50"/>
      <c r="BE983" s="50"/>
      <c r="BF983" s="50"/>
      <c r="BG983" s="50"/>
      <c r="BH983" s="50"/>
      <c r="BI983" s="50"/>
      <c r="BJ983" s="50"/>
      <c r="BK983" s="50"/>
      <c r="BL983" s="50"/>
      <c r="BM983" s="50"/>
      <c r="BN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  <c r="AA984" s="168"/>
      <c r="AB984" s="50"/>
      <c r="AC984" s="50"/>
      <c r="AD984" s="50"/>
      <c r="AE984" s="50"/>
      <c r="AF984" s="50"/>
      <c r="AG984" s="50"/>
      <c r="AH984" s="50"/>
      <c r="AI984" s="50"/>
      <c r="AJ984" s="50"/>
      <c r="AK984" s="50"/>
      <c r="AL984" s="50"/>
      <c r="AM984" s="50"/>
      <c r="AN984" s="50"/>
      <c r="AO984" s="50"/>
      <c r="AP984" s="50"/>
      <c r="AQ984" s="50"/>
      <c r="AR984" s="50"/>
      <c r="AS984" s="50"/>
      <c r="AT984" s="50"/>
      <c r="AU984" s="50"/>
      <c r="AV984" s="50"/>
      <c r="AW984" s="50"/>
      <c r="AX984" s="50"/>
      <c r="AY984" s="50"/>
      <c r="AZ984" s="50"/>
      <c r="BA984" s="50"/>
      <c r="BB984" s="50"/>
      <c r="BC984" s="50"/>
      <c r="BD984" s="50"/>
      <c r="BE984" s="50"/>
      <c r="BF984" s="50"/>
      <c r="BG984" s="50"/>
      <c r="BH984" s="50"/>
      <c r="BI984" s="50"/>
      <c r="BJ984" s="50"/>
      <c r="BK984" s="50"/>
      <c r="BL984" s="50"/>
      <c r="BM984" s="50"/>
      <c r="BN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  <c r="AA985" s="168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/>
      <c r="BB985" s="50"/>
      <c r="BC985" s="50"/>
      <c r="BD985" s="50"/>
      <c r="BE985" s="50"/>
      <c r="BF985" s="50"/>
      <c r="BG985" s="50"/>
      <c r="BH985" s="50"/>
      <c r="BI985" s="50"/>
      <c r="BJ985" s="50"/>
      <c r="BK985" s="50"/>
      <c r="BL985" s="50"/>
      <c r="BM985" s="50"/>
      <c r="BN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168"/>
      <c r="O986" s="168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  <c r="AA986" s="168"/>
      <c r="AB986" s="50"/>
      <c r="AC986" s="50"/>
      <c r="AD986" s="50"/>
      <c r="AE986" s="50"/>
      <c r="AF986" s="50"/>
      <c r="AG986" s="50"/>
      <c r="AH986" s="50"/>
      <c r="AI986" s="50"/>
      <c r="AJ986" s="50"/>
      <c r="AK986" s="50"/>
      <c r="AL986" s="50"/>
      <c r="AM986" s="50"/>
      <c r="AN986" s="50"/>
      <c r="AO986" s="50"/>
      <c r="AP986" s="50"/>
      <c r="AQ986" s="50"/>
      <c r="AR986" s="50"/>
      <c r="AS986" s="50"/>
      <c r="AT986" s="50"/>
      <c r="AU986" s="50"/>
      <c r="AV986" s="50"/>
      <c r="AW986" s="50"/>
      <c r="AX986" s="50"/>
      <c r="AY986" s="50"/>
      <c r="AZ986" s="50"/>
      <c r="BA986" s="50"/>
      <c r="BB986" s="50"/>
      <c r="BC986" s="50"/>
      <c r="BD986" s="50"/>
      <c r="BE986" s="50"/>
      <c r="BF986" s="50"/>
      <c r="BG986" s="50"/>
      <c r="BH986" s="50"/>
      <c r="BI986" s="50"/>
      <c r="BJ986" s="50"/>
      <c r="BK986" s="50"/>
      <c r="BL986" s="50"/>
      <c r="BM986" s="50"/>
      <c r="BN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168"/>
      <c r="O987" s="168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  <c r="AA987" s="168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0"/>
      <c r="BE987" s="50"/>
      <c r="BF987" s="50"/>
      <c r="BG987" s="50"/>
      <c r="BH987" s="50"/>
      <c r="BI987" s="50"/>
      <c r="BJ987" s="50"/>
      <c r="BK987" s="50"/>
      <c r="BL987" s="50"/>
      <c r="BM987" s="50"/>
      <c r="BN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168"/>
      <c r="O988" s="168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  <c r="AA988" s="168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50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0"/>
      <c r="BE988" s="50"/>
      <c r="BF988" s="50"/>
      <c r="BG988" s="50"/>
      <c r="BH988" s="50"/>
      <c r="BI988" s="50"/>
      <c r="BJ988" s="50"/>
      <c r="BK988" s="50"/>
      <c r="BL988" s="50"/>
      <c r="BM988" s="50"/>
      <c r="BN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168"/>
      <c r="O989" s="168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  <c r="AA989" s="168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0"/>
      <c r="BE989" s="50"/>
      <c r="BF989" s="50"/>
      <c r="BG989" s="50"/>
      <c r="BH989" s="50"/>
      <c r="BI989" s="50"/>
      <c r="BJ989" s="50"/>
      <c r="BK989" s="50"/>
      <c r="BL989" s="50"/>
      <c r="BM989" s="50"/>
      <c r="BN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168"/>
      <c r="O990" s="168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  <c r="AA990" s="168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/>
      <c r="BE990" s="50"/>
      <c r="BF990" s="50"/>
      <c r="BG990" s="50"/>
      <c r="BH990" s="50"/>
      <c r="BI990" s="50"/>
      <c r="BJ990" s="50"/>
      <c r="BK990" s="50"/>
      <c r="BL990" s="50"/>
      <c r="BM990" s="50"/>
      <c r="BN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168"/>
      <c r="O991" s="168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  <c r="AA991" s="168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0"/>
      <c r="BE991" s="50"/>
      <c r="BF991" s="50"/>
      <c r="BG991" s="50"/>
      <c r="BH991" s="50"/>
      <c r="BI991" s="50"/>
      <c r="BJ991" s="50"/>
      <c r="BK991" s="50"/>
      <c r="BL991" s="50"/>
      <c r="BM991" s="50"/>
      <c r="BN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168"/>
      <c r="O992" s="168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  <c r="AA992" s="168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50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0"/>
      <c r="BE992" s="50"/>
      <c r="BF992" s="50"/>
      <c r="BG992" s="50"/>
      <c r="BH992" s="50"/>
      <c r="BI992" s="50"/>
      <c r="BJ992" s="50"/>
      <c r="BK992" s="50"/>
      <c r="BL992" s="50"/>
      <c r="BM992" s="50"/>
      <c r="BN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168"/>
      <c r="O993" s="168"/>
      <c r="P993" s="168"/>
      <c r="Q993" s="168"/>
      <c r="R993" s="168"/>
      <c r="S993" s="168"/>
      <c r="T993" s="168"/>
      <c r="U993" s="168"/>
      <c r="V993" s="168"/>
      <c r="W993" s="168"/>
      <c r="X993" s="168"/>
      <c r="Y993" s="168"/>
      <c r="Z993" s="168"/>
      <c r="AA993" s="168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0"/>
      <c r="BE993" s="50"/>
      <c r="BF993" s="50"/>
      <c r="BG993" s="50"/>
      <c r="BH993" s="50"/>
      <c r="BI993" s="50"/>
      <c r="BJ993" s="50"/>
      <c r="BK993" s="50"/>
      <c r="BL993" s="50"/>
      <c r="BM993" s="50"/>
      <c r="BN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168"/>
      <c r="O994" s="168"/>
      <c r="P994" s="168"/>
      <c r="Q994" s="168"/>
      <c r="R994" s="168"/>
      <c r="S994" s="168"/>
      <c r="T994" s="168"/>
      <c r="U994" s="168"/>
      <c r="V994" s="168"/>
      <c r="W994" s="168"/>
      <c r="X994" s="168"/>
      <c r="Y994" s="168"/>
      <c r="Z994" s="168"/>
      <c r="AA994" s="168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50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/>
      <c r="BE994" s="50"/>
      <c r="BF994" s="50"/>
      <c r="BG994" s="50"/>
      <c r="BH994" s="50"/>
      <c r="BI994" s="50"/>
      <c r="BJ994" s="50"/>
      <c r="BK994" s="50"/>
      <c r="BL994" s="50"/>
      <c r="BM994" s="50"/>
      <c r="BN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168"/>
      <c r="O995" s="168"/>
      <c r="P995" s="168"/>
      <c r="Q995" s="168"/>
      <c r="R995" s="168"/>
      <c r="S995" s="168"/>
      <c r="T995" s="168"/>
      <c r="U995" s="168"/>
      <c r="V995" s="168"/>
      <c r="W995" s="168"/>
      <c r="X995" s="168"/>
      <c r="Y995" s="168"/>
      <c r="Z995" s="168"/>
      <c r="AA995" s="168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/>
      <c r="AR995" s="50"/>
      <c r="AS995" s="50"/>
      <c r="AT995" s="50"/>
      <c r="AU995" s="50"/>
      <c r="AV995" s="50"/>
      <c r="AW995" s="50"/>
      <c r="AX995" s="50"/>
      <c r="AY995" s="50"/>
      <c r="AZ995" s="50"/>
      <c r="BA995" s="50"/>
      <c r="BB995" s="50"/>
      <c r="BC995" s="50"/>
      <c r="BD995" s="50"/>
      <c r="BE995" s="50"/>
      <c r="BF995" s="50"/>
      <c r="BG995" s="50"/>
      <c r="BH995" s="50"/>
      <c r="BI995" s="50"/>
      <c r="BJ995" s="50"/>
      <c r="BK995" s="50"/>
      <c r="BL995" s="50"/>
      <c r="BM995" s="50"/>
      <c r="BN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168"/>
      <c r="O996" s="168"/>
      <c r="P996" s="168"/>
      <c r="Q996" s="168"/>
      <c r="R996" s="168"/>
      <c r="S996" s="168"/>
      <c r="T996" s="168"/>
      <c r="U996" s="168"/>
      <c r="V996" s="168"/>
      <c r="W996" s="168"/>
      <c r="X996" s="168"/>
      <c r="Y996" s="168"/>
      <c r="Z996" s="168"/>
      <c r="AA996" s="168"/>
      <c r="AB996" s="50"/>
      <c r="AC996" s="50"/>
      <c r="AD996" s="50"/>
      <c r="AE996" s="50"/>
      <c r="AF996" s="50"/>
      <c r="AG996" s="50"/>
      <c r="AH996" s="50"/>
      <c r="AI996" s="50"/>
      <c r="AJ996" s="50"/>
      <c r="AK996" s="50"/>
      <c r="AL996" s="50"/>
      <c r="AM996" s="50"/>
      <c r="AN996" s="50"/>
      <c r="AO996" s="50"/>
      <c r="AP996" s="50"/>
      <c r="AQ996" s="50"/>
      <c r="AR996" s="50"/>
      <c r="AS996" s="50"/>
      <c r="AT996" s="50"/>
      <c r="AU996" s="50"/>
      <c r="AV996" s="50"/>
      <c r="AW996" s="50"/>
      <c r="AX996" s="50"/>
      <c r="AY996" s="50"/>
      <c r="AZ996" s="50"/>
      <c r="BA996" s="50"/>
      <c r="BB996" s="50"/>
      <c r="BC996" s="50"/>
      <c r="BD996" s="50"/>
      <c r="BE996" s="50"/>
      <c r="BF996" s="50"/>
      <c r="BG996" s="50"/>
      <c r="BH996" s="50"/>
      <c r="BI996" s="50"/>
      <c r="BJ996" s="50"/>
      <c r="BK996" s="50"/>
      <c r="BL996" s="50"/>
      <c r="BM996" s="50"/>
      <c r="BN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168"/>
      <c r="O997" s="168"/>
      <c r="P997" s="168"/>
      <c r="Q997" s="168"/>
      <c r="R997" s="168"/>
      <c r="S997" s="168"/>
      <c r="T997" s="168"/>
      <c r="U997" s="168"/>
      <c r="V997" s="168"/>
      <c r="W997" s="168"/>
      <c r="X997" s="168"/>
      <c r="Y997" s="168"/>
      <c r="Z997" s="168"/>
      <c r="AA997" s="168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/>
      <c r="AR997" s="50"/>
      <c r="AS997" s="50"/>
      <c r="AT997" s="50"/>
      <c r="AU997" s="50"/>
      <c r="AV997" s="50"/>
      <c r="AW997" s="50"/>
      <c r="AX997" s="50"/>
      <c r="AY997" s="50"/>
      <c r="AZ997" s="50"/>
      <c r="BA997" s="50"/>
      <c r="BB997" s="50"/>
      <c r="BC997" s="50"/>
      <c r="BD997" s="50"/>
      <c r="BE997" s="50"/>
      <c r="BF997" s="50"/>
      <c r="BG997" s="50"/>
      <c r="BH997" s="50"/>
      <c r="BI997" s="50"/>
      <c r="BJ997" s="50"/>
      <c r="BK997" s="50"/>
      <c r="BL997" s="50"/>
      <c r="BM997" s="50"/>
      <c r="BN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168"/>
      <c r="O998" s="168"/>
      <c r="P998" s="168"/>
      <c r="Q998" s="168"/>
      <c r="R998" s="168"/>
      <c r="S998" s="168"/>
      <c r="T998" s="168"/>
      <c r="U998" s="168"/>
      <c r="V998" s="168"/>
      <c r="W998" s="168"/>
      <c r="X998" s="168"/>
      <c r="Y998" s="168"/>
      <c r="Z998" s="168"/>
      <c r="AA998" s="168"/>
      <c r="AB998" s="50"/>
      <c r="AC998" s="50"/>
      <c r="AD998" s="50"/>
      <c r="AE998" s="50"/>
      <c r="AF998" s="50"/>
      <c r="AG998" s="50"/>
      <c r="AH998" s="50"/>
      <c r="AI998" s="50"/>
      <c r="AJ998" s="50"/>
      <c r="AK998" s="50"/>
      <c r="AL998" s="50"/>
      <c r="AM998" s="50"/>
      <c r="AN998" s="50"/>
      <c r="AO998" s="50"/>
      <c r="AP998" s="50"/>
      <c r="AQ998" s="50"/>
      <c r="AR998" s="50"/>
      <c r="AS998" s="50"/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0"/>
      <c r="BE998" s="50"/>
      <c r="BF998" s="50"/>
      <c r="BG998" s="50"/>
      <c r="BH998" s="50"/>
      <c r="BI998" s="50"/>
      <c r="BJ998" s="50"/>
      <c r="BK998" s="50"/>
      <c r="BL998" s="50"/>
      <c r="BM998" s="50"/>
      <c r="BN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168"/>
      <c r="O999" s="168"/>
      <c r="P999" s="168"/>
      <c r="Q999" s="168"/>
      <c r="R999" s="168"/>
      <c r="S999" s="168"/>
      <c r="T999" s="168"/>
      <c r="U999" s="168"/>
      <c r="V999" s="168"/>
      <c r="W999" s="168"/>
      <c r="X999" s="168"/>
      <c r="Y999" s="168"/>
      <c r="Z999" s="168"/>
      <c r="AA999" s="168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0"/>
      <c r="BE999" s="50"/>
      <c r="BF999" s="50"/>
      <c r="BG999" s="50"/>
      <c r="BH999" s="50"/>
      <c r="BI999" s="50"/>
      <c r="BJ999" s="50"/>
      <c r="BK999" s="50"/>
      <c r="BL999" s="50"/>
      <c r="BM999" s="50"/>
      <c r="BN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168"/>
      <c r="O1000" s="168"/>
      <c r="P1000" s="168"/>
      <c r="Q1000" s="168"/>
      <c r="R1000" s="168"/>
      <c r="S1000" s="168"/>
      <c r="T1000" s="168"/>
      <c r="U1000" s="168"/>
      <c r="V1000" s="168"/>
      <c r="W1000" s="168"/>
      <c r="X1000" s="168"/>
      <c r="Y1000" s="168"/>
      <c r="Z1000" s="168"/>
      <c r="AA1000" s="168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50"/>
      <c r="AL1000" s="50"/>
      <c r="AM1000" s="50"/>
      <c r="AN1000" s="50"/>
      <c r="AO1000" s="50"/>
      <c r="AP1000" s="50"/>
      <c r="AQ1000" s="50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0"/>
      <c r="BE1000" s="50"/>
      <c r="BF1000" s="50"/>
      <c r="BG1000" s="50"/>
      <c r="BH1000" s="50"/>
      <c r="BI1000" s="50"/>
      <c r="BJ1000" s="50"/>
      <c r="BK1000" s="50"/>
      <c r="BL1000" s="50"/>
      <c r="BM1000" s="50"/>
      <c r="BN1000" s="50"/>
    </row>
    <row r="1001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168"/>
      <c r="O1001" s="168"/>
      <c r="P1001" s="168"/>
      <c r="Q1001" s="168"/>
      <c r="R1001" s="168"/>
      <c r="S1001" s="168"/>
      <c r="T1001" s="168"/>
      <c r="U1001" s="168"/>
      <c r="V1001" s="168"/>
      <c r="W1001" s="168"/>
      <c r="X1001" s="168"/>
      <c r="Y1001" s="168"/>
      <c r="Z1001" s="168"/>
      <c r="AA1001" s="168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/>
      <c r="AN1001" s="50"/>
      <c r="AO1001" s="50"/>
      <c r="AP1001" s="50"/>
      <c r="AQ1001" s="50"/>
      <c r="AR1001" s="50"/>
      <c r="AS1001" s="50"/>
      <c r="AT1001" s="50"/>
      <c r="AU1001" s="50"/>
      <c r="AV1001" s="50"/>
      <c r="AW1001" s="50"/>
      <c r="AX1001" s="50"/>
      <c r="AY1001" s="50"/>
      <c r="AZ1001" s="50"/>
      <c r="BA1001" s="50"/>
      <c r="BB1001" s="50"/>
      <c r="BC1001" s="50"/>
      <c r="BD1001" s="50"/>
      <c r="BE1001" s="50"/>
      <c r="BF1001" s="50"/>
      <c r="BG1001" s="50"/>
      <c r="BH1001" s="50"/>
      <c r="BI1001" s="50"/>
      <c r="BJ1001" s="50"/>
      <c r="BK1001" s="50"/>
      <c r="BL1001" s="50"/>
      <c r="BM1001" s="50"/>
      <c r="BN1001" s="50"/>
    </row>
    <row r="1002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168"/>
      <c r="O1002" s="168"/>
      <c r="P1002" s="168"/>
      <c r="Q1002" s="168"/>
      <c r="R1002" s="168"/>
      <c r="S1002" s="168"/>
      <c r="T1002" s="168"/>
      <c r="U1002" s="168"/>
      <c r="V1002" s="168"/>
      <c r="W1002" s="168"/>
      <c r="X1002" s="168"/>
      <c r="Y1002" s="168"/>
      <c r="Z1002" s="168"/>
      <c r="AA1002" s="168"/>
      <c r="AB1002" s="50"/>
      <c r="AC1002" s="50"/>
      <c r="AD1002" s="50"/>
      <c r="AE1002" s="50"/>
      <c r="AF1002" s="50"/>
      <c r="AG1002" s="50"/>
      <c r="AH1002" s="50"/>
      <c r="AI1002" s="50"/>
      <c r="AJ1002" s="50"/>
      <c r="AK1002" s="50"/>
      <c r="AL1002" s="50"/>
      <c r="AM1002" s="50"/>
      <c r="AN1002" s="50"/>
      <c r="AO1002" s="50"/>
      <c r="AP1002" s="50"/>
      <c r="AQ1002" s="50"/>
      <c r="AR1002" s="50"/>
      <c r="AS1002" s="50"/>
      <c r="AT1002" s="50"/>
      <c r="AU1002" s="50"/>
      <c r="AV1002" s="50"/>
      <c r="AW1002" s="50"/>
      <c r="AX1002" s="50"/>
      <c r="AY1002" s="50"/>
      <c r="AZ1002" s="50"/>
      <c r="BA1002" s="50"/>
      <c r="BB1002" s="50"/>
      <c r="BC1002" s="50"/>
      <c r="BD1002" s="50"/>
      <c r="BE1002" s="50"/>
      <c r="BF1002" s="50"/>
      <c r="BG1002" s="50"/>
      <c r="BH1002" s="50"/>
      <c r="BI1002" s="50"/>
      <c r="BJ1002" s="50"/>
      <c r="BK1002" s="50"/>
      <c r="BL1002" s="50"/>
      <c r="BM1002" s="50"/>
      <c r="BN1002" s="50"/>
    </row>
    <row r="1003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168"/>
      <c r="O1003" s="168"/>
      <c r="P1003" s="168"/>
      <c r="Q1003" s="168"/>
      <c r="R1003" s="168"/>
      <c r="S1003" s="168"/>
      <c r="T1003" s="168"/>
      <c r="U1003" s="168"/>
      <c r="V1003" s="168"/>
      <c r="W1003" s="168"/>
      <c r="X1003" s="168"/>
      <c r="Y1003" s="168"/>
      <c r="Z1003" s="168"/>
      <c r="AA1003" s="168"/>
      <c r="AB1003" s="50"/>
      <c r="AC1003" s="50"/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/>
      <c r="AN1003" s="50"/>
      <c r="AO1003" s="50"/>
      <c r="AP1003" s="50"/>
      <c r="AQ1003" s="50"/>
      <c r="AR1003" s="50"/>
      <c r="AS1003" s="50"/>
      <c r="AT1003" s="50"/>
      <c r="AU1003" s="50"/>
      <c r="AV1003" s="50"/>
      <c r="AW1003" s="50"/>
      <c r="AX1003" s="50"/>
      <c r="AY1003" s="50"/>
      <c r="AZ1003" s="50"/>
      <c r="BA1003" s="50"/>
      <c r="BB1003" s="50"/>
      <c r="BC1003" s="50"/>
      <c r="BD1003" s="50"/>
      <c r="BE1003" s="50"/>
      <c r="BF1003" s="50"/>
      <c r="BG1003" s="50"/>
      <c r="BH1003" s="50"/>
      <c r="BI1003" s="50"/>
      <c r="BJ1003" s="50"/>
      <c r="BK1003" s="50"/>
      <c r="BL1003" s="50"/>
      <c r="BM1003" s="50"/>
      <c r="BN1003" s="50"/>
    </row>
    <row r="1004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168"/>
      <c r="O1004" s="168"/>
      <c r="P1004" s="168"/>
      <c r="Q1004" s="168"/>
      <c r="R1004" s="168"/>
      <c r="S1004" s="168"/>
      <c r="T1004" s="168"/>
      <c r="U1004" s="168"/>
      <c r="V1004" s="168"/>
      <c r="W1004" s="168"/>
      <c r="X1004" s="168"/>
      <c r="Y1004" s="168"/>
      <c r="Z1004" s="168"/>
      <c r="AA1004" s="168"/>
      <c r="AB1004" s="50"/>
      <c r="AC1004" s="50"/>
      <c r="AD1004" s="50"/>
      <c r="AE1004" s="50"/>
      <c r="AF1004" s="50"/>
      <c r="AG1004" s="50"/>
      <c r="AH1004" s="50"/>
      <c r="AI1004" s="50"/>
      <c r="AJ1004" s="50"/>
      <c r="AK1004" s="50"/>
      <c r="AL1004" s="50"/>
      <c r="AM1004" s="50"/>
      <c r="AN1004" s="50"/>
      <c r="AO1004" s="50"/>
      <c r="AP1004" s="50"/>
      <c r="AQ1004" s="50"/>
      <c r="AR1004" s="50"/>
      <c r="AS1004" s="50"/>
      <c r="AT1004" s="50"/>
      <c r="AU1004" s="50"/>
      <c r="AV1004" s="50"/>
      <c r="AW1004" s="50"/>
      <c r="AX1004" s="50"/>
      <c r="AY1004" s="50"/>
      <c r="AZ1004" s="50"/>
      <c r="BA1004" s="50"/>
      <c r="BB1004" s="50"/>
      <c r="BC1004" s="50"/>
      <c r="BD1004" s="50"/>
      <c r="BE1004" s="50"/>
      <c r="BF1004" s="50"/>
      <c r="BG1004" s="50"/>
      <c r="BH1004" s="50"/>
      <c r="BI1004" s="50"/>
      <c r="BJ1004" s="50"/>
      <c r="BK1004" s="50"/>
      <c r="BL1004" s="50"/>
      <c r="BM1004" s="50"/>
      <c r="BN1004" s="50"/>
    </row>
    <row r="1005">
      <c r="A1005" s="50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168"/>
      <c r="O1005" s="168"/>
      <c r="P1005" s="168"/>
      <c r="Q1005" s="168"/>
      <c r="R1005" s="168"/>
      <c r="S1005" s="168"/>
      <c r="T1005" s="168"/>
      <c r="U1005" s="168"/>
      <c r="V1005" s="168"/>
      <c r="W1005" s="168"/>
      <c r="X1005" s="168"/>
      <c r="Y1005" s="168"/>
      <c r="Z1005" s="168"/>
      <c r="AA1005" s="168"/>
      <c r="AB1005" s="50"/>
      <c r="AC1005" s="50"/>
      <c r="AD1005" s="50"/>
      <c r="AE1005" s="50"/>
      <c r="AF1005" s="50"/>
      <c r="AG1005" s="50"/>
      <c r="AH1005" s="50"/>
      <c r="AI1005" s="50"/>
      <c r="AJ1005" s="50"/>
      <c r="AK1005" s="50"/>
      <c r="AL1005" s="50"/>
      <c r="AM1005" s="50"/>
      <c r="AN1005" s="50"/>
      <c r="AO1005" s="50"/>
      <c r="AP1005" s="50"/>
      <c r="AQ1005" s="50"/>
      <c r="AR1005" s="50"/>
      <c r="AS1005" s="50"/>
      <c r="AT1005" s="50"/>
      <c r="AU1005" s="50"/>
      <c r="AV1005" s="50"/>
      <c r="AW1005" s="50"/>
      <c r="AX1005" s="50"/>
      <c r="AY1005" s="50"/>
      <c r="AZ1005" s="50"/>
      <c r="BA1005" s="50"/>
      <c r="BB1005" s="50"/>
      <c r="BC1005" s="50"/>
      <c r="BD1005" s="50"/>
      <c r="BE1005" s="50"/>
      <c r="BF1005" s="50"/>
      <c r="BG1005" s="50"/>
      <c r="BH1005" s="50"/>
      <c r="BI1005" s="50"/>
      <c r="BJ1005" s="50"/>
      <c r="BK1005" s="50"/>
      <c r="BL1005" s="50"/>
      <c r="BM1005" s="50"/>
      <c r="BN1005" s="50"/>
    </row>
    <row r="1006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168"/>
      <c r="O1006" s="168"/>
      <c r="P1006" s="168"/>
      <c r="Q1006" s="168"/>
      <c r="R1006" s="168"/>
      <c r="S1006" s="168"/>
      <c r="T1006" s="168"/>
      <c r="U1006" s="168"/>
      <c r="V1006" s="168"/>
      <c r="W1006" s="168"/>
      <c r="X1006" s="168"/>
      <c r="Y1006" s="168"/>
      <c r="Z1006" s="168"/>
      <c r="AA1006" s="168"/>
      <c r="AB1006" s="50"/>
      <c r="AC1006" s="50"/>
      <c r="AD1006" s="50"/>
      <c r="AE1006" s="50"/>
      <c r="AF1006" s="50"/>
      <c r="AG1006" s="50"/>
      <c r="AH1006" s="50"/>
      <c r="AI1006" s="50"/>
      <c r="AJ1006" s="50"/>
      <c r="AK1006" s="50"/>
      <c r="AL1006" s="50"/>
      <c r="AM1006" s="50"/>
      <c r="AN1006" s="50"/>
      <c r="AO1006" s="50"/>
      <c r="AP1006" s="50"/>
      <c r="AQ1006" s="50"/>
      <c r="AR1006" s="50"/>
      <c r="AS1006" s="50"/>
      <c r="AT1006" s="50"/>
      <c r="AU1006" s="50"/>
      <c r="AV1006" s="50"/>
      <c r="AW1006" s="50"/>
      <c r="AX1006" s="50"/>
      <c r="AY1006" s="50"/>
      <c r="AZ1006" s="50"/>
      <c r="BA1006" s="50"/>
      <c r="BB1006" s="50"/>
      <c r="BC1006" s="50"/>
      <c r="BD1006" s="50"/>
      <c r="BE1006" s="50"/>
      <c r="BF1006" s="50"/>
      <c r="BG1006" s="50"/>
      <c r="BH1006" s="50"/>
      <c r="BI1006" s="50"/>
      <c r="BJ1006" s="50"/>
      <c r="BK1006" s="50"/>
      <c r="BL1006" s="50"/>
      <c r="BM1006" s="50"/>
      <c r="BN1006" s="50"/>
    </row>
  </sheetData>
  <conditionalFormatting sqref="D2:H32 J2:Y32 AE2:AE32">
    <cfRule type="expression" dxfId="7" priority="1">
      <formula> SUM($N2:$Y2) &gt; 0</formula>
    </cfRule>
  </conditionalFormatting>
  <conditionalFormatting sqref="AE1:AE35 AE37:AE1006">
    <cfRule type="notContainsBlanks" dxfId="6" priority="2">
      <formula>LEN(TRIM(AE1))&gt;0</formula>
    </cfRule>
  </conditionalFormatting>
  <conditionalFormatting sqref="AD2:AD32">
    <cfRule type="colorScale" priority="3">
      <colorScale>
        <cfvo type="min"/>
        <cfvo type="max"/>
        <color rgb="FF999999"/>
        <color rgb="FFFFFFFF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13"/>
    <col customWidth="1" min="2" max="2" width="6.13"/>
    <col customWidth="1" min="3" max="3" width="6.63"/>
    <col customWidth="1" min="4" max="4" width="13.25"/>
    <col customWidth="1" min="5" max="5" width="8.5"/>
    <col customWidth="1" min="6" max="6" width="9.25"/>
    <col customWidth="1" hidden="1" min="7" max="7" width="8.88"/>
    <col customWidth="1" min="8" max="8" width="8.88"/>
    <col customWidth="1" min="9" max="9" width="8.63"/>
    <col customWidth="1" min="10" max="10" width="5.63"/>
    <col customWidth="1" min="11" max="11" width="6.25"/>
    <col customWidth="1" min="12" max="12" width="6.13"/>
    <col customWidth="1" min="13" max="13" width="18.0"/>
    <col customWidth="1" min="14" max="14" width="7.88"/>
    <col customWidth="1" min="15" max="15" width="8.0"/>
    <col customWidth="1" min="16" max="16" width="8.63"/>
    <col customWidth="1" min="17" max="17" width="8.5"/>
    <col customWidth="1" min="18" max="18" width="7.88"/>
    <col customWidth="1" min="19" max="19" width="8.88"/>
    <col customWidth="1" min="20" max="20" width="9.25"/>
    <col customWidth="1" min="21" max="21" width="8.75"/>
    <col customWidth="1" min="22" max="22" width="9.0"/>
    <col customWidth="1" min="23" max="23" width="7.88"/>
    <col customWidth="1" min="24" max="24" width="7.5"/>
    <col customWidth="1" min="25" max="25" width="6.63"/>
    <col customWidth="1" min="26" max="26" width="5.63"/>
    <col customWidth="1" min="27" max="27" width="5.75"/>
    <col customWidth="1" min="28" max="28" width="11.63"/>
    <col customWidth="1" min="29" max="29" width="12.25"/>
    <col customWidth="1" hidden="1" min="30" max="30" width="7.0"/>
    <col customWidth="1" min="31" max="31" width="56.63"/>
  </cols>
  <sheetData>
    <row r="1">
      <c r="A1" s="1"/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75</v>
      </c>
      <c r="J1" s="2" t="s">
        <v>9</v>
      </c>
      <c r="K1" s="2" t="s">
        <v>76</v>
      </c>
      <c r="L1" s="2" t="s">
        <v>77</v>
      </c>
      <c r="M1" s="1" t="s">
        <v>12</v>
      </c>
      <c r="N1" s="251" t="s">
        <v>13</v>
      </c>
      <c r="O1" s="251" t="s">
        <v>14</v>
      </c>
      <c r="P1" s="251" t="s">
        <v>78</v>
      </c>
      <c r="Q1" s="251" t="s">
        <v>79</v>
      </c>
      <c r="R1" s="251" t="s">
        <v>80</v>
      </c>
      <c r="S1" s="251" t="s">
        <v>81</v>
      </c>
      <c r="T1" s="251" t="s">
        <v>82</v>
      </c>
      <c r="U1" s="251" t="s">
        <v>83</v>
      </c>
      <c r="V1" s="251" t="s">
        <v>84</v>
      </c>
      <c r="W1" s="251" t="s">
        <v>85</v>
      </c>
      <c r="X1" s="251" t="s">
        <v>86</v>
      </c>
      <c r="Y1" s="251" t="s">
        <v>87</v>
      </c>
      <c r="Z1" s="2" t="s">
        <v>88</v>
      </c>
      <c r="AA1" s="2" t="s">
        <v>89</v>
      </c>
      <c r="AB1" s="2" t="s">
        <v>27</v>
      </c>
      <c r="AC1" s="2" t="s">
        <v>28</v>
      </c>
      <c r="AD1" s="251" t="s">
        <v>29</v>
      </c>
      <c r="AE1" s="2" t="s">
        <v>30</v>
      </c>
      <c r="AF1" s="63"/>
      <c r="AG1" s="63"/>
      <c r="AH1" s="63"/>
      <c r="AI1" s="63"/>
      <c r="AJ1" s="63"/>
      <c r="AK1" s="63"/>
      <c r="AL1" s="64"/>
      <c r="AM1" s="64"/>
      <c r="AN1" s="64"/>
      <c r="AO1" s="64"/>
      <c r="AP1" s="64"/>
      <c r="AQ1" s="64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  <c r="BI1" s="158"/>
      <c r="BJ1" s="158"/>
      <c r="BK1" s="158"/>
      <c r="BL1" s="158"/>
      <c r="BM1" s="158"/>
      <c r="BN1" s="158"/>
    </row>
    <row r="2">
      <c r="A2" s="17">
        <v>43525.0</v>
      </c>
      <c r="B2" s="6">
        <v>1757.0</v>
      </c>
      <c r="C2" s="6">
        <v>1827.0</v>
      </c>
      <c r="D2" s="7" t="str">
        <f t="shared" ref="D2:D32" si="1">choose(weekday(A2),"Fred/Phil", "Jane/Murr", "Tom","Sue/Anne","Shawn/Orems","Jeff", "Rob")</f>
        <v>Jeff</v>
      </c>
      <c r="E2" s="7" t="s">
        <v>33</v>
      </c>
      <c r="F2" s="9">
        <v>0.7916666666666666</v>
      </c>
      <c r="G2" s="252">
        <v>43525.0</v>
      </c>
      <c r="H2" s="9">
        <v>0.7916666666666666</v>
      </c>
      <c r="I2" s="11">
        <f t="shared" ref="I2:I11" si="2">iferror(24*( DATEDIF(A2,G2,"D")+TIMEVALUE(H2)-TIMEVALUE(F2)),0)</f>
        <v>0</v>
      </c>
      <c r="J2" s="7">
        <v>0.0</v>
      </c>
      <c r="K2" s="7">
        <v>44.0</v>
      </c>
      <c r="L2" s="7">
        <v>44.0</v>
      </c>
      <c r="M2" s="7"/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13">
        <f t="shared" ref="Z2:Z32" si="3">sum(N2:Q2)</f>
        <v>0</v>
      </c>
      <c r="AA2" s="13">
        <f t="shared" ref="AA2:AA32" si="4">sum(R2:V2)</f>
        <v>0</v>
      </c>
      <c r="AB2" s="14">
        <f t="shared" ref="AB2:AB32" si="5">sum(N2:O2)</f>
        <v>0</v>
      </c>
      <c r="AC2" s="14">
        <f t="shared" ref="AC2:AC32" si="6">sum(R2:S2,V2)</f>
        <v>0</v>
      </c>
      <c r="AD2" s="253">
        <v>0.21</v>
      </c>
      <c r="AE2" s="68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</row>
    <row r="3">
      <c r="A3" s="17">
        <v>43526.0</v>
      </c>
      <c r="B3" s="6">
        <v>1759.0</v>
      </c>
      <c r="C3" s="6">
        <v>1829.0</v>
      </c>
      <c r="D3" s="7" t="str">
        <f t="shared" si="1"/>
        <v>Rob</v>
      </c>
      <c r="E3" s="21" t="s">
        <v>33</v>
      </c>
      <c r="F3" s="19"/>
      <c r="G3" s="254">
        <v>43526.0</v>
      </c>
      <c r="H3" s="19"/>
      <c r="I3" s="11">
        <f t="shared" si="2"/>
        <v>0</v>
      </c>
      <c r="J3" s="21"/>
      <c r="K3" s="21"/>
      <c r="L3" s="21"/>
      <c r="M3" s="21"/>
      <c r="N3" s="21">
        <v>0.0</v>
      </c>
      <c r="O3" s="21">
        <v>0.0</v>
      </c>
      <c r="P3" s="21">
        <v>0.0</v>
      </c>
      <c r="Q3" s="21">
        <v>0.0</v>
      </c>
      <c r="R3" s="21">
        <v>0.0</v>
      </c>
      <c r="S3" s="21">
        <v>0.0</v>
      </c>
      <c r="T3" s="21">
        <v>0.0</v>
      </c>
      <c r="U3" s="21">
        <v>0.0</v>
      </c>
      <c r="V3" s="21">
        <v>0.0</v>
      </c>
      <c r="W3" s="21">
        <v>0.0</v>
      </c>
      <c r="X3" s="21">
        <v>0.0</v>
      </c>
      <c r="Y3" s="21">
        <v>0.0</v>
      </c>
      <c r="Z3" s="13">
        <f t="shared" si="3"/>
        <v>0</v>
      </c>
      <c r="AA3" s="13">
        <f t="shared" si="4"/>
        <v>0</v>
      </c>
      <c r="AB3" s="14">
        <f t="shared" si="5"/>
        <v>0</v>
      </c>
      <c r="AC3" s="14">
        <f t="shared" si="6"/>
        <v>0</v>
      </c>
      <c r="AD3" s="255">
        <v>0.13</v>
      </c>
      <c r="AE3" s="70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174"/>
      <c r="AS3" s="174"/>
      <c r="AT3" s="174"/>
      <c r="AU3" s="174"/>
      <c r="AV3" s="174"/>
      <c r="AW3" s="174"/>
      <c r="AX3" s="174"/>
      <c r="AY3" s="174"/>
      <c r="AZ3" s="174"/>
      <c r="BA3" s="174"/>
      <c r="BB3" s="174"/>
      <c r="BC3" s="174"/>
      <c r="BD3" s="174"/>
      <c r="BE3" s="174"/>
      <c r="BF3" s="174"/>
      <c r="BG3" s="174"/>
      <c r="BH3" s="174"/>
      <c r="BI3" s="174"/>
      <c r="BJ3" s="174"/>
      <c r="BK3" s="174"/>
      <c r="BL3" s="174"/>
      <c r="BM3" s="174"/>
      <c r="BN3" s="174"/>
    </row>
    <row r="4">
      <c r="A4" s="17">
        <v>43527.0</v>
      </c>
      <c r="B4" s="6">
        <v>1800.0</v>
      </c>
      <c r="C4" s="6">
        <v>1830.0</v>
      </c>
      <c r="D4" s="7" t="str">
        <f t="shared" si="1"/>
        <v>Fred/Phil</v>
      </c>
      <c r="E4" s="7"/>
      <c r="F4" s="9"/>
      <c r="G4" s="67">
        <v>43527.0</v>
      </c>
      <c r="H4" s="9"/>
      <c r="I4" s="11">
        <f t="shared" si="2"/>
        <v>0</v>
      </c>
      <c r="J4" s="7"/>
      <c r="K4" s="7"/>
      <c r="L4" s="7"/>
      <c r="M4" s="7"/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13">
        <f t="shared" si="3"/>
        <v>0</v>
      </c>
      <c r="AA4" s="13">
        <f t="shared" si="4"/>
        <v>0</v>
      </c>
      <c r="AB4" s="14">
        <f t="shared" si="5"/>
        <v>0</v>
      </c>
      <c r="AC4" s="14">
        <f t="shared" si="6"/>
        <v>0</v>
      </c>
      <c r="AD4" s="256">
        <v>0.07</v>
      </c>
      <c r="AE4" s="68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</row>
    <row r="5">
      <c r="A5" s="17">
        <v>43528.0</v>
      </c>
      <c r="B5" s="6">
        <v>1802.0</v>
      </c>
      <c r="C5" s="6">
        <v>1831.0</v>
      </c>
      <c r="D5" s="7" t="str">
        <f t="shared" si="1"/>
        <v>Jane/Murr</v>
      </c>
      <c r="E5" s="21" t="s">
        <v>33</v>
      </c>
      <c r="F5" s="21" t="s">
        <v>201</v>
      </c>
      <c r="G5" s="254">
        <v>43528.0</v>
      </c>
      <c r="H5" s="21" t="s">
        <v>202</v>
      </c>
      <c r="I5" s="11">
        <f t="shared" si="2"/>
        <v>0</v>
      </c>
      <c r="J5" s="21"/>
      <c r="K5" s="21">
        <v>37.0</v>
      </c>
      <c r="L5" s="21">
        <v>37.0</v>
      </c>
      <c r="M5" s="21" t="s">
        <v>122</v>
      </c>
      <c r="N5" s="21">
        <v>0.0</v>
      </c>
      <c r="O5" s="21">
        <v>0.0</v>
      </c>
      <c r="P5" s="21">
        <v>0.0</v>
      </c>
      <c r="Q5" s="21">
        <v>0.0</v>
      </c>
      <c r="R5" s="21">
        <v>0.0</v>
      </c>
      <c r="S5" s="21">
        <v>0.0</v>
      </c>
      <c r="T5" s="21">
        <v>0.0</v>
      </c>
      <c r="U5" s="21">
        <v>0.0</v>
      </c>
      <c r="V5" s="21">
        <v>0.0</v>
      </c>
      <c r="W5" s="21">
        <v>0.0</v>
      </c>
      <c r="X5" s="21">
        <v>0.0</v>
      </c>
      <c r="Y5" s="21">
        <v>0.0</v>
      </c>
      <c r="Z5" s="13">
        <f t="shared" si="3"/>
        <v>0</v>
      </c>
      <c r="AA5" s="13">
        <f t="shared" si="4"/>
        <v>0</v>
      </c>
      <c r="AB5" s="14">
        <f t="shared" si="5"/>
        <v>0</v>
      </c>
      <c r="AC5" s="14">
        <f t="shared" si="6"/>
        <v>0</v>
      </c>
      <c r="AD5" s="257">
        <v>0.03</v>
      </c>
      <c r="AE5" s="70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  <c r="BF5" s="174"/>
      <c r="BG5" s="174"/>
      <c r="BH5" s="174"/>
      <c r="BI5" s="174"/>
      <c r="BJ5" s="174"/>
      <c r="BK5" s="174"/>
      <c r="BL5" s="174"/>
      <c r="BM5" s="174"/>
      <c r="BN5" s="174"/>
    </row>
    <row r="6">
      <c r="A6" s="25">
        <v>43529.0</v>
      </c>
      <c r="B6" s="6">
        <v>1803.0</v>
      </c>
      <c r="C6" s="6">
        <v>1833.0</v>
      </c>
      <c r="D6" s="7" t="str">
        <f t="shared" si="1"/>
        <v>Tom</v>
      </c>
      <c r="E6" s="7" t="s">
        <v>33</v>
      </c>
      <c r="F6" s="24"/>
      <c r="G6" s="67">
        <v>43529.0</v>
      </c>
      <c r="H6" s="9"/>
      <c r="I6" s="11">
        <f t="shared" si="2"/>
        <v>0</v>
      </c>
      <c r="J6" s="7"/>
      <c r="K6" s="7">
        <v>39.0</v>
      </c>
      <c r="L6" s="7">
        <v>39.0</v>
      </c>
      <c r="M6" s="68" t="s">
        <v>35</v>
      </c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7">
        <v>0.0</v>
      </c>
      <c r="Y6" s="7">
        <v>0.0</v>
      </c>
      <c r="Z6" s="13">
        <f t="shared" si="3"/>
        <v>0</v>
      </c>
      <c r="AA6" s="13">
        <f t="shared" si="4"/>
        <v>0</v>
      </c>
      <c r="AB6" s="14">
        <f t="shared" si="5"/>
        <v>0</v>
      </c>
      <c r="AC6" s="14">
        <f t="shared" si="6"/>
        <v>0</v>
      </c>
      <c r="AD6" s="258">
        <v>0.01</v>
      </c>
      <c r="AE6" s="68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</row>
    <row r="7">
      <c r="A7" s="25">
        <v>43530.0</v>
      </c>
      <c r="B7" s="6">
        <v>1804.0</v>
      </c>
      <c r="C7" s="6">
        <v>1834.0</v>
      </c>
      <c r="D7" s="7" t="str">
        <f t="shared" si="1"/>
        <v>Sue/Anne</v>
      </c>
      <c r="E7" s="66" t="s">
        <v>33</v>
      </c>
      <c r="F7" s="24">
        <v>0.78125</v>
      </c>
      <c r="G7" s="259">
        <v>43530.0</v>
      </c>
      <c r="H7" s="141"/>
      <c r="I7" s="11">
        <f t="shared" si="2"/>
        <v>0</v>
      </c>
      <c r="J7" s="21"/>
      <c r="K7" s="66">
        <v>36.0</v>
      </c>
      <c r="L7" s="21"/>
      <c r="M7" s="66" t="s">
        <v>35</v>
      </c>
      <c r="N7" s="21">
        <v>0.0</v>
      </c>
      <c r="O7" s="21">
        <v>0.0</v>
      </c>
      <c r="P7" s="21">
        <v>0.0</v>
      </c>
      <c r="Q7" s="21">
        <v>0.0</v>
      </c>
      <c r="R7" s="21">
        <v>0.0</v>
      </c>
      <c r="S7" s="21">
        <v>0.0</v>
      </c>
      <c r="T7" s="21">
        <v>0.0</v>
      </c>
      <c r="U7" s="21">
        <v>0.0</v>
      </c>
      <c r="V7" s="21">
        <v>0.0</v>
      </c>
      <c r="W7" s="21">
        <v>0.0</v>
      </c>
      <c r="X7" s="21">
        <v>0.0</v>
      </c>
      <c r="Y7" s="21">
        <v>0.0</v>
      </c>
      <c r="Z7" s="13">
        <f t="shared" si="3"/>
        <v>0</v>
      </c>
      <c r="AA7" s="13">
        <f t="shared" si="4"/>
        <v>0</v>
      </c>
      <c r="AB7" s="14">
        <f t="shared" si="5"/>
        <v>0</v>
      </c>
      <c r="AC7" s="14">
        <f t="shared" si="6"/>
        <v>0</v>
      </c>
      <c r="AD7" s="260">
        <v>0.0</v>
      </c>
      <c r="AE7" s="70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74"/>
      <c r="BL7" s="174"/>
      <c r="BM7" s="174"/>
      <c r="BN7" s="174"/>
    </row>
    <row r="8">
      <c r="A8" s="25">
        <v>43531.0</v>
      </c>
      <c r="B8" s="6">
        <v>1806.0</v>
      </c>
      <c r="C8" s="6">
        <v>1835.0</v>
      </c>
      <c r="D8" s="7" t="str">
        <f t="shared" si="1"/>
        <v>Shawn/Orems</v>
      </c>
      <c r="E8" s="21" t="s">
        <v>40</v>
      </c>
      <c r="F8" s="19">
        <v>0.7708333333333334</v>
      </c>
      <c r="G8" s="254">
        <v>43531.0</v>
      </c>
      <c r="H8" s="19">
        <v>0.7777777777777778</v>
      </c>
      <c r="I8" s="11">
        <f t="shared" si="2"/>
        <v>0.1666666667</v>
      </c>
      <c r="J8" s="7">
        <v>0.17</v>
      </c>
      <c r="K8" s="21">
        <v>41.0</v>
      </c>
      <c r="L8" s="7">
        <v>40.0</v>
      </c>
      <c r="M8" s="70" t="s">
        <v>203</v>
      </c>
      <c r="N8" s="7">
        <v>0.0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13">
        <f t="shared" si="3"/>
        <v>0</v>
      </c>
      <c r="AA8" s="13">
        <f t="shared" si="4"/>
        <v>0</v>
      </c>
      <c r="AB8" s="14">
        <f t="shared" si="5"/>
        <v>0</v>
      </c>
      <c r="AC8" s="14">
        <f t="shared" si="6"/>
        <v>0</v>
      </c>
      <c r="AD8" s="258">
        <v>0.01</v>
      </c>
      <c r="AE8" s="68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</row>
    <row r="9">
      <c r="A9" s="17">
        <v>43532.0</v>
      </c>
      <c r="B9" s="6">
        <v>1807.0</v>
      </c>
      <c r="C9" s="6">
        <v>1837.0</v>
      </c>
      <c r="D9" s="7" t="str">
        <f t="shared" si="1"/>
        <v>Jeff</v>
      </c>
      <c r="E9" s="21" t="s">
        <v>40</v>
      </c>
      <c r="F9" s="19">
        <v>0.7604166666666666</v>
      </c>
      <c r="G9" s="254">
        <v>43532.0</v>
      </c>
      <c r="H9" s="19">
        <v>0.8472222222222222</v>
      </c>
      <c r="I9" s="11">
        <f t="shared" si="2"/>
        <v>2.083333333</v>
      </c>
      <c r="J9" s="21">
        <v>0.0</v>
      </c>
      <c r="K9" s="21">
        <v>37.0</v>
      </c>
      <c r="L9" s="21">
        <v>36.0</v>
      </c>
      <c r="M9" s="70" t="s">
        <v>204</v>
      </c>
      <c r="N9" s="21">
        <v>0.0</v>
      </c>
      <c r="O9" s="21">
        <v>0.0</v>
      </c>
      <c r="P9" s="21">
        <v>0.0</v>
      </c>
      <c r="Q9" s="21">
        <v>0.0</v>
      </c>
      <c r="R9" s="21">
        <v>0.0</v>
      </c>
      <c r="S9" s="21">
        <v>0.0</v>
      </c>
      <c r="T9" s="21"/>
      <c r="U9" s="21">
        <v>0.0</v>
      </c>
      <c r="V9" s="21">
        <v>0.0</v>
      </c>
      <c r="W9" s="21">
        <v>0.0</v>
      </c>
      <c r="X9" s="21">
        <v>1.0</v>
      </c>
      <c r="Y9" s="21">
        <v>0.0</v>
      </c>
      <c r="Z9" s="13">
        <f t="shared" si="3"/>
        <v>0</v>
      </c>
      <c r="AA9" s="13">
        <f t="shared" si="4"/>
        <v>0</v>
      </c>
      <c r="AB9" s="14">
        <f t="shared" si="5"/>
        <v>0</v>
      </c>
      <c r="AC9" s="14">
        <f t="shared" si="6"/>
        <v>0</v>
      </c>
      <c r="AD9" s="261">
        <v>0.05</v>
      </c>
      <c r="AE9" s="70" t="s">
        <v>205</v>
      </c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174"/>
      <c r="BH9" s="174"/>
      <c r="BI9" s="174"/>
      <c r="BJ9" s="174"/>
      <c r="BK9" s="174"/>
      <c r="BL9" s="174"/>
      <c r="BM9" s="174"/>
      <c r="BN9" s="174"/>
    </row>
    <row r="10">
      <c r="A10" s="23">
        <v>43533.0</v>
      </c>
      <c r="B10" s="6">
        <v>1808.0</v>
      </c>
      <c r="C10" s="6">
        <v>1838.0</v>
      </c>
      <c r="D10" s="7" t="str">
        <f t="shared" si="1"/>
        <v>Rob</v>
      </c>
      <c r="E10" s="7" t="s">
        <v>33</v>
      </c>
      <c r="F10" s="9"/>
      <c r="G10" s="67">
        <v>43533.0</v>
      </c>
      <c r="H10" s="9"/>
      <c r="I10" s="11">
        <f t="shared" si="2"/>
        <v>0</v>
      </c>
      <c r="J10" s="7"/>
      <c r="K10" s="7">
        <v>38.0</v>
      </c>
      <c r="L10" s="7"/>
      <c r="M10" s="68"/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13">
        <f t="shared" si="3"/>
        <v>0</v>
      </c>
      <c r="AA10" s="13">
        <f t="shared" si="4"/>
        <v>0</v>
      </c>
      <c r="AB10" s="14">
        <f t="shared" si="5"/>
        <v>0</v>
      </c>
      <c r="AC10" s="14">
        <f t="shared" si="6"/>
        <v>0</v>
      </c>
      <c r="AD10" s="262">
        <v>0.09</v>
      </c>
      <c r="AE10" s="68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</row>
    <row r="11">
      <c r="A11" s="23">
        <v>43534.0</v>
      </c>
      <c r="B11" s="6">
        <v>1910.0</v>
      </c>
      <c r="C11" s="6">
        <v>1939.0</v>
      </c>
      <c r="D11" s="7" t="str">
        <f t="shared" si="1"/>
        <v>Fred/Phil</v>
      </c>
      <c r="E11" s="263"/>
      <c r="F11" s="263"/>
      <c r="G11" s="264">
        <v>43534.0</v>
      </c>
      <c r="H11" s="86"/>
      <c r="I11" s="11">
        <f t="shared" si="2"/>
        <v>0</v>
      </c>
      <c r="J11" s="87"/>
      <c r="K11" s="87"/>
      <c r="L11" s="87"/>
      <c r="M11" s="88"/>
      <c r="N11" s="21">
        <v>0.0</v>
      </c>
      <c r="O11" s="21">
        <v>0.0</v>
      </c>
      <c r="P11" s="21">
        <v>0.0</v>
      </c>
      <c r="Q11" s="21">
        <v>0.0</v>
      </c>
      <c r="R11" s="21">
        <v>0.0</v>
      </c>
      <c r="S11" s="21">
        <v>0.0</v>
      </c>
      <c r="T11" s="21">
        <v>0.0</v>
      </c>
      <c r="U11" s="21">
        <v>0.0</v>
      </c>
      <c r="V11" s="21">
        <v>0.0</v>
      </c>
      <c r="W11" s="21">
        <v>0.0</v>
      </c>
      <c r="X11" s="21">
        <v>0.0</v>
      </c>
      <c r="Y11" s="21">
        <v>0.0</v>
      </c>
      <c r="Z11" s="13">
        <f t="shared" si="3"/>
        <v>0</v>
      </c>
      <c r="AA11" s="13">
        <f t="shared" si="4"/>
        <v>0</v>
      </c>
      <c r="AB11" s="14">
        <f t="shared" si="5"/>
        <v>0</v>
      </c>
      <c r="AC11" s="14">
        <f t="shared" si="6"/>
        <v>0</v>
      </c>
      <c r="AD11" s="265">
        <v>0.16</v>
      </c>
      <c r="AE11" s="88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</row>
    <row r="12">
      <c r="A12" s="23">
        <v>43535.0</v>
      </c>
      <c r="B12" s="6">
        <v>1911.0</v>
      </c>
      <c r="C12" s="6">
        <v>1941.0</v>
      </c>
      <c r="D12" s="7" t="str">
        <f t="shared" si="1"/>
        <v>Jane/Murr</v>
      </c>
      <c r="E12" s="263" t="s">
        <v>40</v>
      </c>
      <c r="F12" s="266">
        <v>0.8020833333333334</v>
      </c>
      <c r="G12" s="67">
        <v>43535.0</v>
      </c>
      <c r="H12" s="24">
        <v>0.07291666666666667</v>
      </c>
      <c r="I12" s="188">
        <v>6.5</v>
      </c>
      <c r="J12" s="68">
        <v>33.7</v>
      </c>
      <c r="K12" s="7">
        <v>49.0</v>
      </c>
      <c r="L12" s="68">
        <v>41.0</v>
      </c>
      <c r="M12" s="68" t="s">
        <v>206</v>
      </c>
      <c r="N12" s="7">
        <v>12.0</v>
      </c>
      <c r="O12" s="7">
        <v>5.0</v>
      </c>
      <c r="P12" s="7">
        <v>0.0</v>
      </c>
      <c r="Q12" s="7">
        <v>0.0</v>
      </c>
      <c r="R12" s="7">
        <v>2.0</v>
      </c>
      <c r="S12" s="7">
        <v>0.0</v>
      </c>
      <c r="T12" s="7">
        <v>0.0</v>
      </c>
      <c r="U12" s="7">
        <v>0.0</v>
      </c>
      <c r="V12" s="7">
        <v>0.0</v>
      </c>
      <c r="W12" s="7">
        <v>0.0</v>
      </c>
      <c r="X12" s="7">
        <v>0.0</v>
      </c>
      <c r="Y12" s="7">
        <v>0.0</v>
      </c>
      <c r="Z12" s="13">
        <f t="shared" si="3"/>
        <v>17</v>
      </c>
      <c r="AA12" s="13">
        <f t="shared" si="4"/>
        <v>2</v>
      </c>
      <c r="AB12" s="14">
        <f t="shared" si="5"/>
        <v>17</v>
      </c>
      <c r="AC12" s="14">
        <f t="shared" si="6"/>
        <v>2</v>
      </c>
      <c r="AD12" s="267">
        <v>0.23</v>
      </c>
      <c r="AE12" s="68" t="s">
        <v>207</v>
      </c>
      <c r="AF12" s="69"/>
      <c r="AG12" s="69"/>
      <c r="AH12" s="69"/>
      <c r="AI12" s="6"/>
      <c r="AJ12" s="6"/>
      <c r="AK12" s="69"/>
      <c r="AL12" s="69"/>
      <c r="AM12" s="69"/>
      <c r="AN12" s="69"/>
      <c r="AO12" s="69"/>
      <c r="AP12" s="69"/>
      <c r="AQ12" s="69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</row>
    <row r="13">
      <c r="A13" s="5">
        <v>43536.0</v>
      </c>
      <c r="B13" s="6">
        <v>1912.0</v>
      </c>
      <c r="C13" s="6">
        <v>1942.0</v>
      </c>
      <c r="D13" s="7" t="str">
        <f t="shared" si="1"/>
        <v>Tom</v>
      </c>
      <c r="E13" s="263" t="s">
        <v>40</v>
      </c>
      <c r="F13" s="266">
        <v>0.8020833333333334</v>
      </c>
      <c r="G13" s="254">
        <v>43536.0</v>
      </c>
      <c r="H13" s="19">
        <v>0.8645833333333334</v>
      </c>
      <c r="I13" s="11">
        <f t="shared" ref="I13:I32" si="7">iferror(24*( DATEDIF(A13,G13,"D")+TIMEVALUE(H13)-TIMEVALUE(F13)),0)</f>
        <v>1.5</v>
      </c>
      <c r="J13" s="21">
        <v>10.0</v>
      </c>
      <c r="K13" s="21">
        <v>41.0</v>
      </c>
      <c r="L13" s="21">
        <v>41.0</v>
      </c>
      <c r="M13" s="70" t="s">
        <v>208</v>
      </c>
      <c r="N13" s="21">
        <v>0.0</v>
      </c>
      <c r="O13" s="21">
        <v>0.0</v>
      </c>
      <c r="P13" s="21">
        <v>0.0</v>
      </c>
      <c r="Q13" s="21">
        <v>0.0</v>
      </c>
      <c r="R13" s="21">
        <v>0.0</v>
      </c>
      <c r="S13" s="21">
        <v>0.0</v>
      </c>
      <c r="T13" s="21">
        <v>0.0</v>
      </c>
      <c r="U13" s="21">
        <v>0.0</v>
      </c>
      <c r="V13" s="21">
        <v>0.0</v>
      </c>
      <c r="W13" s="21">
        <v>0.0</v>
      </c>
      <c r="X13" s="21">
        <v>0.0</v>
      </c>
      <c r="Y13" s="21">
        <v>0.0</v>
      </c>
      <c r="Z13" s="13">
        <f t="shared" si="3"/>
        <v>0</v>
      </c>
      <c r="AA13" s="13">
        <f t="shared" si="4"/>
        <v>0</v>
      </c>
      <c r="AB13" s="14">
        <f t="shared" si="5"/>
        <v>0</v>
      </c>
      <c r="AC13" s="14">
        <f t="shared" si="6"/>
        <v>0</v>
      </c>
      <c r="AD13" s="268">
        <v>0.31</v>
      </c>
      <c r="AE13" s="70"/>
      <c r="AF13" s="71"/>
      <c r="AG13" s="71"/>
      <c r="AH13" s="71"/>
      <c r="AI13" s="22"/>
      <c r="AJ13" s="22"/>
      <c r="AK13" s="69"/>
      <c r="AL13" s="69"/>
      <c r="AM13" s="71"/>
      <c r="AN13" s="71"/>
      <c r="AO13" s="71"/>
      <c r="AP13" s="71"/>
      <c r="AQ13" s="71"/>
      <c r="AR13" s="174"/>
      <c r="AS13" s="174"/>
      <c r="AT13" s="174"/>
      <c r="AU13" s="174"/>
      <c r="AV13" s="174"/>
      <c r="AW13" s="174"/>
      <c r="AX13" s="174"/>
      <c r="AY13" s="174"/>
      <c r="AZ13" s="174"/>
      <c r="BA13" s="174"/>
      <c r="BB13" s="174"/>
      <c r="BC13" s="174"/>
      <c r="BD13" s="174"/>
      <c r="BE13" s="174"/>
      <c r="BF13" s="174"/>
      <c r="BG13" s="174"/>
      <c r="BH13" s="174"/>
      <c r="BI13" s="174"/>
      <c r="BJ13" s="174"/>
      <c r="BK13" s="174"/>
      <c r="BL13" s="174"/>
      <c r="BM13" s="174"/>
      <c r="BN13" s="174"/>
    </row>
    <row r="14">
      <c r="A14" s="5">
        <v>43537.0</v>
      </c>
      <c r="B14" s="6">
        <v>1914.0</v>
      </c>
      <c r="C14" s="6">
        <v>1943.0</v>
      </c>
      <c r="D14" s="7" t="str">
        <f t="shared" si="1"/>
        <v>Sue/Anne</v>
      </c>
      <c r="E14" s="263" t="s">
        <v>33</v>
      </c>
      <c r="F14" s="266">
        <v>0.7916666666666666</v>
      </c>
      <c r="G14" s="67">
        <v>43537.0</v>
      </c>
      <c r="H14" s="9"/>
      <c r="I14" s="11">
        <f t="shared" si="7"/>
        <v>0</v>
      </c>
      <c r="J14" s="7"/>
      <c r="K14" s="7">
        <v>48.0</v>
      </c>
      <c r="L14" s="7"/>
      <c r="M14" s="68" t="s">
        <v>209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13">
        <f t="shared" si="3"/>
        <v>0</v>
      </c>
      <c r="AA14" s="13">
        <f t="shared" si="4"/>
        <v>0</v>
      </c>
      <c r="AB14" s="14">
        <f t="shared" si="5"/>
        <v>0</v>
      </c>
      <c r="AC14" s="14">
        <f t="shared" si="6"/>
        <v>0</v>
      </c>
      <c r="AD14" s="269">
        <v>0.41</v>
      </c>
      <c r="AE14" s="68"/>
      <c r="AF14" s="69"/>
      <c r="AG14" s="69"/>
      <c r="AH14" s="69"/>
      <c r="AI14" s="6"/>
      <c r="AJ14" s="6"/>
      <c r="AK14" s="69"/>
      <c r="AL14" s="69"/>
      <c r="AM14" s="69"/>
      <c r="AN14" s="69"/>
      <c r="AO14" s="69"/>
      <c r="AP14" s="69"/>
      <c r="AQ14" s="69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</row>
    <row r="15">
      <c r="A15" s="5">
        <v>43538.0</v>
      </c>
      <c r="B15" s="6">
        <v>1915.0</v>
      </c>
      <c r="C15" s="6">
        <v>1945.0</v>
      </c>
      <c r="D15" s="7" t="str">
        <f t="shared" si="1"/>
        <v>Shawn/Orems</v>
      </c>
      <c r="E15" s="263" t="s">
        <v>40</v>
      </c>
      <c r="F15" s="266">
        <v>0.8020833333333334</v>
      </c>
      <c r="G15" s="254">
        <v>43538.0</v>
      </c>
      <c r="H15" s="19">
        <v>0.8090277777777778</v>
      </c>
      <c r="I15" s="11">
        <f t="shared" si="7"/>
        <v>0.1666666667</v>
      </c>
      <c r="J15" s="21">
        <v>0.17</v>
      </c>
      <c r="K15" s="21">
        <v>50.0</v>
      </c>
      <c r="L15" s="21">
        <v>50.0</v>
      </c>
      <c r="M15" s="70"/>
      <c r="N15" s="21">
        <v>0.0</v>
      </c>
      <c r="O15" s="21">
        <v>0.0</v>
      </c>
      <c r="P15" s="21">
        <v>0.0</v>
      </c>
      <c r="Q15" s="21">
        <v>0.0</v>
      </c>
      <c r="R15" s="21">
        <v>0.0</v>
      </c>
      <c r="S15" s="21">
        <v>0.0</v>
      </c>
      <c r="T15" s="21">
        <v>0.0</v>
      </c>
      <c r="U15" s="21">
        <v>0.0</v>
      </c>
      <c r="V15" s="21">
        <v>0.0</v>
      </c>
      <c r="W15" s="21">
        <v>0.0</v>
      </c>
      <c r="X15" s="21">
        <v>0.0</v>
      </c>
      <c r="Y15" s="21">
        <v>0.0</v>
      </c>
      <c r="Z15" s="13">
        <f t="shared" si="3"/>
        <v>0</v>
      </c>
      <c r="AA15" s="13">
        <f t="shared" si="4"/>
        <v>0</v>
      </c>
      <c r="AB15" s="14">
        <f t="shared" si="5"/>
        <v>0</v>
      </c>
      <c r="AC15" s="14">
        <f t="shared" si="6"/>
        <v>0</v>
      </c>
      <c r="AD15" s="270">
        <v>0.51</v>
      </c>
      <c r="AE15" s="70"/>
      <c r="AF15" s="71"/>
      <c r="AG15" s="71"/>
      <c r="AH15" s="71"/>
      <c r="AI15" s="22"/>
      <c r="AJ15" s="22"/>
      <c r="AK15" s="69"/>
      <c r="AL15" s="69"/>
      <c r="AM15" s="71"/>
      <c r="AN15" s="71"/>
      <c r="AO15" s="71"/>
      <c r="AP15" s="71"/>
      <c r="AQ15" s="71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  <c r="BK15" s="174"/>
      <c r="BL15" s="174"/>
      <c r="BM15" s="174"/>
      <c r="BN15" s="174"/>
    </row>
    <row r="16">
      <c r="A16" s="5">
        <v>43539.0</v>
      </c>
      <c r="B16" s="6">
        <v>1916.0</v>
      </c>
      <c r="C16" s="6">
        <v>1946.0</v>
      </c>
      <c r="D16" s="7" t="str">
        <f t="shared" si="1"/>
        <v>Jeff</v>
      </c>
      <c r="E16" s="263" t="s">
        <v>33</v>
      </c>
      <c r="F16" s="263"/>
      <c r="G16" s="67">
        <v>43539.0</v>
      </c>
      <c r="H16" s="24"/>
      <c r="I16" s="11">
        <f t="shared" si="7"/>
        <v>0</v>
      </c>
      <c r="J16" s="7"/>
      <c r="K16" s="7">
        <v>55.0</v>
      </c>
      <c r="L16" s="7">
        <v>55.0</v>
      </c>
      <c r="M16" s="68" t="s">
        <v>210</v>
      </c>
      <c r="N16" s="7">
        <v>0.0</v>
      </c>
      <c r="O16" s="7">
        <v>0.0</v>
      </c>
      <c r="P16" s="7">
        <v>0.0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13">
        <f t="shared" si="3"/>
        <v>0</v>
      </c>
      <c r="AA16" s="13">
        <f t="shared" si="4"/>
        <v>0</v>
      </c>
      <c r="AB16" s="14">
        <f t="shared" si="5"/>
        <v>0</v>
      </c>
      <c r="AC16" s="14">
        <f t="shared" si="6"/>
        <v>0</v>
      </c>
      <c r="AD16" s="271">
        <v>0.61</v>
      </c>
      <c r="AE16" s="68"/>
      <c r="AF16" s="91"/>
      <c r="AG16" s="91"/>
      <c r="AH16" s="91"/>
      <c r="AI16" s="6"/>
      <c r="AJ16" s="6"/>
      <c r="AK16" s="69"/>
      <c r="AL16" s="69"/>
      <c r="AM16" s="91"/>
      <c r="AN16" s="91"/>
      <c r="AO16" s="91"/>
      <c r="AP16" s="91"/>
      <c r="AQ16" s="91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</row>
    <row r="17">
      <c r="A17" s="26">
        <v>43540.0</v>
      </c>
      <c r="B17" s="6">
        <v>1918.0</v>
      </c>
      <c r="C17" s="6">
        <v>1947.0</v>
      </c>
      <c r="D17" s="7" t="str">
        <f t="shared" si="1"/>
        <v>Rob</v>
      </c>
      <c r="E17" s="263" t="s">
        <v>33</v>
      </c>
      <c r="F17" s="263"/>
      <c r="G17" s="254">
        <v>43540.0</v>
      </c>
      <c r="H17" s="19"/>
      <c r="I17" s="11">
        <f t="shared" si="7"/>
        <v>0</v>
      </c>
      <c r="J17" s="21"/>
      <c r="K17" s="21">
        <v>49.0</v>
      </c>
      <c r="L17" s="21"/>
      <c r="M17" s="70" t="s">
        <v>211</v>
      </c>
      <c r="N17" s="21">
        <v>0.0</v>
      </c>
      <c r="O17" s="21">
        <v>0.0</v>
      </c>
      <c r="P17" s="21">
        <v>0.0</v>
      </c>
      <c r="Q17" s="21">
        <v>0.0</v>
      </c>
      <c r="R17" s="21">
        <v>0.0</v>
      </c>
      <c r="S17" s="21">
        <v>0.0</v>
      </c>
      <c r="T17" s="21">
        <v>0.0</v>
      </c>
      <c r="U17" s="21">
        <v>0.0</v>
      </c>
      <c r="V17" s="21">
        <v>0.0</v>
      </c>
      <c r="W17" s="21">
        <v>0.0</v>
      </c>
      <c r="X17" s="21">
        <v>0.0</v>
      </c>
      <c r="Y17" s="21">
        <v>0.0</v>
      </c>
      <c r="Z17" s="13">
        <f t="shared" si="3"/>
        <v>0</v>
      </c>
      <c r="AA17" s="13">
        <f t="shared" si="4"/>
        <v>0</v>
      </c>
      <c r="AB17" s="14">
        <f t="shared" si="5"/>
        <v>0</v>
      </c>
      <c r="AC17" s="14">
        <f t="shared" si="6"/>
        <v>0</v>
      </c>
      <c r="AD17" s="272">
        <v>0.71</v>
      </c>
      <c r="AE17" s="70"/>
      <c r="AF17" s="71"/>
      <c r="AG17" s="71"/>
      <c r="AH17" s="71"/>
      <c r="AI17" s="22"/>
      <c r="AJ17" s="22"/>
      <c r="AK17" s="69"/>
      <c r="AL17" s="69"/>
      <c r="AM17" s="71"/>
      <c r="AN17" s="71"/>
      <c r="AO17" s="71"/>
      <c r="AP17" s="71"/>
      <c r="AQ17" s="71"/>
      <c r="AR17" s="174"/>
      <c r="AS17" s="174"/>
      <c r="AT17" s="174"/>
      <c r="AU17" s="174"/>
      <c r="AV17" s="174"/>
      <c r="AW17" s="174"/>
      <c r="AX17" s="174"/>
      <c r="AY17" s="174"/>
      <c r="AZ17" s="174"/>
      <c r="BA17" s="174"/>
      <c r="BB17" s="174"/>
      <c r="BC17" s="174"/>
      <c r="BD17" s="174"/>
      <c r="BE17" s="174"/>
      <c r="BF17" s="174"/>
      <c r="BG17" s="174"/>
      <c r="BH17" s="174"/>
      <c r="BI17" s="174"/>
      <c r="BJ17" s="174"/>
      <c r="BK17" s="174"/>
      <c r="BL17" s="174"/>
      <c r="BM17" s="174"/>
      <c r="BN17" s="174"/>
    </row>
    <row r="18">
      <c r="A18" s="273">
        <v>43541.0</v>
      </c>
      <c r="B18" s="73">
        <v>1919.0</v>
      </c>
      <c r="C18" s="73">
        <v>1949.0</v>
      </c>
      <c r="D18" s="75" t="str">
        <f t="shared" si="1"/>
        <v>Fred/Phil</v>
      </c>
      <c r="E18" s="263" t="s">
        <v>40</v>
      </c>
      <c r="F18" s="266">
        <v>0.8472222222222222</v>
      </c>
      <c r="G18" s="274">
        <v>43541.0</v>
      </c>
      <c r="H18" s="275">
        <v>0.8888888888888888</v>
      </c>
      <c r="I18" s="79">
        <f t="shared" si="7"/>
        <v>1</v>
      </c>
      <c r="J18" s="75">
        <v>1.0</v>
      </c>
      <c r="K18" s="75">
        <v>52.0</v>
      </c>
      <c r="L18" s="75">
        <v>54.5</v>
      </c>
      <c r="M18" s="80" t="s">
        <v>212</v>
      </c>
      <c r="N18" s="75">
        <v>0.0</v>
      </c>
      <c r="O18" s="75">
        <v>1.0</v>
      </c>
      <c r="P18" s="75">
        <v>0.0</v>
      </c>
      <c r="Q18" s="75">
        <v>0.0</v>
      </c>
      <c r="R18" s="75">
        <v>0.0</v>
      </c>
      <c r="S18" s="75">
        <v>0.0</v>
      </c>
      <c r="T18" s="75">
        <v>0.0</v>
      </c>
      <c r="U18" s="75">
        <v>0.0</v>
      </c>
      <c r="V18" s="75">
        <v>0.0</v>
      </c>
      <c r="W18" s="75">
        <v>0.0</v>
      </c>
      <c r="X18" s="75">
        <v>0.0</v>
      </c>
      <c r="Y18" s="75">
        <v>0.0</v>
      </c>
      <c r="Z18" s="81">
        <f t="shared" si="3"/>
        <v>1</v>
      </c>
      <c r="AA18" s="81">
        <f t="shared" si="4"/>
        <v>0</v>
      </c>
      <c r="AB18" s="82">
        <f t="shared" si="5"/>
        <v>1</v>
      </c>
      <c r="AC18" s="82">
        <f t="shared" si="6"/>
        <v>0</v>
      </c>
      <c r="AD18" s="276">
        <v>0.8</v>
      </c>
      <c r="AE18" s="80" t="s">
        <v>213</v>
      </c>
      <c r="AF18" s="84"/>
      <c r="AG18" s="84"/>
      <c r="AH18" s="84"/>
      <c r="AI18" s="73"/>
      <c r="AJ18" s="73"/>
      <c r="AK18" s="84"/>
      <c r="AL18" s="84"/>
      <c r="AM18" s="84"/>
      <c r="AN18" s="84"/>
      <c r="AO18" s="84"/>
      <c r="AP18" s="84"/>
      <c r="AQ18" s="84"/>
      <c r="AR18" s="277"/>
      <c r="AS18" s="277"/>
      <c r="AT18" s="277"/>
      <c r="AU18" s="277"/>
      <c r="AV18" s="277"/>
      <c r="AW18" s="277"/>
      <c r="AX18" s="277"/>
      <c r="AY18" s="277"/>
      <c r="AZ18" s="277"/>
      <c r="BA18" s="277"/>
      <c r="BB18" s="277"/>
      <c r="BC18" s="277"/>
      <c r="BD18" s="277"/>
      <c r="BE18" s="277"/>
      <c r="BF18" s="277"/>
      <c r="BG18" s="277"/>
      <c r="BH18" s="277"/>
      <c r="BI18" s="277"/>
      <c r="BJ18" s="277"/>
      <c r="BK18" s="277"/>
      <c r="BL18" s="277"/>
      <c r="BM18" s="277"/>
      <c r="BN18" s="277"/>
    </row>
    <row r="19">
      <c r="A19" s="27">
        <v>43542.0</v>
      </c>
      <c r="B19" s="6">
        <v>1920.0</v>
      </c>
      <c r="C19" s="6">
        <v>1950.0</v>
      </c>
      <c r="D19" s="7" t="str">
        <f t="shared" si="1"/>
        <v>Jane/Murr</v>
      </c>
      <c r="E19" s="263" t="s">
        <v>33</v>
      </c>
      <c r="F19" s="266">
        <v>0.8541666666666666</v>
      </c>
      <c r="G19" s="254">
        <v>43542.0</v>
      </c>
      <c r="H19" s="19">
        <v>0.8541666666666666</v>
      </c>
      <c r="I19" s="11">
        <f t="shared" si="7"/>
        <v>0</v>
      </c>
      <c r="J19" s="21"/>
      <c r="K19" s="21">
        <v>50.0</v>
      </c>
      <c r="L19" s="21">
        <v>59.0</v>
      </c>
      <c r="M19" s="70" t="s">
        <v>214</v>
      </c>
      <c r="N19" s="21">
        <v>0.0</v>
      </c>
      <c r="O19" s="21">
        <v>0.0</v>
      </c>
      <c r="P19" s="21">
        <v>0.0</v>
      </c>
      <c r="Q19" s="21">
        <v>0.0</v>
      </c>
      <c r="R19" s="21">
        <v>0.0</v>
      </c>
      <c r="S19" s="21">
        <v>0.0</v>
      </c>
      <c r="T19" s="21">
        <v>0.0</v>
      </c>
      <c r="U19" s="21">
        <v>0.0</v>
      </c>
      <c r="V19" s="21">
        <v>0.0</v>
      </c>
      <c r="W19" s="21">
        <v>0.0</v>
      </c>
      <c r="X19" s="21">
        <v>0.0</v>
      </c>
      <c r="Y19" s="21">
        <v>0.0</v>
      </c>
      <c r="Z19" s="13">
        <f t="shared" si="3"/>
        <v>0</v>
      </c>
      <c r="AA19" s="13">
        <f t="shared" si="4"/>
        <v>0</v>
      </c>
      <c r="AB19" s="14">
        <f t="shared" si="5"/>
        <v>0</v>
      </c>
      <c r="AC19" s="14">
        <f t="shared" si="6"/>
        <v>0</v>
      </c>
      <c r="AD19" s="278">
        <v>0.88</v>
      </c>
      <c r="AE19" s="70"/>
      <c r="AF19" s="71"/>
      <c r="AG19" s="71"/>
      <c r="AH19" s="71"/>
      <c r="AI19" s="22"/>
      <c r="AJ19" s="22"/>
      <c r="AK19" s="69"/>
      <c r="AL19" s="69"/>
      <c r="AM19" s="71"/>
      <c r="AN19" s="71"/>
      <c r="AO19" s="71"/>
      <c r="AP19" s="71"/>
      <c r="AQ19" s="71"/>
      <c r="AR19" s="174"/>
      <c r="AS19" s="174"/>
      <c r="AT19" s="174"/>
      <c r="AU19" s="174"/>
      <c r="AV19" s="174"/>
      <c r="AW19" s="174"/>
      <c r="AX19" s="174"/>
      <c r="AY19" s="174"/>
      <c r="AZ19" s="174"/>
      <c r="BA19" s="174"/>
      <c r="BB19" s="174"/>
      <c r="BC19" s="174"/>
      <c r="BD19" s="174"/>
      <c r="BE19" s="174"/>
      <c r="BF19" s="174"/>
      <c r="BG19" s="174"/>
      <c r="BH19" s="174"/>
      <c r="BI19" s="174"/>
      <c r="BJ19" s="174"/>
      <c r="BK19" s="174"/>
      <c r="BL19" s="174"/>
      <c r="BM19" s="174"/>
      <c r="BN19" s="174"/>
    </row>
    <row r="20">
      <c r="A20" s="27">
        <v>43543.0</v>
      </c>
      <c r="B20" s="6">
        <v>1922.0</v>
      </c>
      <c r="C20" s="6">
        <v>1951.0</v>
      </c>
      <c r="D20" s="7" t="str">
        <f t="shared" si="1"/>
        <v>Tom</v>
      </c>
      <c r="E20" s="263" t="s">
        <v>33</v>
      </c>
      <c r="F20" s="266"/>
      <c r="G20" s="67">
        <v>43543.0</v>
      </c>
      <c r="H20" s="9"/>
      <c r="I20" s="11">
        <f t="shared" si="7"/>
        <v>0</v>
      </c>
      <c r="J20" s="7"/>
      <c r="K20" s="7">
        <v>59.0</v>
      </c>
      <c r="L20" s="7"/>
      <c r="M20" s="68" t="s">
        <v>32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13">
        <f t="shared" si="3"/>
        <v>0</v>
      </c>
      <c r="AA20" s="13">
        <f t="shared" si="4"/>
        <v>0</v>
      </c>
      <c r="AB20" s="14">
        <f t="shared" si="5"/>
        <v>0</v>
      </c>
      <c r="AC20" s="14">
        <f t="shared" si="6"/>
        <v>0</v>
      </c>
      <c r="AD20" s="279">
        <v>0.95</v>
      </c>
      <c r="AE20" s="68"/>
      <c r="AF20" s="69"/>
      <c r="AG20" s="69"/>
      <c r="AH20" s="69"/>
      <c r="AI20" s="6"/>
      <c r="AJ20" s="6"/>
      <c r="AK20" s="69"/>
      <c r="AL20" s="69"/>
      <c r="AM20" s="69"/>
      <c r="AN20" s="69"/>
      <c r="AO20" s="69"/>
      <c r="AP20" s="69"/>
      <c r="AQ20" s="69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</row>
    <row r="21">
      <c r="A21" s="280">
        <v>43544.0</v>
      </c>
      <c r="B21" s="6">
        <v>1923.0</v>
      </c>
      <c r="C21" s="6">
        <v>1953.0</v>
      </c>
      <c r="D21" s="7" t="str">
        <f t="shared" si="1"/>
        <v>Sue/Anne</v>
      </c>
      <c r="E21" s="263" t="s">
        <v>33</v>
      </c>
      <c r="F21" s="263"/>
      <c r="G21" s="254">
        <v>43544.0</v>
      </c>
      <c r="H21" s="19"/>
      <c r="I21" s="11">
        <f t="shared" si="7"/>
        <v>0</v>
      </c>
      <c r="J21" s="21"/>
      <c r="K21" s="21">
        <v>59.0</v>
      </c>
      <c r="L21" s="21"/>
      <c r="M21" s="70" t="s">
        <v>32</v>
      </c>
      <c r="N21" s="21">
        <v>0.0</v>
      </c>
      <c r="O21" s="21">
        <v>0.0</v>
      </c>
      <c r="P21" s="21">
        <v>0.0</v>
      </c>
      <c r="Q21" s="21">
        <v>0.0</v>
      </c>
      <c r="R21" s="21">
        <v>0.0</v>
      </c>
      <c r="S21" s="21">
        <v>0.0</v>
      </c>
      <c r="T21" s="21">
        <v>0.0</v>
      </c>
      <c r="U21" s="21">
        <v>0.0</v>
      </c>
      <c r="V21" s="21">
        <v>0.0</v>
      </c>
      <c r="W21" s="21">
        <v>0.0</v>
      </c>
      <c r="X21" s="21">
        <v>0.0</v>
      </c>
      <c r="Y21" s="21">
        <v>0.0</v>
      </c>
      <c r="Z21" s="13">
        <f t="shared" si="3"/>
        <v>0</v>
      </c>
      <c r="AA21" s="13">
        <f t="shared" si="4"/>
        <v>0</v>
      </c>
      <c r="AB21" s="14">
        <f t="shared" si="5"/>
        <v>0</v>
      </c>
      <c r="AC21" s="14">
        <f t="shared" si="6"/>
        <v>0</v>
      </c>
      <c r="AD21" s="281">
        <v>0.99</v>
      </c>
      <c r="AE21" s="70"/>
      <c r="AF21" s="71"/>
      <c r="AG21" s="71"/>
      <c r="AH21" s="71"/>
      <c r="AI21" s="22"/>
      <c r="AJ21" s="22"/>
      <c r="AK21" s="69"/>
      <c r="AL21" s="69"/>
      <c r="AM21" s="71"/>
      <c r="AN21" s="71"/>
      <c r="AO21" s="71"/>
      <c r="AP21" s="71"/>
      <c r="AQ21" s="71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</row>
    <row r="22">
      <c r="A22" s="280">
        <v>43545.0</v>
      </c>
      <c r="B22" s="6">
        <v>1924.0</v>
      </c>
      <c r="C22" s="6">
        <v>1954.0</v>
      </c>
      <c r="D22" s="7" t="str">
        <f t="shared" si="1"/>
        <v>Shawn/Orems</v>
      </c>
      <c r="E22" s="263" t="s">
        <v>40</v>
      </c>
      <c r="F22" s="266">
        <v>0.8125</v>
      </c>
      <c r="G22" s="67">
        <v>43545.0</v>
      </c>
      <c r="H22" s="9">
        <v>0.9791666666666666</v>
      </c>
      <c r="I22" s="11">
        <f t="shared" si="7"/>
        <v>4</v>
      </c>
      <c r="J22" s="7">
        <v>19.0</v>
      </c>
      <c r="K22" s="7">
        <v>56.0</v>
      </c>
      <c r="L22" s="7">
        <v>50.0</v>
      </c>
      <c r="M22" s="68" t="s">
        <v>215</v>
      </c>
      <c r="N22" s="7">
        <v>7.0</v>
      </c>
      <c r="O22" s="7">
        <v>2.0</v>
      </c>
      <c r="P22" s="7">
        <v>1.0</v>
      </c>
      <c r="Q22" s="7">
        <v>0.0</v>
      </c>
      <c r="R22" s="7">
        <v>46.0</v>
      </c>
      <c r="S22" s="7">
        <v>112.0</v>
      </c>
      <c r="T22" s="7">
        <v>3.0</v>
      </c>
      <c r="U22" s="7">
        <v>6.0</v>
      </c>
      <c r="V22" s="7">
        <v>1.0</v>
      </c>
      <c r="W22" s="7">
        <v>3.0</v>
      </c>
      <c r="X22" s="7">
        <v>2.0</v>
      </c>
      <c r="Y22" s="7">
        <v>0.0</v>
      </c>
      <c r="Z22" s="13">
        <f t="shared" si="3"/>
        <v>10</v>
      </c>
      <c r="AA22" s="13">
        <f t="shared" si="4"/>
        <v>168</v>
      </c>
      <c r="AB22" s="14">
        <f t="shared" si="5"/>
        <v>9</v>
      </c>
      <c r="AC22" s="14">
        <f t="shared" si="6"/>
        <v>159</v>
      </c>
      <c r="AD22" s="282">
        <v>1.0</v>
      </c>
      <c r="AE22" s="68" t="s">
        <v>216</v>
      </c>
      <c r="AF22" s="69"/>
      <c r="AG22" s="69"/>
      <c r="AH22" s="69"/>
      <c r="AI22" s="6"/>
      <c r="AJ22" s="6"/>
      <c r="AK22" s="69"/>
      <c r="AL22" s="69"/>
      <c r="AM22" s="69"/>
      <c r="AN22" s="69"/>
      <c r="AO22" s="69"/>
      <c r="AP22" s="69"/>
      <c r="AQ22" s="69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</row>
    <row r="23">
      <c r="A23" s="280">
        <v>43546.0</v>
      </c>
      <c r="B23" s="6">
        <v>1926.0</v>
      </c>
      <c r="C23" s="6">
        <v>1955.0</v>
      </c>
      <c r="D23" s="7" t="str">
        <f t="shared" si="1"/>
        <v>Jeff</v>
      </c>
      <c r="E23" s="263" t="s">
        <v>40</v>
      </c>
      <c r="F23" s="266">
        <v>0.75</v>
      </c>
      <c r="G23" s="283">
        <v>43547.0</v>
      </c>
      <c r="H23" s="31">
        <v>0.027777777777777776</v>
      </c>
      <c r="I23" s="11">
        <f t="shared" si="7"/>
        <v>6.666666667</v>
      </c>
      <c r="J23" s="21">
        <v>40.0</v>
      </c>
      <c r="K23" s="21">
        <v>55.0</v>
      </c>
      <c r="L23" s="21">
        <v>51.0</v>
      </c>
      <c r="M23" s="70" t="s">
        <v>217</v>
      </c>
      <c r="N23" s="21">
        <v>4.0</v>
      </c>
      <c r="O23" s="21">
        <v>5.0</v>
      </c>
      <c r="P23" s="21">
        <v>0.0</v>
      </c>
      <c r="Q23" s="21">
        <v>0.0</v>
      </c>
      <c r="R23" s="21">
        <v>46.0</v>
      </c>
      <c r="S23" s="21">
        <v>275.0</v>
      </c>
      <c r="T23" s="21">
        <v>1.0</v>
      </c>
      <c r="U23" s="21">
        <v>6.0</v>
      </c>
      <c r="V23" s="21">
        <v>0.0</v>
      </c>
      <c r="W23" s="21">
        <v>0.0</v>
      </c>
      <c r="X23" s="21">
        <v>0.0</v>
      </c>
      <c r="Y23" s="21">
        <v>0.0</v>
      </c>
      <c r="Z23" s="13">
        <f t="shared" si="3"/>
        <v>9</v>
      </c>
      <c r="AA23" s="13">
        <f t="shared" si="4"/>
        <v>328</v>
      </c>
      <c r="AB23" s="14">
        <f t="shared" si="5"/>
        <v>9</v>
      </c>
      <c r="AC23" s="14">
        <f t="shared" si="6"/>
        <v>321</v>
      </c>
      <c r="AD23" s="284">
        <v>0.98</v>
      </c>
      <c r="AE23" s="70"/>
      <c r="AF23" s="71"/>
      <c r="AG23" s="71"/>
      <c r="AH23" s="71"/>
      <c r="AI23" s="22"/>
      <c r="AJ23" s="22"/>
      <c r="AK23" s="69"/>
      <c r="AL23" s="69"/>
      <c r="AM23" s="71"/>
      <c r="AN23" s="71"/>
      <c r="AO23" s="71"/>
      <c r="AP23" s="71"/>
      <c r="AQ23" s="71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</row>
    <row r="24">
      <c r="A24" s="27">
        <v>43547.0</v>
      </c>
      <c r="B24" s="6">
        <v>1927.0</v>
      </c>
      <c r="C24" s="6">
        <v>1957.0</v>
      </c>
      <c r="D24" s="7" t="str">
        <f t="shared" si="1"/>
        <v>Rob</v>
      </c>
      <c r="E24" s="263" t="s">
        <v>46</v>
      </c>
      <c r="F24" s="266">
        <v>0.8020833333333334</v>
      </c>
      <c r="G24" s="67">
        <v>43547.0</v>
      </c>
      <c r="H24" s="9">
        <v>0.9166666666666666</v>
      </c>
      <c r="I24" s="11">
        <f t="shared" si="7"/>
        <v>2.75</v>
      </c>
      <c r="J24" s="7">
        <v>27.0</v>
      </c>
      <c r="K24" s="7">
        <v>49.0</v>
      </c>
      <c r="L24" s="7">
        <v>48.0</v>
      </c>
      <c r="M24" s="68" t="s">
        <v>218</v>
      </c>
      <c r="N24" s="7">
        <v>2.0</v>
      </c>
      <c r="O24" s="7">
        <v>0.0</v>
      </c>
      <c r="P24" s="7">
        <v>0.0</v>
      </c>
      <c r="Q24" s="7">
        <v>0.0</v>
      </c>
      <c r="R24" s="7">
        <v>2.0</v>
      </c>
      <c r="S24" s="7">
        <v>7.0</v>
      </c>
      <c r="T24" s="7">
        <v>0.0</v>
      </c>
      <c r="U24" s="7">
        <v>0.0</v>
      </c>
      <c r="V24" s="7">
        <v>0.0</v>
      </c>
      <c r="W24" s="7">
        <v>0.0</v>
      </c>
      <c r="X24" s="7">
        <v>0.0</v>
      </c>
      <c r="Y24" s="7">
        <v>0.0</v>
      </c>
      <c r="Z24" s="13">
        <f t="shared" si="3"/>
        <v>2</v>
      </c>
      <c r="AA24" s="13">
        <f t="shared" si="4"/>
        <v>9</v>
      </c>
      <c r="AB24" s="14">
        <f t="shared" si="5"/>
        <v>2</v>
      </c>
      <c r="AC24" s="14">
        <f t="shared" si="6"/>
        <v>9</v>
      </c>
      <c r="AD24" s="285">
        <v>0.93</v>
      </c>
      <c r="AE24" s="68"/>
      <c r="AF24" s="69"/>
      <c r="AG24" s="69"/>
      <c r="AH24" s="69"/>
      <c r="AI24" s="6"/>
      <c r="AJ24" s="6"/>
      <c r="AK24" s="69"/>
      <c r="AL24" s="69"/>
      <c r="AM24" s="69"/>
      <c r="AN24" s="69"/>
      <c r="AO24" s="69"/>
      <c r="AP24" s="69"/>
      <c r="AQ24" s="69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</row>
    <row r="25">
      <c r="A25" s="27">
        <v>43548.0</v>
      </c>
      <c r="B25" s="6">
        <v>1928.0</v>
      </c>
      <c r="C25" s="6">
        <v>1958.0</v>
      </c>
      <c r="D25" s="7" t="str">
        <f t="shared" si="1"/>
        <v>Fred/Phil</v>
      </c>
      <c r="E25" s="263" t="s">
        <v>40</v>
      </c>
      <c r="F25" s="266">
        <v>0.7986111111111112</v>
      </c>
      <c r="G25" s="254">
        <v>43548.0</v>
      </c>
      <c r="H25" s="19">
        <v>0.875</v>
      </c>
      <c r="I25" s="11">
        <f t="shared" si="7"/>
        <v>1.833333333</v>
      </c>
      <c r="J25" s="21">
        <v>3.6</v>
      </c>
      <c r="K25" s="21">
        <v>48.0</v>
      </c>
      <c r="L25" s="21">
        <v>45.0</v>
      </c>
      <c r="M25" s="70" t="s">
        <v>32</v>
      </c>
      <c r="N25" s="21">
        <v>0.0</v>
      </c>
      <c r="O25" s="21">
        <v>0.0</v>
      </c>
      <c r="P25" s="21">
        <v>0.0</v>
      </c>
      <c r="Q25" s="21">
        <v>0.0</v>
      </c>
      <c r="R25" s="21">
        <v>0.0</v>
      </c>
      <c r="S25" s="21">
        <v>0.0</v>
      </c>
      <c r="T25" s="21">
        <v>0.0</v>
      </c>
      <c r="U25" s="21">
        <v>0.0</v>
      </c>
      <c r="V25" s="21">
        <v>0.0</v>
      </c>
      <c r="W25" s="21">
        <v>0.0</v>
      </c>
      <c r="X25" s="21">
        <v>0.0</v>
      </c>
      <c r="Y25" s="21">
        <v>0.0</v>
      </c>
      <c r="Z25" s="13">
        <f t="shared" si="3"/>
        <v>0</v>
      </c>
      <c r="AA25" s="13">
        <f t="shared" si="4"/>
        <v>0</v>
      </c>
      <c r="AB25" s="14">
        <f t="shared" si="5"/>
        <v>0</v>
      </c>
      <c r="AC25" s="14">
        <f t="shared" si="6"/>
        <v>0</v>
      </c>
      <c r="AD25" s="286">
        <v>0.86</v>
      </c>
      <c r="AE25" s="70"/>
      <c r="AF25" s="71"/>
      <c r="AG25" s="71"/>
      <c r="AH25" s="71"/>
      <c r="AI25" s="22"/>
      <c r="AJ25" s="22"/>
      <c r="AK25" s="69"/>
      <c r="AL25" s="69"/>
      <c r="AM25" s="71"/>
      <c r="AN25" s="71"/>
      <c r="AO25" s="71"/>
      <c r="AP25" s="71"/>
      <c r="AQ25" s="71"/>
      <c r="AR25" s="174"/>
      <c r="AS25" s="174"/>
      <c r="AT25" s="174"/>
      <c r="AU25" s="174"/>
      <c r="AV25" s="174"/>
      <c r="AW25" s="174"/>
      <c r="AX25" s="174"/>
      <c r="AY25" s="174"/>
      <c r="AZ25" s="174"/>
      <c r="BA25" s="174"/>
      <c r="BB25" s="174"/>
      <c r="BC25" s="174"/>
      <c r="BD25" s="174"/>
      <c r="BE25" s="174"/>
      <c r="BF25" s="174"/>
      <c r="BG25" s="174"/>
      <c r="BH25" s="174"/>
      <c r="BI25" s="174"/>
      <c r="BJ25" s="174"/>
      <c r="BK25" s="174"/>
      <c r="BL25" s="174"/>
      <c r="BM25" s="174"/>
      <c r="BN25" s="174"/>
    </row>
    <row r="26">
      <c r="A26" s="27">
        <v>43549.0</v>
      </c>
      <c r="B26" s="6">
        <v>1930.0</v>
      </c>
      <c r="C26" s="6">
        <v>1959.0</v>
      </c>
      <c r="D26" s="7" t="str">
        <f t="shared" si="1"/>
        <v>Jane/Murr</v>
      </c>
      <c r="E26" s="263" t="s">
        <v>40</v>
      </c>
      <c r="F26" s="266">
        <v>0.8020833333333334</v>
      </c>
      <c r="G26" s="67">
        <v>43549.0</v>
      </c>
      <c r="H26" s="98" t="s">
        <v>219</v>
      </c>
      <c r="I26" s="11">
        <f t="shared" si="7"/>
        <v>0</v>
      </c>
      <c r="J26" s="7">
        <v>26.35</v>
      </c>
      <c r="K26" s="7">
        <v>49.0</v>
      </c>
      <c r="L26" s="7">
        <v>47.0</v>
      </c>
      <c r="M26" s="68" t="s">
        <v>220</v>
      </c>
      <c r="N26" s="7">
        <v>0.0</v>
      </c>
      <c r="O26" s="7">
        <v>1.0</v>
      </c>
      <c r="P26" s="7">
        <v>0.0</v>
      </c>
      <c r="Q26" s="7">
        <v>0.0</v>
      </c>
      <c r="R26" s="7">
        <v>8.0</v>
      </c>
      <c r="S26" s="7">
        <v>65.0</v>
      </c>
      <c r="T26" s="7">
        <v>2.0</v>
      </c>
      <c r="U26" s="7">
        <v>5.0</v>
      </c>
      <c r="V26" s="7">
        <v>0.0</v>
      </c>
      <c r="W26" s="7">
        <v>0.0</v>
      </c>
      <c r="X26" s="7">
        <v>0.0</v>
      </c>
      <c r="Y26" s="7">
        <v>0.0</v>
      </c>
      <c r="Z26" s="13">
        <f t="shared" si="3"/>
        <v>1</v>
      </c>
      <c r="AA26" s="13">
        <f t="shared" si="4"/>
        <v>80</v>
      </c>
      <c r="AB26" s="14">
        <f t="shared" si="5"/>
        <v>1</v>
      </c>
      <c r="AC26" s="14">
        <f t="shared" si="6"/>
        <v>73</v>
      </c>
      <c r="AD26" s="287">
        <v>0.77</v>
      </c>
      <c r="AE26" s="288" t="s">
        <v>221</v>
      </c>
      <c r="AF26" s="93"/>
      <c r="AG26" s="93"/>
      <c r="AH26" s="93"/>
      <c r="AI26" s="6"/>
      <c r="AJ26" s="6"/>
      <c r="AK26" s="69"/>
      <c r="AL26" s="69"/>
      <c r="AM26" s="93"/>
      <c r="AN26" s="94"/>
      <c r="AO26" s="94"/>
      <c r="AP26" s="94"/>
      <c r="AQ26" s="94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</row>
    <row r="27">
      <c r="A27" s="26">
        <v>43550.0</v>
      </c>
      <c r="B27" s="6">
        <v>1931.0</v>
      </c>
      <c r="C27" s="6">
        <v>2001.0</v>
      </c>
      <c r="D27" s="7" t="str">
        <f t="shared" si="1"/>
        <v>Tom</v>
      </c>
      <c r="E27" s="263" t="s">
        <v>46</v>
      </c>
      <c r="F27" s="266">
        <v>0.8229166666666666</v>
      </c>
      <c r="G27" s="254">
        <v>43550.0</v>
      </c>
      <c r="H27" s="19">
        <v>0.90625</v>
      </c>
      <c r="I27" s="11">
        <f t="shared" si="7"/>
        <v>2</v>
      </c>
      <c r="J27" s="21">
        <v>5.0</v>
      </c>
      <c r="K27" s="21">
        <v>50.2</v>
      </c>
      <c r="L27" s="21">
        <v>46.8</v>
      </c>
      <c r="M27" s="70" t="s">
        <v>32</v>
      </c>
      <c r="N27" s="21">
        <v>0.0</v>
      </c>
      <c r="O27" s="21">
        <v>0.0</v>
      </c>
      <c r="P27" s="21">
        <v>0.0</v>
      </c>
      <c r="Q27" s="21">
        <v>0.0</v>
      </c>
      <c r="R27" s="21">
        <v>0.0</v>
      </c>
      <c r="S27" s="21">
        <v>1.0</v>
      </c>
      <c r="T27" s="21">
        <v>0.0</v>
      </c>
      <c r="U27" s="21">
        <v>0.0</v>
      </c>
      <c r="V27" s="21">
        <v>0.0</v>
      </c>
      <c r="W27" s="21">
        <v>0.0</v>
      </c>
      <c r="X27" s="21">
        <v>0.0</v>
      </c>
      <c r="Y27" s="21">
        <v>0.0</v>
      </c>
      <c r="Z27" s="13">
        <f t="shared" si="3"/>
        <v>0</v>
      </c>
      <c r="AA27" s="13">
        <f t="shared" si="4"/>
        <v>1</v>
      </c>
      <c r="AB27" s="14">
        <f t="shared" si="5"/>
        <v>0</v>
      </c>
      <c r="AC27" s="14">
        <f t="shared" si="6"/>
        <v>1</v>
      </c>
      <c r="AD27" s="289">
        <v>0.67</v>
      </c>
      <c r="AE27" s="70"/>
      <c r="AF27" s="21"/>
      <c r="AG27" s="21"/>
      <c r="AH27" s="21"/>
      <c r="AI27" s="22"/>
      <c r="AJ27" s="22"/>
      <c r="AK27" s="69"/>
      <c r="AL27" s="69"/>
      <c r="AM27" s="21"/>
      <c r="AN27" s="21"/>
      <c r="AO27" s="21"/>
      <c r="AP27" s="21"/>
      <c r="AQ27" s="70"/>
      <c r="AR27" s="174"/>
      <c r="AS27" s="174"/>
      <c r="AT27" s="174"/>
      <c r="AU27" s="174"/>
      <c r="AV27" s="174"/>
      <c r="AW27" s="174"/>
      <c r="AX27" s="174"/>
      <c r="AY27" s="174"/>
      <c r="AZ27" s="174"/>
      <c r="BA27" s="174"/>
      <c r="BB27" s="174"/>
      <c r="BC27" s="174"/>
      <c r="BD27" s="174"/>
      <c r="BE27" s="174"/>
      <c r="BF27" s="174"/>
      <c r="BG27" s="174"/>
      <c r="BH27" s="174"/>
      <c r="BI27" s="174"/>
      <c r="BJ27" s="174"/>
      <c r="BK27" s="174"/>
      <c r="BL27" s="174"/>
      <c r="BM27" s="174"/>
      <c r="BN27" s="174"/>
    </row>
    <row r="28">
      <c r="A28" s="26">
        <v>43551.0</v>
      </c>
      <c r="B28" s="6">
        <v>1932.0</v>
      </c>
      <c r="C28" s="6">
        <v>2002.0</v>
      </c>
      <c r="D28" s="7" t="str">
        <f t="shared" si="1"/>
        <v>Sue/Anne</v>
      </c>
      <c r="E28" s="263" t="s">
        <v>40</v>
      </c>
      <c r="F28" s="266">
        <v>0.7708333333333334</v>
      </c>
      <c r="G28" s="254">
        <v>43551.0</v>
      </c>
      <c r="H28" s="19">
        <v>0.8958333333333334</v>
      </c>
      <c r="I28" s="11">
        <f t="shared" si="7"/>
        <v>3</v>
      </c>
      <c r="J28" s="7">
        <v>19.0</v>
      </c>
      <c r="K28" s="7">
        <v>47.0</v>
      </c>
      <c r="L28" s="7">
        <v>43.0</v>
      </c>
      <c r="M28" s="290" t="s">
        <v>222</v>
      </c>
      <c r="N28" s="7">
        <v>0.0</v>
      </c>
      <c r="O28" s="7">
        <v>0.0</v>
      </c>
      <c r="P28" s="7">
        <v>0.0</v>
      </c>
      <c r="Q28" s="7">
        <v>0.0</v>
      </c>
      <c r="R28" s="7">
        <v>0.0</v>
      </c>
      <c r="S28" s="7">
        <v>4.0</v>
      </c>
      <c r="T28" s="7">
        <v>0.0</v>
      </c>
      <c r="U28" s="7">
        <v>0.0</v>
      </c>
      <c r="V28" s="7">
        <v>0.0</v>
      </c>
      <c r="W28" s="7">
        <v>0.0</v>
      </c>
      <c r="X28" s="7">
        <v>0.0</v>
      </c>
      <c r="Y28" s="7">
        <v>1.0</v>
      </c>
      <c r="Z28" s="13">
        <f t="shared" si="3"/>
        <v>0</v>
      </c>
      <c r="AA28" s="13">
        <f t="shared" si="4"/>
        <v>4</v>
      </c>
      <c r="AB28" s="14">
        <f t="shared" si="5"/>
        <v>0</v>
      </c>
      <c r="AC28" s="14">
        <f t="shared" si="6"/>
        <v>4</v>
      </c>
      <c r="AD28" s="291">
        <v>0.56</v>
      </c>
      <c r="AE28" s="68" t="s">
        <v>223</v>
      </c>
      <c r="AF28" s="7"/>
      <c r="AG28" s="7"/>
      <c r="AH28" s="7"/>
      <c r="AI28" s="6"/>
      <c r="AJ28" s="6"/>
      <c r="AK28" s="69"/>
      <c r="AL28" s="69"/>
      <c r="AM28" s="7"/>
      <c r="AN28" s="7"/>
      <c r="AO28" s="7"/>
      <c r="AP28" s="7"/>
      <c r="AQ28" s="68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</row>
    <row r="29">
      <c r="A29" s="26">
        <v>43552.0</v>
      </c>
      <c r="B29" s="6">
        <v>1933.0</v>
      </c>
      <c r="C29" s="6">
        <v>2003.0</v>
      </c>
      <c r="D29" s="7" t="str">
        <f t="shared" si="1"/>
        <v>Shawn/Orems</v>
      </c>
      <c r="E29" s="263" t="s">
        <v>40</v>
      </c>
      <c r="F29" s="266">
        <v>0.8229166666666666</v>
      </c>
      <c r="G29" s="254">
        <v>43552.0</v>
      </c>
      <c r="H29" s="19">
        <v>0.90625</v>
      </c>
      <c r="I29" s="11">
        <f t="shared" si="7"/>
        <v>2</v>
      </c>
      <c r="J29" s="96">
        <v>11.5</v>
      </c>
      <c r="K29" s="21">
        <v>52.0</v>
      </c>
      <c r="L29" s="21">
        <v>48.0</v>
      </c>
      <c r="M29" s="70" t="s">
        <v>224</v>
      </c>
      <c r="N29" s="21">
        <v>0.0</v>
      </c>
      <c r="O29" s="21">
        <v>0.0</v>
      </c>
      <c r="P29" s="21">
        <v>0.0</v>
      </c>
      <c r="Q29" s="21">
        <v>0.0</v>
      </c>
      <c r="R29" s="21">
        <v>3.0</v>
      </c>
      <c r="S29" s="21">
        <v>33.0</v>
      </c>
      <c r="T29" s="21">
        <v>0.0</v>
      </c>
      <c r="U29" s="21">
        <v>0.0</v>
      </c>
      <c r="V29" s="21">
        <v>0.0</v>
      </c>
      <c r="W29" s="21">
        <v>0.0</v>
      </c>
      <c r="X29" s="21">
        <v>2.0</v>
      </c>
      <c r="Y29" s="21">
        <v>0.0</v>
      </c>
      <c r="Z29" s="13">
        <f t="shared" si="3"/>
        <v>0</v>
      </c>
      <c r="AA29" s="13">
        <f t="shared" si="4"/>
        <v>36</v>
      </c>
      <c r="AB29" s="14">
        <f t="shared" si="5"/>
        <v>0</v>
      </c>
      <c r="AC29" s="14">
        <f t="shared" si="6"/>
        <v>36</v>
      </c>
      <c r="AD29" s="292">
        <v>0.45</v>
      </c>
      <c r="AE29" s="70" t="s">
        <v>225</v>
      </c>
      <c r="AF29" s="21"/>
      <c r="AG29" s="21"/>
      <c r="AH29" s="21"/>
      <c r="AI29" s="22"/>
      <c r="AJ29" s="22"/>
      <c r="AK29" s="69"/>
      <c r="AL29" s="69"/>
      <c r="AM29" s="21"/>
      <c r="AN29" s="21"/>
      <c r="AO29" s="21"/>
      <c r="AP29" s="21"/>
      <c r="AQ29" s="70"/>
      <c r="AR29" s="174"/>
      <c r="AS29" s="174"/>
      <c r="AT29" s="174"/>
      <c r="AU29" s="174"/>
      <c r="AV29" s="174"/>
      <c r="AW29" s="174"/>
      <c r="AX29" s="174"/>
      <c r="AY29" s="174"/>
      <c r="AZ29" s="174"/>
      <c r="BA29" s="174"/>
      <c r="BB29" s="174"/>
      <c r="BC29" s="174"/>
      <c r="BD29" s="174"/>
      <c r="BE29" s="174"/>
      <c r="BF29" s="174"/>
      <c r="BG29" s="174"/>
      <c r="BH29" s="174"/>
      <c r="BI29" s="174"/>
      <c r="BJ29" s="174"/>
      <c r="BK29" s="174"/>
      <c r="BL29" s="174"/>
      <c r="BM29" s="174"/>
      <c r="BN29" s="174"/>
    </row>
    <row r="30">
      <c r="A30" s="26">
        <v>43553.0</v>
      </c>
      <c r="B30" s="6">
        <v>1935.0</v>
      </c>
      <c r="C30" s="6">
        <v>2005.0</v>
      </c>
      <c r="D30" s="7" t="str">
        <f t="shared" si="1"/>
        <v>Jeff</v>
      </c>
      <c r="E30" s="263" t="s">
        <v>40</v>
      </c>
      <c r="F30" s="266">
        <v>0.8368055555555556</v>
      </c>
      <c r="G30" s="67">
        <v>43553.0</v>
      </c>
      <c r="H30" s="9">
        <v>0.8576388888888888</v>
      </c>
      <c r="I30" s="11">
        <f t="shared" si="7"/>
        <v>0.5</v>
      </c>
      <c r="J30" s="97">
        <v>0.5</v>
      </c>
      <c r="K30" s="7">
        <v>56.0</v>
      </c>
      <c r="L30" s="7">
        <v>56.0</v>
      </c>
      <c r="M30" s="68" t="s">
        <v>226</v>
      </c>
      <c r="N30" s="7">
        <v>0.0</v>
      </c>
      <c r="O30" s="7">
        <v>0.0</v>
      </c>
      <c r="P30" s="7">
        <v>0.0</v>
      </c>
      <c r="Q30" s="7">
        <v>0.0</v>
      </c>
      <c r="R30" s="7">
        <v>0.0</v>
      </c>
      <c r="S30" s="7">
        <v>0.0</v>
      </c>
      <c r="T30" s="7">
        <v>0.0</v>
      </c>
      <c r="U30" s="7">
        <v>0.0</v>
      </c>
      <c r="V30" s="7">
        <v>0.0</v>
      </c>
      <c r="W30" s="7">
        <v>0.0</v>
      </c>
      <c r="X30" s="7">
        <v>0.0</v>
      </c>
      <c r="Y30" s="7">
        <v>0.0</v>
      </c>
      <c r="Z30" s="13">
        <f t="shared" si="3"/>
        <v>0</v>
      </c>
      <c r="AA30" s="13">
        <f t="shared" si="4"/>
        <v>0</v>
      </c>
      <c r="AB30" s="14">
        <f t="shared" si="5"/>
        <v>0</v>
      </c>
      <c r="AC30" s="14">
        <f t="shared" si="6"/>
        <v>0</v>
      </c>
      <c r="AD30" s="293">
        <v>0.35</v>
      </c>
      <c r="AE30" s="68" t="s">
        <v>227</v>
      </c>
      <c r="AF30" s="7"/>
      <c r="AG30" s="7"/>
      <c r="AH30" s="7"/>
      <c r="AI30" s="6"/>
      <c r="AJ30" s="6"/>
      <c r="AK30" s="69"/>
      <c r="AL30" s="69"/>
      <c r="AM30" s="7"/>
      <c r="AN30" s="7"/>
      <c r="AO30" s="7"/>
      <c r="AP30" s="7"/>
      <c r="AQ30" s="68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</row>
    <row r="31">
      <c r="A31" s="5">
        <v>43554.0</v>
      </c>
      <c r="B31" s="6">
        <v>1936.0</v>
      </c>
      <c r="C31" s="6">
        <v>2006.0</v>
      </c>
      <c r="D31" s="7" t="str">
        <f t="shared" si="1"/>
        <v>Rob</v>
      </c>
      <c r="E31" s="263" t="s">
        <v>46</v>
      </c>
      <c r="F31" s="266">
        <v>0.8125</v>
      </c>
      <c r="G31" s="254">
        <v>43554.0</v>
      </c>
      <c r="H31" s="19">
        <v>0.84375</v>
      </c>
      <c r="I31" s="11">
        <f t="shared" si="7"/>
        <v>0.75</v>
      </c>
      <c r="J31" s="96">
        <v>0.75</v>
      </c>
      <c r="K31" s="21">
        <v>54.0</v>
      </c>
      <c r="L31" s="21">
        <v>50.0</v>
      </c>
      <c r="M31" s="70"/>
      <c r="N31" s="21">
        <v>0.0</v>
      </c>
      <c r="O31" s="21">
        <v>0.0</v>
      </c>
      <c r="P31" s="21">
        <v>0.0</v>
      </c>
      <c r="Q31" s="21">
        <v>0.0</v>
      </c>
      <c r="R31" s="21">
        <v>0.0</v>
      </c>
      <c r="S31" s="21">
        <v>0.0</v>
      </c>
      <c r="T31" s="21">
        <v>0.0</v>
      </c>
      <c r="U31" s="21">
        <v>0.0</v>
      </c>
      <c r="V31" s="21">
        <v>0.0</v>
      </c>
      <c r="W31" s="21">
        <v>0.0</v>
      </c>
      <c r="X31" s="21">
        <v>0.0</v>
      </c>
      <c r="Y31" s="21">
        <v>0.0</v>
      </c>
      <c r="Z31" s="13">
        <f t="shared" si="3"/>
        <v>0</v>
      </c>
      <c r="AA31" s="13">
        <f t="shared" si="4"/>
        <v>0</v>
      </c>
      <c r="AB31" s="14">
        <f t="shared" si="5"/>
        <v>0</v>
      </c>
      <c r="AC31" s="14">
        <f t="shared" si="6"/>
        <v>0</v>
      </c>
      <c r="AD31" s="294">
        <v>0.26</v>
      </c>
      <c r="AE31" s="70"/>
      <c r="AF31" s="21"/>
      <c r="AG31" s="21"/>
      <c r="AH31" s="21"/>
      <c r="AI31" s="22"/>
      <c r="AJ31" s="22"/>
      <c r="AK31" s="69"/>
      <c r="AL31" s="69"/>
      <c r="AM31" s="21"/>
      <c r="AN31" s="21"/>
      <c r="AO31" s="21"/>
      <c r="AP31" s="21"/>
      <c r="AQ31" s="70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4"/>
      <c r="BD31" s="174"/>
      <c r="BE31" s="174"/>
      <c r="BF31" s="174"/>
      <c r="BG31" s="174"/>
      <c r="BH31" s="174"/>
      <c r="BI31" s="174"/>
      <c r="BJ31" s="174"/>
      <c r="BK31" s="174"/>
      <c r="BL31" s="174"/>
      <c r="BM31" s="174"/>
      <c r="BN31" s="174"/>
    </row>
    <row r="32">
      <c r="A32" s="227">
        <v>43555.0</v>
      </c>
      <c r="B32" s="6">
        <v>1937.0</v>
      </c>
      <c r="C32" s="6">
        <v>2007.0</v>
      </c>
      <c r="D32" s="7" t="str">
        <f t="shared" si="1"/>
        <v>Fred/Phil</v>
      </c>
      <c r="E32" s="263" t="s">
        <v>33</v>
      </c>
      <c r="F32" s="266"/>
      <c r="G32" s="67">
        <v>43555.0</v>
      </c>
      <c r="H32" s="9"/>
      <c r="I32" s="11">
        <f t="shared" si="7"/>
        <v>0</v>
      </c>
      <c r="J32" s="97"/>
      <c r="K32" s="7">
        <v>56.0</v>
      </c>
      <c r="L32" s="7"/>
      <c r="M32" s="68" t="s">
        <v>35</v>
      </c>
      <c r="N32" s="7">
        <v>0.0</v>
      </c>
      <c r="O32" s="7">
        <v>0.0</v>
      </c>
      <c r="P32" s="7">
        <v>0.0</v>
      </c>
      <c r="Q32" s="7">
        <v>0.0</v>
      </c>
      <c r="R32" s="7">
        <v>0.0</v>
      </c>
      <c r="S32" s="7">
        <v>0.0</v>
      </c>
      <c r="T32" s="7">
        <v>0.0</v>
      </c>
      <c r="U32" s="7">
        <v>0.0</v>
      </c>
      <c r="V32" s="7">
        <v>0.0</v>
      </c>
      <c r="W32" s="7">
        <v>0.0</v>
      </c>
      <c r="X32" s="7">
        <v>0.0</v>
      </c>
      <c r="Y32" s="7">
        <v>0.0</v>
      </c>
      <c r="Z32" s="13">
        <f t="shared" si="3"/>
        <v>0</v>
      </c>
      <c r="AA32" s="13">
        <f t="shared" si="4"/>
        <v>0</v>
      </c>
      <c r="AB32" s="14">
        <f t="shared" si="5"/>
        <v>0</v>
      </c>
      <c r="AC32" s="14">
        <f t="shared" si="6"/>
        <v>0</v>
      </c>
      <c r="AD32" s="295">
        <v>0.18</v>
      </c>
      <c r="AE32" s="68"/>
      <c r="AF32" s="7"/>
      <c r="AG32" s="7"/>
      <c r="AH32" s="7"/>
      <c r="AI32" s="6"/>
      <c r="AJ32" s="6"/>
      <c r="AK32" s="69"/>
      <c r="AL32" s="69"/>
      <c r="AM32" s="7"/>
      <c r="AN32" s="7"/>
      <c r="AO32" s="7"/>
      <c r="AP32" s="7"/>
      <c r="AQ32" s="68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</row>
    <row r="33">
      <c r="A33" s="296" t="s">
        <v>228</v>
      </c>
      <c r="B33" s="296"/>
      <c r="C33" s="40"/>
      <c r="D33" s="40"/>
      <c r="E33" s="33" t="s">
        <v>66</v>
      </c>
      <c r="F33" s="40"/>
      <c r="G33" s="40"/>
      <c r="H33" s="40"/>
      <c r="I33" s="35">
        <f>SUM(I3:I32)</f>
        <v>34.91666667</v>
      </c>
      <c r="J33" s="220">
        <f>SUM(J2:J32)</f>
        <v>197.74</v>
      </c>
      <c r="K33" s="40"/>
      <c r="L33" s="40"/>
      <c r="M33" s="168"/>
      <c r="N33" s="167">
        <f t="shared" ref="N33:Y33" si="8">sum(N2:N32)</f>
        <v>25</v>
      </c>
      <c r="O33" s="167">
        <f t="shared" si="8"/>
        <v>14</v>
      </c>
      <c r="P33" s="167">
        <f t="shared" si="8"/>
        <v>1</v>
      </c>
      <c r="Q33" s="166">
        <f t="shared" si="8"/>
        <v>0</v>
      </c>
      <c r="R33" s="166">
        <f t="shared" si="8"/>
        <v>107</v>
      </c>
      <c r="S33" s="297">
        <f t="shared" si="8"/>
        <v>497</v>
      </c>
      <c r="T33" s="297">
        <f t="shared" si="8"/>
        <v>6</v>
      </c>
      <c r="U33" s="297">
        <f t="shared" si="8"/>
        <v>17</v>
      </c>
      <c r="V33" s="297">
        <f t="shared" si="8"/>
        <v>1</v>
      </c>
      <c r="W33" s="166">
        <f t="shared" si="8"/>
        <v>3</v>
      </c>
      <c r="X33" s="166">
        <f t="shared" si="8"/>
        <v>5</v>
      </c>
      <c r="Y33" s="298">
        <f t="shared" si="8"/>
        <v>1</v>
      </c>
      <c r="Z33" s="166">
        <f t="shared" ref="Z33:AA33" si="9">SUM(Z2:Z32)</f>
        <v>40</v>
      </c>
      <c r="AA33" s="166">
        <f t="shared" si="9"/>
        <v>628</v>
      </c>
      <c r="AB33" s="36">
        <f t="shared" ref="AB33:AC33" si="10">sum(AB2:AB32)</f>
        <v>39</v>
      </c>
      <c r="AC33" s="36">
        <f t="shared" si="10"/>
        <v>605</v>
      </c>
      <c r="AD33" s="180"/>
      <c r="AE33" s="180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8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</row>
    <row r="34">
      <c r="A34" s="50"/>
      <c r="B34" s="40"/>
      <c r="C34" s="40"/>
      <c r="D34" s="40"/>
      <c r="E34" s="37" t="s">
        <v>67</v>
      </c>
      <c r="F34" s="38"/>
      <c r="I34" s="39">
        <f>'November 2018'!I$34+'December 2018'!I$33+'January 2019'!I$33+'February 2019'!I$33+'March 2019'!I$33
</f>
        <v>128.3102778</v>
      </c>
      <c r="J34" s="39">
        <f>'November 2018'!J$34+'December 2018'!J$33+'January 2019'!J$33+'February 2019'!J$33+'March 2019'!J$33
</f>
        <v>495.7316667</v>
      </c>
      <c r="K34" s="40"/>
      <c r="L34" s="40"/>
      <c r="M34" s="40"/>
      <c r="N34" s="41">
        <f>'November 2018'!N$34+'December 2018'!N$33+'January 2019'!N$33+'February 2019'!N$33+'March 2019'!N$33
</f>
        <v>90</v>
      </c>
      <c r="O34" s="41">
        <f>'November 2018'!O$34+'December 2018'!O$33+'January 2019'!O$33+'February 2019'!O$33+'March 2019'!O$33
</f>
        <v>1134</v>
      </c>
      <c r="P34" s="41">
        <f>'November 2018'!P$34+'December 2018'!P$33+'January 2019'!P$33+'February 2019'!P$33+'March 2019'!P$33
</f>
        <v>3</v>
      </c>
      <c r="Q34" s="41">
        <f>'November 2018'!Q$34+'December 2018'!Q$33+'January 2019'!Q$33+'February 2019'!Q$33+'March 2019'!Q$33
</f>
        <v>4</v>
      </c>
      <c r="R34" s="41">
        <f>'November 2018'!R$34+'December 2018'!R$33+'January 2019'!R$33+'February 2019'!R$33+'March 2019'!R$33
</f>
        <v>107</v>
      </c>
      <c r="S34" s="41">
        <f>'November 2018'!S$34+'December 2018'!S$33+'January 2019'!S$33+'February 2019'!S$33+'March 2019'!S$33
</f>
        <v>497</v>
      </c>
      <c r="T34" s="41">
        <f>'November 2018'!T$34+'December 2018'!T$33+'January 2019'!T$33+'February 2019'!T$33+'March 2019'!T$33
</f>
        <v>6</v>
      </c>
      <c r="U34" s="41">
        <f>'November 2018'!U$34+'December 2018'!U$33+'January 2019'!U$33+'February 2019'!U$33+'March 2019'!U$33
</f>
        <v>17</v>
      </c>
      <c r="V34" s="41">
        <f>'November 2018'!V$34+'December 2018'!V$33+'January 2019'!V$33+'February 2019'!V$33+'March 2019'!V$33
</f>
        <v>1</v>
      </c>
      <c r="W34" s="41">
        <f>'November 2018'!W$34+'December 2018'!W$33+'January 2019'!W$33+'February 2019'!W$33+'March 2019'!W$33
</f>
        <v>4</v>
      </c>
      <c r="X34" s="41">
        <f>'November 2018'!X$34+'December 2018'!X$33+'January 2019'!X$33+'February 2019'!X$33+'March 2019'!X$33
</f>
        <v>24</v>
      </c>
      <c r="Y34" s="41">
        <f>'November 2018'!Y$34+'December 2018'!Y$33+'January 2019'!Y$33+'February 2019'!Y$33+'March 2019'!Y$33
</f>
        <v>5</v>
      </c>
      <c r="Z34" s="41">
        <f>'November 2018'!Z$34+'December 2018'!Z$33+'January 2019'!Z$33+'February 2019'!Z$33+'March 2019'!Z$33
</f>
        <v>1231</v>
      </c>
      <c r="AA34" s="41">
        <f>'November 2018'!AA$34+'December 2018'!AA$33+'January 2019'!AA$33+'February 2019'!AA$33+'March 2019'!AA$33
</f>
        <v>628</v>
      </c>
      <c r="AB34" s="42">
        <f>'November 2018'!AB34+'December 2018'!AB33+'January 2019'!AB33+'February 2019'!AB33+'March 2019'!AB33
</f>
        <v>1224</v>
      </c>
      <c r="AC34" s="42">
        <f>'November 2018'!AC34+'December 2018'!AC33+'January 2019'!AC33+'February 2019'!AC33+'March 2019'!AC33
</f>
        <v>605</v>
      </c>
      <c r="AD34" s="180"/>
      <c r="AE34" s="180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8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</row>
    <row r="35">
      <c r="A35" s="50"/>
      <c r="B35" s="50"/>
      <c r="C35" s="50"/>
      <c r="D35" s="50"/>
      <c r="E35" s="37" t="s">
        <v>68</v>
      </c>
      <c r="F35" s="38"/>
      <c r="I35" s="39">
        <f>'November 2018'!I$34+'December 2018'!I$33+'January 2019'!I$33+'February 2019'!I$33+'March 2019'!I$33+'April 2019'!I$33</f>
        <v>145.8102778</v>
      </c>
      <c r="J35" s="39">
        <f>'November 2018'!J34+'December 2018'!J33+'January 2019'!J33+'February 2019'!J33+'March 2019'!J33+'April 2019'!J33</f>
        <v>558.9616667</v>
      </c>
      <c r="K35" s="40"/>
      <c r="L35" s="40"/>
      <c r="M35" s="40"/>
      <c r="N35" s="41">
        <f>'November 2018'!N34+'December 2018'!N33+'January 2019'!N33+'February 2019'!N33+'March 2019'!N33+'April 2019'!N33</f>
        <v>90</v>
      </c>
      <c r="O35" s="41">
        <f>'November 2018'!O34+'December 2018'!O33+'January 2019'!O33+'February 2019'!O33+'March 2019'!O33+'April 2019'!O33</f>
        <v>1134</v>
      </c>
      <c r="P35" s="41">
        <f>'November 2018'!P34+'December 2018'!P33+'January 2019'!P33+'February 2019'!P33+'March 2019'!P33+'April 2019'!P33</f>
        <v>3</v>
      </c>
      <c r="Q35" s="41">
        <f>'November 2018'!Q34+'December 2018'!Q33+'January 2019'!Q33+'February 2019'!Q33+'March 2019'!Q33+'April 2019'!Q33</f>
        <v>4</v>
      </c>
      <c r="R35" s="41">
        <f>'November 2018'!R34+'December 2018'!R33+'January 2019'!R33+'February 2019'!R33+'March 2019'!R33+'April 2019'!R33</f>
        <v>124</v>
      </c>
      <c r="S35" s="41">
        <f>'November 2018'!S34+'December 2018'!S33+'January 2019'!S33+'February 2019'!S33+'March 2019'!S33+'April 2019'!S33</f>
        <v>791</v>
      </c>
      <c r="T35" s="41">
        <f>'November 2018'!T34+'December 2018'!T33+'January 2019'!T33+'February 2019'!T33+'March 2019'!T33+'April 2019'!T33</f>
        <v>6</v>
      </c>
      <c r="U35" s="41">
        <f>'November 2018'!U34+'December 2018'!U33+'January 2019'!U33+'February 2019'!U33+'March 2019'!U33+'April 2019'!U33</f>
        <v>17</v>
      </c>
      <c r="V35" s="41">
        <f>'November 2018'!V34+'December 2018'!V33+'January 2019'!V33+'February 2019'!V33+'March 2019'!V33+'April 2019'!V33</f>
        <v>6</v>
      </c>
      <c r="W35" s="41">
        <f>'November 2018'!W34+'December 2018'!W33+'January 2019'!W33+'February 2019'!W33+'March 2019'!W33+'April 2019'!W33</f>
        <v>4</v>
      </c>
      <c r="X35" s="41">
        <f>'November 2018'!X34+'December 2018'!X33+'January 2019'!X33+'February 2019'!X33+'March 2019'!X33+'April 2019'!X33</f>
        <v>24</v>
      </c>
      <c r="Y35" s="41">
        <f>'November 2018'!Y34+'December 2018'!Y33+'January 2019'!Y33+'February 2019'!Y33+'March 2019'!Y33+'April 2019'!Y33</f>
        <v>7</v>
      </c>
      <c r="Z35" s="41">
        <f>'November 2018'!Z34+'December 2018'!Z33+'January 2019'!Z33+'February 2019'!Z33+'March 2019'!Z33+'April 2019'!Z33</f>
        <v>1231</v>
      </c>
      <c r="AA35" s="41">
        <f>'November 2018'!AA34+'December 2018'!AA33+'January 2019'!AA33+'February 2019'!AA33+'March 2019'!AA33+'April 2019'!AA33</f>
        <v>944</v>
      </c>
      <c r="AB35" s="41">
        <f>'November 2018'!AB34+'December 2018'!AB33+'January 2019'!AB33+'February 2019'!AB33+'March 2019'!AB33+'April 2019'!AB33</f>
        <v>1224</v>
      </c>
      <c r="AC35" s="41">
        <f>'November 2018'!AC34+'December 2018'!AC33+'January 2019'!AC33+'February 2019'!AC33+'March 2019'!AC33+'April 2019'!AC33</f>
        <v>921</v>
      </c>
      <c r="AD35" s="299"/>
      <c r="AE35" s="299"/>
      <c r="AF35" s="300"/>
      <c r="AG35" s="300"/>
      <c r="AH35" s="300"/>
      <c r="AI35" s="300"/>
      <c r="AJ35" s="300"/>
      <c r="AK35" s="300"/>
      <c r="AL35" s="300"/>
      <c r="AM35" s="300"/>
      <c r="AN35" s="300"/>
      <c r="AO35" s="300"/>
      <c r="AP35" s="300"/>
      <c r="AQ35" s="299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</row>
    <row r="36">
      <c r="A36" s="40"/>
      <c r="B36" s="40"/>
      <c r="C36" s="40"/>
      <c r="D36" s="40"/>
      <c r="E36" s="33" t="s">
        <v>69</v>
      </c>
      <c r="F36" s="40"/>
      <c r="G36" s="40"/>
      <c r="H36" s="40"/>
      <c r="I36" s="40"/>
      <c r="J36" s="40"/>
      <c r="K36" s="40"/>
      <c r="L36" s="40"/>
      <c r="M36" s="40"/>
      <c r="N36" s="44"/>
      <c r="O36" s="45"/>
      <c r="P36" s="45"/>
      <c r="Q36" s="46"/>
      <c r="R36" s="46"/>
      <c r="S36" s="46"/>
      <c r="T36" s="46"/>
      <c r="U36" s="47"/>
      <c r="V36" s="48"/>
      <c r="W36" s="47"/>
      <c r="X36" s="47"/>
      <c r="Y36" s="49"/>
      <c r="Z36" s="46">
        <v>433.0</v>
      </c>
      <c r="AA36" s="46">
        <v>297.0</v>
      </c>
      <c r="AB36" s="46"/>
      <c r="AC36" s="49"/>
      <c r="AD36" s="49"/>
      <c r="AE36" s="49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9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50"/>
      <c r="BM36" s="50"/>
      <c r="BN36" s="50"/>
    </row>
    <row r="37">
      <c r="A37" s="40"/>
      <c r="B37" s="40"/>
      <c r="C37" s="40"/>
      <c r="D37" s="40"/>
      <c r="E37" s="33" t="s">
        <v>70</v>
      </c>
      <c r="F37" s="40"/>
      <c r="G37" s="40"/>
      <c r="H37" s="40"/>
      <c r="I37" s="40"/>
      <c r="J37" s="40"/>
      <c r="K37" s="40"/>
      <c r="L37" s="40"/>
      <c r="M37" s="40"/>
      <c r="N37" s="44"/>
      <c r="O37" s="45"/>
      <c r="P37" s="45"/>
      <c r="Q37" s="46"/>
      <c r="R37" s="46"/>
      <c r="S37" s="46"/>
      <c r="T37" s="46"/>
      <c r="U37" s="47"/>
      <c r="V37" s="48"/>
      <c r="W37" s="47"/>
      <c r="X37" s="47"/>
      <c r="Y37" s="49"/>
      <c r="Z37" s="46">
        <v>834.0</v>
      </c>
      <c r="AA37" s="46">
        <v>751.0</v>
      </c>
      <c r="AB37" s="46"/>
      <c r="AC37" s="49"/>
      <c r="AD37" s="49"/>
      <c r="AE37" s="49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9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50"/>
      <c r="BM37" s="50"/>
      <c r="BN37" s="50"/>
    </row>
    <row r="38">
      <c r="A38" s="40"/>
      <c r="B38" s="40"/>
      <c r="C38" s="40"/>
      <c r="D38" s="40"/>
      <c r="E38" s="33" t="s">
        <v>71</v>
      </c>
      <c r="F38" s="40"/>
      <c r="G38" s="40"/>
      <c r="H38" s="40"/>
      <c r="I38" s="40"/>
      <c r="J38" s="40"/>
      <c r="K38" s="40"/>
      <c r="L38" s="40"/>
      <c r="M38" s="40"/>
      <c r="N38" s="44"/>
      <c r="O38" s="45"/>
      <c r="P38" s="45"/>
      <c r="Q38" s="46"/>
      <c r="R38" s="46"/>
      <c r="S38" s="46"/>
      <c r="T38" s="46"/>
      <c r="U38" s="47"/>
      <c r="V38" s="48"/>
      <c r="W38" s="47"/>
      <c r="X38" s="47"/>
      <c r="Y38" s="49"/>
      <c r="Z38" s="46">
        <v>688.0</v>
      </c>
      <c r="AA38" s="46">
        <v>1040.0</v>
      </c>
      <c r="AB38" s="46"/>
      <c r="AC38" s="49"/>
      <c r="AD38" s="49"/>
      <c r="AE38" s="49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9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50"/>
      <c r="BM38" s="50"/>
      <c r="BN38" s="50"/>
    </row>
    <row r="39">
      <c r="A39" s="40"/>
      <c r="B39" s="40"/>
      <c r="C39" s="40"/>
      <c r="D39" s="51"/>
      <c r="E39" s="33" t="s">
        <v>72</v>
      </c>
      <c r="F39" s="40"/>
      <c r="G39" s="40"/>
      <c r="H39" s="40"/>
      <c r="I39" s="40"/>
      <c r="J39" s="40"/>
      <c r="K39" s="40"/>
      <c r="L39" s="40"/>
      <c r="M39" s="51"/>
      <c r="N39" s="52"/>
      <c r="O39" s="53"/>
      <c r="P39" s="53"/>
      <c r="Q39" s="54"/>
      <c r="R39" s="54"/>
      <c r="S39" s="55"/>
      <c r="T39" s="55"/>
      <c r="U39" s="56"/>
      <c r="V39" s="57"/>
      <c r="W39" s="54"/>
      <c r="X39" s="54"/>
      <c r="Y39" s="58"/>
      <c r="Z39" s="54">
        <v>695.0</v>
      </c>
      <c r="AA39" s="54">
        <v>750.0</v>
      </c>
      <c r="AB39" s="54"/>
      <c r="AC39" s="58"/>
      <c r="AD39" s="58"/>
      <c r="AE39" s="58"/>
      <c r="AF39" s="33"/>
      <c r="AG39" s="33"/>
      <c r="AH39" s="33"/>
      <c r="AI39" s="33"/>
      <c r="AJ39" s="33"/>
      <c r="AK39" s="33"/>
      <c r="AL39" s="54"/>
      <c r="AM39" s="54"/>
      <c r="AN39" s="59"/>
      <c r="AO39" s="59"/>
      <c r="AP39" s="59"/>
      <c r="AQ39" s="58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50"/>
      <c r="BM39" s="50"/>
      <c r="BN39" s="50"/>
    </row>
    <row r="40">
      <c r="A40" s="40"/>
      <c r="B40" s="40"/>
      <c r="C40" s="40"/>
      <c r="D40" s="51"/>
      <c r="E40" s="33" t="s">
        <v>73</v>
      </c>
      <c r="F40" s="40"/>
      <c r="G40" s="40"/>
      <c r="H40" s="40"/>
      <c r="I40" s="40"/>
      <c r="J40" s="40"/>
      <c r="K40" s="40"/>
      <c r="L40" s="40"/>
      <c r="M40" s="51"/>
      <c r="N40" s="52"/>
      <c r="O40" s="53"/>
      <c r="P40" s="53"/>
      <c r="Q40" s="54"/>
      <c r="R40" s="54"/>
      <c r="S40" s="55"/>
      <c r="T40" s="55"/>
      <c r="U40" s="56"/>
      <c r="V40" s="57"/>
      <c r="W40" s="54"/>
      <c r="X40" s="54"/>
      <c r="Y40" s="58"/>
      <c r="Z40" s="54">
        <v>580.0</v>
      </c>
      <c r="AA40" s="54">
        <v>572.0</v>
      </c>
      <c r="AB40" s="54"/>
      <c r="AC40" s="58"/>
      <c r="AD40" s="58"/>
      <c r="AE40" s="58"/>
      <c r="AF40" s="33"/>
      <c r="AG40" s="33"/>
      <c r="AH40" s="33"/>
      <c r="AI40" s="33"/>
      <c r="AJ40" s="33"/>
      <c r="AK40" s="33"/>
      <c r="AL40" s="54"/>
      <c r="AM40" s="54"/>
      <c r="AN40" s="59"/>
      <c r="AO40" s="59"/>
      <c r="AP40" s="59"/>
      <c r="AQ40" s="58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50"/>
      <c r="BM40" s="50"/>
      <c r="BN40" s="50"/>
    </row>
    <row r="4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301"/>
      <c r="O41" s="182"/>
      <c r="P41" s="182"/>
      <c r="Q41" s="159"/>
      <c r="R41" s="159"/>
      <c r="S41" s="302"/>
      <c r="T41" s="302"/>
      <c r="U41" s="159"/>
      <c r="V41" s="159"/>
      <c r="W41" s="159"/>
      <c r="X41" s="159"/>
      <c r="Y41" s="303"/>
      <c r="Z41" s="159"/>
      <c r="AA41" s="159"/>
      <c r="AB41" s="159"/>
      <c r="AC41" s="303"/>
      <c r="AD41" s="303"/>
      <c r="AE41" s="303"/>
      <c r="AF41" s="165"/>
      <c r="AG41" s="165"/>
      <c r="AH41" s="165"/>
      <c r="AI41" s="165"/>
      <c r="AJ41" s="165"/>
      <c r="AK41" s="165"/>
      <c r="AL41" s="159"/>
      <c r="AM41" s="159"/>
      <c r="AN41" s="160"/>
      <c r="AO41" s="160"/>
      <c r="AP41" s="160"/>
      <c r="AQ41" s="303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</row>
    <row r="4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301"/>
      <c r="O42" s="182"/>
      <c r="P42" s="182"/>
      <c r="Q42" s="159"/>
      <c r="R42" s="159"/>
      <c r="S42" s="302"/>
      <c r="U42" s="304"/>
      <c r="V42" s="305"/>
      <c r="W42" s="159"/>
      <c r="X42" s="159"/>
      <c r="Y42" s="303"/>
      <c r="Z42" s="159"/>
      <c r="AA42" s="159"/>
      <c r="AB42" s="159"/>
      <c r="AC42" s="303"/>
      <c r="AD42" s="303"/>
      <c r="AE42" s="303"/>
      <c r="AF42" s="165"/>
      <c r="AG42" s="165"/>
      <c r="AH42" s="165"/>
      <c r="AI42" s="165"/>
      <c r="AJ42" s="165"/>
      <c r="AK42" s="165"/>
      <c r="AL42" s="159"/>
      <c r="AM42" s="159"/>
      <c r="AN42" s="160"/>
      <c r="AO42" s="160"/>
      <c r="AP42" s="160"/>
      <c r="AQ42" s="303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</row>
    <row r="4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301"/>
      <c r="O43" s="182"/>
      <c r="P43" s="182"/>
      <c r="Q43" s="159"/>
      <c r="R43" s="159"/>
      <c r="S43" s="302"/>
      <c r="T43" s="302"/>
      <c r="U43" s="159"/>
      <c r="V43" s="305"/>
      <c r="W43" s="159"/>
      <c r="X43" s="159"/>
      <c r="Y43" s="303"/>
      <c r="Z43" s="159"/>
      <c r="AA43" s="159"/>
      <c r="AB43" s="159"/>
      <c r="AC43" s="303"/>
      <c r="AD43" s="303"/>
      <c r="AE43" s="303"/>
      <c r="AF43" s="165"/>
      <c r="AG43" s="165"/>
      <c r="AH43" s="165"/>
      <c r="AI43" s="165"/>
      <c r="AJ43" s="165"/>
      <c r="AK43" s="165"/>
      <c r="AL43" s="159"/>
      <c r="AM43" s="159"/>
      <c r="AN43" s="160"/>
      <c r="AO43" s="160"/>
      <c r="AP43" s="160"/>
      <c r="AQ43" s="303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</row>
    <row r="4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301"/>
      <c r="O44" s="182"/>
      <c r="P44" s="182"/>
      <c r="Q44" s="159"/>
      <c r="R44" s="159"/>
      <c r="S44" s="302"/>
      <c r="T44" s="302"/>
      <c r="U44" s="159"/>
      <c r="V44" s="305"/>
      <c r="W44" s="159"/>
      <c r="X44" s="159"/>
      <c r="Y44" s="303"/>
      <c r="Z44" s="159"/>
      <c r="AA44" s="159"/>
      <c r="AB44" s="159"/>
      <c r="AC44" s="303"/>
      <c r="AD44" s="303"/>
      <c r="AE44" s="303"/>
      <c r="AF44" s="165"/>
      <c r="AG44" s="165"/>
      <c r="AH44" s="165"/>
      <c r="AI44" s="165"/>
      <c r="AJ44" s="165"/>
      <c r="AK44" s="165"/>
      <c r="AL44" s="159"/>
      <c r="AM44" s="159"/>
      <c r="AN44" s="160"/>
      <c r="AO44" s="160"/>
      <c r="AP44" s="160"/>
      <c r="AQ44" s="303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301"/>
      <c r="O45" s="182"/>
      <c r="P45" s="182"/>
      <c r="Q45" s="159"/>
      <c r="R45" s="159"/>
      <c r="S45" s="302"/>
      <c r="T45" s="302"/>
      <c r="U45" s="304"/>
      <c r="V45" s="305"/>
      <c r="W45" s="159"/>
      <c r="X45" s="159"/>
      <c r="Y45" s="303"/>
      <c r="Z45" s="159"/>
      <c r="AA45" s="159"/>
      <c r="AB45" s="159"/>
      <c r="AC45" s="303"/>
      <c r="AD45" s="303"/>
      <c r="AE45" s="303"/>
      <c r="AF45" s="165"/>
      <c r="AG45" s="165"/>
      <c r="AH45" s="165"/>
      <c r="AI45" s="165"/>
      <c r="AJ45" s="165"/>
      <c r="AK45" s="165"/>
      <c r="AL45" s="159"/>
      <c r="AM45" s="159"/>
      <c r="AN45" s="160"/>
      <c r="AO45" s="160"/>
      <c r="AP45" s="160"/>
      <c r="AQ45" s="303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</row>
    <row r="46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301"/>
      <c r="O46" s="182"/>
      <c r="P46" s="182"/>
      <c r="Q46" s="159"/>
      <c r="R46" s="159"/>
      <c r="S46" s="302"/>
      <c r="T46" s="306"/>
      <c r="U46" s="159"/>
      <c r="V46" s="305"/>
      <c r="W46" s="159"/>
      <c r="X46" s="159"/>
      <c r="Y46" s="303"/>
      <c r="Z46" s="159"/>
      <c r="AA46" s="159"/>
      <c r="AB46" s="159"/>
      <c r="AC46" s="303"/>
      <c r="AD46" s="303"/>
      <c r="AE46" s="303"/>
      <c r="AF46" s="165"/>
      <c r="AG46" s="165"/>
      <c r="AH46" s="165"/>
      <c r="AI46" s="165"/>
      <c r="AJ46" s="165"/>
      <c r="AK46" s="165"/>
      <c r="AL46" s="159"/>
      <c r="AM46" s="159"/>
      <c r="AN46" s="160"/>
      <c r="AO46" s="160"/>
      <c r="AP46" s="160"/>
      <c r="AQ46" s="303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</row>
    <row r="47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301"/>
      <c r="O47" s="182"/>
      <c r="P47" s="182"/>
      <c r="Q47" s="159"/>
      <c r="R47" s="159"/>
      <c r="S47" s="302"/>
      <c r="T47" s="302"/>
      <c r="U47" s="304"/>
      <c r="V47" s="305"/>
      <c r="W47" s="159"/>
      <c r="X47" s="159"/>
      <c r="Y47" s="303"/>
      <c r="Z47" s="159"/>
      <c r="AA47" s="159"/>
      <c r="AB47" s="159"/>
      <c r="AC47" s="303"/>
      <c r="AD47" s="303"/>
      <c r="AE47" s="303"/>
      <c r="AF47" s="165"/>
      <c r="AG47" s="165"/>
      <c r="AH47" s="165"/>
      <c r="AI47" s="165"/>
      <c r="AJ47" s="165"/>
      <c r="AK47" s="165"/>
      <c r="AL47" s="159"/>
      <c r="AM47" s="159"/>
      <c r="AN47" s="160"/>
      <c r="AO47" s="160"/>
      <c r="AP47" s="160"/>
      <c r="AQ47" s="303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</row>
    <row r="48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301"/>
      <c r="O48" s="182"/>
      <c r="P48" s="182"/>
      <c r="Q48" s="159"/>
      <c r="R48" s="159"/>
      <c r="S48" s="302"/>
      <c r="T48" s="302"/>
      <c r="U48" s="304"/>
      <c r="V48" s="305"/>
      <c r="W48" s="159"/>
      <c r="X48" s="159"/>
      <c r="Y48" s="303"/>
      <c r="Z48" s="159"/>
      <c r="AA48" s="159"/>
      <c r="AB48" s="159"/>
      <c r="AC48" s="303"/>
      <c r="AD48" s="303"/>
      <c r="AE48" s="303"/>
      <c r="AF48" s="165"/>
      <c r="AG48" s="165"/>
      <c r="AH48" s="165"/>
      <c r="AI48" s="165"/>
      <c r="AJ48" s="165"/>
      <c r="AK48" s="165"/>
      <c r="AL48" s="159"/>
      <c r="AM48" s="159"/>
      <c r="AN48" s="160"/>
      <c r="AO48" s="160"/>
      <c r="AP48" s="160"/>
      <c r="AQ48" s="307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301"/>
      <c r="O49" s="182"/>
      <c r="P49" s="182"/>
      <c r="Q49" s="159"/>
      <c r="R49" s="159"/>
      <c r="S49" s="302"/>
      <c r="T49" s="302"/>
      <c r="U49" s="304"/>
      <c r="V49" s="305"/>
      <c r="W49" s="159"/>
      <c r="X49" s="159"/>
      <c r="Y49" s="303"/>
      <c r="Z49" s="159"/>
      <c r="AA49" s="159"/>
      <c r="AB49" s="159"/>
      <c r="AC49" s="303"/>
      <c r="AD49" s="303"/>
      <c r="AE49" s="303"/>
      <c r="AF49" s="165"/>
      <c r="AG49" s="165"/>
      <c r="AH49" s="165"/>
      <c r="AI49" s="165"/>
      <c r="AJ49" s="165"/>
      <c r="AK49" s="165"/>
      <c r="AL49" s="159"/>
      <c r="AM49" s="159"/>
      <c r="AN49" s="160"/>
      <c r="AO49" s="160"/>
      <c r="AP49" s="160"/>
      <c r="AQ49" s="303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301"/>
      <c r="O50" s="182"/>
      <c r="P50" s="182"/>
      <c r="Q50" s="159"/>
      <c r="R50" s="159"/>
      <c r="S50" s="302"/>
      <c r="T50" s="302"/>
      <c r="U50" s="304"/>
      <c r="V50" s="305"/>
      <c r="W50" s="159"/>
      <c r="X50" s="159"/>
      <c r="Y50" s="303"/>
      <c r="Z50" s="159"/>
      <c r="AA50" s="159"/>
      <c r="AB50" s="159"/>
      <c r="AC50" s="303"/>
      <c r="AD50" s="303"/>
      <c r="AE50" s="303"/>
      <c r="AF50" s="165"/>
      <c r="AG50" s="165"/>
      <c r="AH50" s="165"/>
      <c r="AI50" s="165"/>
      <c r="AJ50" s="165"/>
      <c r="AK50" s="165"/>
      <c r="AL50" s="159"/>
      <c r="AM50" s="159"/>
      <c r="AN50" s="160"/>
      <c r="AO50" s="160"/>
      <c r="AP50" s="160"/>
      <c r="AQ50" s="303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301"/>
      <c r="O51" s="182"/>
      <c r="P51" s="182"/>
      <c r="Q51" s="159"/>
      <c r="R51" s="159"/>
      <c r="U51" s="304"/>
      <c r="V51" s="305"/>
      <c r="W51" s="159"/>
      <c r="X51" s="159"/>
      <c r="Y51" s="303"/>
      <c r="Z51" s="159"/>
      <c r="AA51" s="159"/>
      <c r="AB51" s="159"/>
      <c r="AC51" s="303"/>
      <c r="AD51" s="303"/>
      <c r="AE51" s="303"/>
      <c r="AF51" s="165"/>
      <c r="AG51" s="165"/>
      <c r="AH51" s="165"/>
      <c r="AI51" s="165"/>
      <c r="AJ51" s="165"/>
      <c r="AK51" s="165"/>
      <c r="AL51" s="159"/>
      <c r="AM51" s="159"/>
      <c r="AN51" s="160"/>
      <c r="AO51" s="160"/>
      <c r="AP51" s="160"/>
      <c r="AQ51" s="307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301"/>
      <c r="O52" s="182"/>
      <c r="P52" s="182"/>
      <c r="Q52" s="159"/>
      <c r="R52" s="159"/>
      <c r="U52" s="304"/>
      <c r="V52" s="305"/>
      <c r="W52" s="159"/>
      <c r="X52" s="159"/>
      <c r="Y52" s="303"/>
      <c r="Z52" s="159"/>
      <c r="AA52" s="159"/>
      <c r="AB52" s="159"/>
      <c r="AC52" s="303"/>
      <c r="AD52" s="303"/>
      <c r="AE52" s="303"/>
      <c r="AF52" s="165"/>
      <c r="AG52" s="165"/>
      <c r="AH52" s="165"/>
      <c r="AI52" s="165"/>
      <c r="AJ52" s="165"/>
      <c r="AK52" s="165"/>
      <c r="AL52" s="159"/>
      <c r="AM52" s="159"/>
      <c r="AN52" s="160"/>
      <c r="AO52" s="160"/>
      <c r="AP52" s="160"/>
      <c r="AQ52" s="307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301"/>
      <c r="O53" s="182"/>
      <c r="P53" s="182"/>
      <c r="Q53" s="159"/>
      <c r="R53" s="159"/>
      <c r="U53" s="304"/>
      <c r="V53" s="305"/>
      <c r="W53" s="159"/>
      <c r="X53" s="159"/>
      <c r="Y53" s="307"/>
      <c r="Z53" s="159"/>
      <c r="AA53" s="159"/>
      <c r="AB53" s="159"/>
      <c r="AC53" s="303"/>
      <c r="AD53" s="303"/>
      <c r="AE53" s="303"/>
      <c r="AF53" s="165"/>
      <c r="AG53" s="165"/>
      <c r="AH53" s="165"/>
      <c r="AI53" s="165"/>
      <c r="AJ53" s="165"/>
      <c r="AK53" s="165"/>
      <c r="AL53" s="159"/>
      <c r="AM53" s="159"/>
      <c r="AN53" s="160"/>
      <c r="AO53" s="160"/>
      <c r="AP53" s="160"/>
      <c r="AQ53" s="307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301"/>
      <c r="O54" s="308"/>
      <c r="P54" s="308"/>
      <c r="Q54" s="159"/>
      <c r="U54" s="304"/>
      <c r="V54" s="305"/>
      <c r="W54" s="159"/>
      <c r="X54" s="159"/>
      <c r="Y54" s="307"/>
      <c r="Z54" s="159"/>
      <c r="AA54" s="159"/>
      <c r="AB54" s="159"/>
      <c r="AC54" s="303"/>
      <c r="AD54" s="303"/>
      <c r="AE54" s="303"/>
      <c r="AF54" s="165"/>
      <c r="AG54" s="165"/>
      <c r="AH54" s="165"/>
      <c r="AI54" s="165"/>
      <c r="AJ54" s="165"/>
      <c r="AK54" s="165"/>
      <c r="AL54" s="159"/>
      <c r="AM54" s="159"/>
      <c r="AN54" s="160"/>
      <c r="AO54" s="160"/>
      <c r="AP54" s="160"/>
      <c r="AQ54" s="307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168"/>
      <c r="Z55" s="50"/>
      <c r="AA55" s="50"/>
      <c r="AB55" s="50"/>
      <c r="AC55" s="168"/>
      <c r="AD55" s="168"/>
      <c r="AE55" s="168"/>
      <c r="AF55" s="50"/>
      <c r="AG55" s="50"/>
      <c r="AH55" s="50"/>
      <c r="AI55" s="50"/>
      <c r="AJ55" s="50"/>
      <c r="AK55" s="50"/>
      <c r="AL55" s="50"/>
      <c r="AM55" s="309"/>
      <c r="AN55" s="50"/>
      <c r="AO55" s="50"/>
      <c r="AP55" s="40"/>
      <c r="AQ55" s="168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296"/>
      <c r="O56" s="296"/>
      <c r="P56" s="40"/>
      <c r="Q56" s="40"/>
      <c r="R56" s="33"/>
      <c r="S56" s="40"/>
      <c r="T56" s="40"/>
      <c r="U56" s="310"/>
      <c r="V56" s="311"/>
      <c r="W56" s="40"/>
      <c r="X56" s="40"/>
      <c r="Y56" s="168"/>
      <c r="Z56" s="312"/>
      <c r="AA56" s="312"/>
      <c r="AB56" s="312"/>
      <c r="AC56" s="313"/>
      <c r="AD56" s="313"/>
      <c r="AE56" s="313"/>
      <c r="AF56" s="314"/>
      <c r="AG56" s="314"/>
      <c r="AH56" s="314"/>
      <c r="AI56" s="314"/>
      <c r="AJ56" s="314"/>
      <c r="AK56" s="314"/>
      <c r="AL56" s="312"/>
      <c r="AM56" s="312"/>
      <c r="AN56" s="40"/>
      <c r="AO56" s="40"/>
      <c r="AP56" s="40"/>
      <c r="AQ56" s="168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40"/>
      <c r="P57" s="40"/>
      <c r="Q57" s="40"/>
      <c r="R57" s="33"/>
      <c r="S57" s="40"/>
      <c r="T57" s="40"/>
      <c r="U57" s="40"/>
      <c r="V57" s="311"/>
      <c r="W57" s="40"/>
      <c r="X57" s="40"/>
      <c r="Y57" s="50"/>
      <c r="Z57" s="50"/>
      <c r="AA57" s="50"/>
      <c r="AB57" s="40"/>
      <c r="AC57" s="315"/>
      <c r="AD57" s="315"/>
      <c r="AE57" s="315"/>
      <c r="AF57" s="40"/>
      <c r="AG57" s="40"/>
      <c r="AH57" s="40"/>
      <c r="AI57" s="40"/>
      <c r="AJ57" s="33"/>
      <c r="AK57" s="40"/>
      <c r="AL57" s="40"/>
      <c r="AM57" s="309"/>
      <c r="AN57" s="314"/>
      <c r="AO57" s="316"/>
      <c r="AP57" s="314"/>
      <c r="AQ57" s="168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168"/>
      <c r="Z58" s="50"/>
      <c r="AA58" s="50"/>
      <c r="AB58" s="50"/>
      <c r="AC58" s="168"/>
      <c r="AD58" s="168"/>
      <c r="AE58" s="168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168"/>
      <c r="Z59" s="50"/>
      <c r="AA59" s="50"/>
      <c r="AB59" s="50"/>
      <c r="AC59" s="168"/>
      <c r="AD59" s="168"/>
      <c r="AE59" s="168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168"/>
      <c r="Z60" s="50"/>
      <c r="AA60" s="50"/>
      <c r="AB60" s="50"/>
      <c r="AC60" s="168"/>
      <c r="AD60" s="168"/>
      <c r="AE60" s="168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168"/>
      <c r="Z61" s="50"/>
      <c r="AA61" s="50"/>
      <c r="AB61" s="50"/>
      <c r="AC61" s="168"/>
      <c r="AD61" s="168"/>
      <c r="AE61" s="168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168"/>
      <c r="Z62" s="50"/>
      <c r="AA62" s="50"/>
      <c r="AB62" s="50"/>
      <c r="AC62" s="168"/>
      <c r="AD62" s="168"/>
      <c r="AE62" s="168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168"/>
      <c r="Z63" s="50"/>
      <c r="AA63" s="50"/>
      <c r="AB63" s="50"/>
      <c r="AC63" s="168"/>
      <c r="AD63" s="168"/>
      <c r="AE63" s="168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168"/>
      <c r="Z64" s="50"/>
      <c r="AA64" s="50"/>
      <c r="AB64" s="50"/>
      <c r="AC64" s="168"/>
      <c r="AD64" s="168"/>
      <c r="AE64" s="168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168"/>
      <c r="Z65" s="50"/>
      <c r="AA65" s="50"/>
      <c r="AB65" s="50"/>
      <c r="AC65" s="168"/>
      <c r="AD65" s="168"/>
      <c r="AE65" s="168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168"/>
      <c r="Z66" s="50"/>
      <c r="AA66" s="50"/>
      <c r="AB66" s="50"/>
      <c r="AC66" s="168"/>
      <c r="AD66" s="168"/>
      <c r="AE66" s="168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168"/>
      <c r="Z67" s="50"/>
      <c r="AA67" s="50"/>
      <c r="AB67" s="50"/>
      <c r="AC67" s="168"/>
      <c r="AD67" s="168"/>
      <c r="AE67" s="168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168"/>
      <c r="Z68" s="50"/>
      <c r="AA68" s="50"/>
      <c r="AB68" s="50"/>
      <c r="AC68" s="168"/>
      <c r="AD68" s="168"/>
      <c r="AE68" s="168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168"/>
      <c r="Z69" s="50"/>
      <c r="AA69" s="50"/>
      <c r="AB69" s="50"/>
      <c r="AC69" s="168"/>
      <c r="AD69" s="168"/>
      <c r="AE69" s="168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168"/>
      <c r="Z70" s="50"/>
      <c r="AA70" s="50"/>
      <c r="AB70" s="50"/>
      <c r="AC70" s="168"/>
      <c r="AD70" s="168"/>
      <c r="AE70" s="168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168"/>
      <c r="Z71" s="50"/>
      <c r="AA71" s="50"/>
      <c r="AB71" s="50"/>
      <c r="AC71" s="168"/>
      <c r="AD71" s="168"/>
      <c r="AE71" s="168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168"/>
      <c r="Z72" s="50"/>
      <c r="AA72" s="50"/>
      <c r="AB72" s="50"/>
      <c r="AC72" s="168"/>
      <c r="AD72" s="168"/>
      <c r="AE72" s="168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168"/>
      <c r="Z73" s="50"/>
      <c r="AA73" s="50"/>
      <c r="AB73" s="50"/>
      <c r="AC73" s="168"/>
      <c r="AD73" s="168"/>
      <c r="AE73" s="168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168"/>
      <c r="Z74" s="50"/>
      <c r="AA74" s="50"/>
      <c r="AB74" s="50"/>
      <c r="AC74" s="168"/>
      <c r="AD74" s="168"/>
      <c r="AE74" s="168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168"/>
      <c r="Z75" s="50"/>
      <c r="AA75" s="50"/>
      <c r="AB75" s="50"/>
      <c r="AC75" s="168"/>
      <c r="AD75" s="168"/>
      <c r="AE75" s="168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168"/>
      <c r="Z76" s="50"/>
      <c r="AA76" s="50"/>
      <c r="AB76" s="50"/>
      <c r="AC76" s="168"/>
      <c r="AD76" s="168"/>
      <c r="AE76" s="168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168"/>
      <c r="Z77" s="50"/>
      <c r="AA77" s="50"/>
      <c r="AB77" s="50"/>
      <c r="AC77" s="168"/>
      <c r="AD77" s="168"/>
      <c r="AE77" s="168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168"/>
      <c r="Z78" s="50"/>
      <c r="AA78" s="50"/>
      <c r="AB78" s="50"/>
      <c r="AC78" s="168"/>
      <c r="AD78" s="168"/>
      <c r="AE78" s="168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168"/>
      <c r="Z79" s="50"/>
      <c r="AA79" s="50"/>
      <c r="AB79" s="50"/>
      <c r="AC79" s="168"/>
      <c r="AD79" s="168"/>
      <c r="AE79" s="168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168"/>
      <c r="Z80" s="50"/>
      <c r="AA80" s="50"/>
      <c r="AB80" s="50"/>
      <c r="AC80" s="168"/>
      <c r="AD80" s="168"/>
      <c r="AE80" s="168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168"/>
      <c r="Z81" s="50"/>
      <c r="AA81" s="50"/>
      <c r="AB81" s="50"/>
      <c r="AC81" s="168"/>
      <c r="AD81" s="168"/>
      <c r="AE81" s="168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168"/>
      <c r="Z82" s="50"/>
      <c r="AA82" s="50"/>
      <c r="AB82" s="50"/>
      <c r="AC82" s="168"/>
      <c r="AD82" s="168"/>
      <c r="AE82" s="168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168"/>
      <c r="Z83" s="50"/>
      <c r="AA83" s="50"/>
      <c r="AB83" s="50"/>
      <c r="AC83" s="168"/>
      <c r="AD83" s="168"/>
      <c r="AE83" s="168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168"/>
      <c r="Z84" s="50"/>
      <c r="AA84" s="50"/>
      <c r="AB84" s="50"/>
      <c r="AC84" s="168"/>
      <c r="AD84" s="168"/>
      <c r="AE84" s="168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168"/>
      <c r="Z85" s="50"/>
      <c r="AA85" s="50"/>
      <c r="AB85" s="50"/>
      <c r="AC85" s="168"/>
      <c r="AD85" s="168"/>
      <c r="AE85" s="168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168"/>
      <c r="Z86" s="50"/>
      <c r="AA86" s="50"/>
      <c r="AB86" s="50"/>
      <c r="AC86" s="168"/>
      <c r="AD86" s="168"/>
      <c r="AE86" s="168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168"/>
      <c r="Z87" s="50"/>
      <c r="AA87" s="50"/>
      <c r="AB87" s="50"/>
      <c r="AC87" s="168"/>
      <c r="AD87" s="168"/>
      <c r="AE87" s="168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168"/>
      <c r="Z88" s="50"/>
      <c r="AA88" s="50"/>
      <c r="AB88" s="50"/>
      <c r="AC88" s="168"/>
      <c r="AD88" s="168"/>
      <c r="AE88" s="168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168"/>
      <c r="Z89" s="50"/>
      <c r="AA89" s="50"/>
      <c r="AB89" s="50"/>
      <c r="AC89" s="168"/>
      <c r="AD89" s="168"/>
      <c r="AE89" s="168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168"/>
      <c r="Z90" s="50"/>
      <c r="AA90" s="50"/>
      <c r="AB90" s="50"/>
      <c r="AC90" s="168"/>
      <c r="AD90" s="168"/>
      <c r="AE90" s="168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168"/>
      <c r="Z91" s="50"/>
      <c r="AA91" s="50"/>
      <c r="AB91" s="50"/>
      <c r="AC91" s="168"/>
      <c r="AD91" s="168"/>
      <c r="AE91" s="168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168"/>
      <c r="Z92" s="50"/>
      <c r="AA92" s="50"/>
      <c r="AB92" s="50"/>
      <c r="AC92" s="168"/>
      <c r="AD92" s="168"/>
      <c r="AE92" s="168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168"/>
      <c r="Z93" s="50"/>
      <c r="AA93" s="50"/>
      <c r="AB93" s="50"/>
      <c r="AC93" s="168"/>
      <c r="AD93" s="168"/>
      <c r="AE93" s="168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168"/>
      <c r="Z94" s="50"/>
      <c r="AA94" s="50"/>
      <c r="AB94" s="50"/>
      <c r="AC94" s="168"/>
      <c r="AD94" s="168"/>
      <c r="AE94" s="168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168"/>
      <c r="Z95" s="50"/>
      <c r="AA95" s="50"/>
      <c r="AB95" s="50"/>
      <c r="AC95" s="168"/>
      <c r="AD95" s="168"/>
      <c r="AE95" s="168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168"/>
      <c r="Z96" s="50"/>
      <c r="AA96" s="50"/>
      <c r="AB96" s="50"/>
      <c r="AC96" s="168"/>
      <c r="AD96" s="168"/>
      <c r="AE96" s="168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168"/>
      <c r="Z97" s="50"/>
      <c r="AA97" s="50"/>
      <c r="AB97" s="50"/>
      <c r="AC97" s="168"/>
      <c r="AD97" s="168"/>
      <c r="AE97" s="168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168"/>
      <c r="Z98" s="50"/>
      <c r="AA98" s="50"/>
      <c r="AB98" s="50"/>
      <c r="AC98" s="168"/>
      <c r="AD98" s="168"/>
      <c r="AE98" s="168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168"/>
      <c r="Z99" s="50"/>
      <c r="AA99" s="50"/>
      <c r="AB99" s="50"/>
      <c r="AC99" s="168"/>
      <c r="AD99" s="168"/>
      <c r="AE99" s="168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168"/>
      <c r="Z100" s="50"/>
      <c r="AA100" s="50"/>
      <c r="AB100" s="50"/>
      <c r="AC100" s="168"/>
      <c r="AD100" s="168"/>
      <c r="AE100" s="168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168"/>
      <c r="Z101" s="50"/>
      <c r="AA101" s="50"/>
      <c r="AB101" s="50"/>
      <c r="AC101" s="168"/>
      <c r="AD101" s="168"/>
      <c r="AE101" s="168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168"/>
      <c r="Z102" s="50"/>
      <c r="AA102" s="50"/>
      <c r="AB102" s="50"/>
      <c r="AC102" s="168"/>
      <c r="AD102" s="168"/>
      <c r="AE102" s="168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168"/>
      <c r="Z103" s="50"/>
      <c r="AA103" s="50"/>
      <c r="AB103" s="50"/>
      <c r="AC103" s="168"/>
      <c r="AD103" s="168"/>
      <c r="AE103" s="168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168"/>
      <c r="Z104" s="50"/>
      <c r="AA104" s="50"/>
      <c r="AB104" s="50"/>
      <c r="AC104" s="168"/>
      <c r="AD104" s="168"/>
      <c r="AE104" s="168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168"/>
      <c r="Z105" s="50"/>
      <c r="AA105" s="50"/>
      <c r="AB105" s="50"/>
      <c r="AC105" s="168"/>
      <c r="AD105" s="168"/>
      <c r="AE105" s="168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168"/>
      <c r="Z106" s="50"/>
      <c r="AA106" s="50"/>
      <c r="AB106" s="50"/>
      <c r="AC106" s="168"/>
      <c r="AD106" s="168"/>
      <c r="AE106" s="168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168"/>
      <c r="Z107" s="50"/>
      <c r="AA107" s="50"/>
      <c r="AB107" s="50"/>
      <c r="AC107" s="168"/>
      <c r="AD107" s="168"/>
      <c r="AE107" s="168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168"/>
      <c r="Z108" s="50"/>
      <c r="AA108" s="50"/>
      <c r="AB108" s="50"/>
      <c r="AC108" s="168"/>
      <c r="AD108" s="168"/>
      <c r="AE108" s="168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168"/>
      <c r="Z109" s="50"/>
      <c r="AA109" s="50"/>
      <c r="AB109" s="50"/>
      <c r="AC109" s="168"/>
      <c r="AD109" s="168"/>
      <c r="AE109" s="168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168"/>
      <c r="Z110" s="50"/>
      <c r="AA110" s="50"/>
      <c r="AB110" s="50"/>
      <c r="AC110" s="168"/>
      <c r="AD110" s="168"/>
      <c r="AE110" s="168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168"/>
      <c r="Z111" s="50"/>
      <c r="AA111" s="50"/>
      <c r="AB111" s="50"/>
      <c r="AC111" s="168"/>
      <c r="AD111" s="168"/>
      <c r="AE111" s="168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168"/>
      <c r="Z112" s="50"/>
      <c r="AA112" s="50"/>
      <c r="AB112" s="50"/>
      <c r="AC112" s="168"/>
      <c r="AD112" s="168"/>
      <c r="AE112" s="168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168"/>
      <c r="Z113" s="50"/>
      <c r="AA113" s="50"/>
      <c r="AB113" s="50"/>
      <c r="AC113" s="168"/>
      <c r="AD113" s="168"/>
      <c r="AE113" s="168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  <c r="BM113" s="50"/>
      <c r="BN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168"/>
      <c r="Z114" s="50"/>
      <c r="AA114" s="50"/>
      <c r="AB114" s="50"/>
      <c r="AC114" s="168"/>
      <c r="AD114" s="168"/>
      <c r="AE114" s="168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168"/>
      <c r="Z115" s="50"/>
      <c r="AA115" s="50"/>
      <c r="AB115" s="50"/>
      <c r="AC115" s="168"/>
      <c r="AD115" s="168"/>
      <c r="AE115" s="168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168"/>
      <c r="Z116" s="50"/>
      <c r="AA116" s="50"/>
      <c r="AB116" s="50"/>
      <c r="AC116" s="168"/>
      <c r="AD116" s="168"/>
      <c r="AE116" s="168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168"/>
      <c r="Z117" s="50"/>
      <c r="AA117" s="50"/>
      <c r="AB117" s="50"/>
      <c r="AC117" s="168"/>
      <c r="AD117" s="168"/>
      <c r="AE117" s="168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50"/>
      <c r="BN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168"/>
      <c r="Z118" s="50"/>
      <c r="AA118" s="50"/>
      <c r="AB118" s="50"/>
      <c r="AC118" s="168"/>
      <c r="AD118" s="168"/>
      <c r="AE118" s="168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168"/>
      <c r="Z119" s="50"/>
      <c r="AA119" s="50"/>
      <c r="AB119" s="50"/>
      <c r="AC119" s="168"/>
      <c r="AD119" s="168"/>
      <c r="AE119" s="168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168"/>
      <c r="Z120" s="50"/>
      <c r="AA120" s="50"/>
      <c r="AB120" s="50"/>
      <c r="AC120" s="168"/>
      <c r="AD120" s="168"/>
      <c r="AE120" s="168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50"/>
      <c r="BN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168"/>
      <c r="Z121" s="50"/>
      <c r="AA121" s="50"/>
      <c r="AB121" s="50"/>
      <c r="AC121" s="168"/>
      <c r="AD121" s="168"/>
      <c r="AE121" s="168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  <c r="BL121" s="50"/>
      <c r="BM121" s="50"/>
      <c r="BN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168"/>
      <c r="Z122" s="50"/>
      <c r="AA122" s="50"/>
      <c r="AB122" s="50"/>
      <c r="AC122" s="168"/>
      <c r="AD122" s="168"/>
      <c r="AE122" s="168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168"/>
      <c r="Z123" s="50"/>
      <c r="AA123" s="50"/>
      <c r="AB123" s="50"/>
      <c r="AC123" s="168"/>
      <c r="AD123" s="168"/>
      <c r="AE123" s="168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168"/>
      <c r="Z124" s="50"/>
      <c r="AA124" s="50"/>
      <c r="AB124" s="50"/>
      <c r="AC124" s="168"/>
      <c r="AD124" s="168"/>
      <c r="AE124" s="168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168"/>
      <c r="Z125" s="50"/>
      <c r="AA125" s="50"/>
      <c r="AB125" s="50"/>
      <c r="AC125" s="168"/>
      <c r="AD125" s="168"/>
      <c r="AE125" s="168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50"/>
      <c r="BN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168"/>
      <c r="Z126" s="50"/>
      <c r="AA126" s="50"/>
      <c r="AB126" s="50"/>
      <c r="AC126" s="168"/>
      <c r="AD126" s="168"/>
      <c r="AE126" s="168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50"/>
      <c r="BN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168"/>
      <c r="Z127" s="50"/>
      <c r="AA127" s="50"/>
      <c r="AB127" s="50"/>
      <c r="AC127" s="168"/>
      <c r="AD127" s="168"/>
      <c r="AE127" s="168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  <c r="BM127" s="50"/>
      <c r="BN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168"/>
      <c r="Z128" s="50"/>
      <c r="AA128" s="50"/>
      <c r="AB128" s="50"/>
      <c r="AC128" s="168"/>
      <c r="AD128" s="168"/>
      <c r="AE128" s="168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168"/>
      <c r="Z129" s="50"/>
      <c r="AA129" s="50"/>
      <c r="AB129" s="50"/>
      <c r="AC129" s="168"/>
      <c r="AD129" s="168"/>
      <c r="AE129" s="168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  <c r="BM129" s="50"/>
      <c r="BN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168"/>
      <c r="Z130" s="50"/>
      <c r="AA130" s="50"/>
      <c r="AB130" s="50"/>
      <c r="AC130" s="168"/>
      <c r="AD130" s="168"/>
      <c r="AE130" s="168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  <c r="BM130" s="50"/>
      <c r="BN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168"/>
      <c r="Z131" s="50"/>
      <c r="AA131" s="50"/>
      <c r="AB131" s="50"/>
      <c r="AC131" s="168"/>
      <c r="AD131" s="168"/>
      <c r="AE131" s="168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168"/>
      <c r="Z132" s="50"/>
      <c r="AA132" s="50"/>
      <c r="AB132" s="50"/>
      <c r="AC132" s="168"/>
      <c r="AD132" s="168"/>
      <c r="AE132" s="168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  <c r="BM132" s="50"/>
      <c r="BN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168"/>
      <c r="Z133" s="50"/>
      <c r="AA133" s="50"/>
      <c r="AB133" s="50"/>
      <c r="AC133" s="168"/>
      <c r="AD133" s="168"/>
      <c r="AE133" s="168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168"/>
      <c r="Z134" s="50"/>
      <c r="AA134" s="50"/>
      <c r="AB134" s="50"/>
      <c r="AC134" s="168"/>
      <c r="AD134" s="168"/>
      <c r="AE134" s="168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  <c r="BM134" s="50"/>
      <c r="BN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168"/>
      <c r="Z135" s="50"/>
      <c r="AA135" s="50"/>
      <c r="AB135" s="50"/>
      <c r="AC135" s="168"/>
      <c r="AD135" s="168"/>
      <c r="AE135" s="168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168"/>
      <c r="Z136" s="50"/>
      <c r="AA136" s="50"/>
      <c r="AB136" s="50"/>
      <c r="AC136" s="168"/>
      <c r="AD136" s="168"/>
      <c r="AE136" s="168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/>
      <c r="BJ136" s="50"/>
      <c r="BK136" s="50"/>
      <c r="BL136" s="50"/>
      <c r="BM136" s="50"/>
      <c r="BN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168"/>
      <c r="Z137" s="50"/>
      <c r="AA137" s="50"/>
      <c r="AB137" s="50"/>
      <c r="AC137" s="168"/>
      <c r="AD137" s="168"/>
      <c r="AE137" s="168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168"/>
      <c r="Z138" s="50"/>
      <c r="AA138" s="50"/>
      <c r="AB138" s="50"/>
      <c r="AC138" s="168"/>
      <c r="AD138" s="168"/>
      <c r="AE138" s="168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168"/>
      <c r="Z139" s="50"/>
      <c r="AA139" s="50"/>
      <c r="AB139" s="50"/>
      <c r="AC139" s="168"/>
      <c r="AD139" s="168"/>
      <c r="AE139" s="168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168"/>
      <c r="Z140" s="50"/>
      <c r="AA140" s="50"/>
      <c r="AB140" s="50"/>
      <c r="AC140" s="168"/>
      <c r="AD140" s="168"/>
      <c r="AE140" s="168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168"/>
      <c r="Z141" s="50"/>
      <c r="AA141" s="50"/>
      <c r="AB141" s="50"/>
      <c r="AC141" s="168"/>
      <c r="AD141" s="168"/>
      <c r="AE141" s="168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168"/>
      <c r="Z142" s="50"/>
      <c r="AA142" s="50"/>
      <c r="AB142" s="50"/>
      <c r="AC142" s="168"/>
      <c r="AD142" s="168"/>
      <c r="AE142" s="168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168"/>
      <c r="Z143" s="50"/>
      <c r="AA143" s="50"/>
      <c r="AB143" s="50"/>
      <c r="AC143" s="168"/>
      <c r="AD143" s="168"/>
      <c r="AE143" s="168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168"/>
      <c r="Z144" s="50"/>
      <c r="AA144" s="50"/>
      <c r="AB144" s="50"/>
      <c r="AC144" s="168"/>
      <c r="AD144" s="168"/>
      <c r="AE144" s="168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168"/>
      <c r="Z145" s="50"/>
      <c r="AA145" s="50"/>
      <c r="AB145" s="50"/>
      <c r="AC145" s="168"/>
      <c r="AD145" s="168"/>
      <c r="AE145" s="168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168"/>
      <c r="Z146" s="50"/>
      <c r="AA146" s="50"/>
      <c r="AB146" s="50"/>
      <c r="AC146" s="168"/>
      <c r="AD146" s="168"/>
      <c r="AE146" s="168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168"/>
      <c r="Z147" s="50"/>
      <c r="AA147" s="50"/>
      <c r="AB147" s="50"/>
      <c r="AC147" s="168"/>
      <c r="AD147" s="168"/>
      <c r="AE147" s="168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168"/>
      <c r="Z148" s="50"/>
      <c r="AA148" s="50"/>
      <c r="AB148" s="50"/>
      <c r="AC148" s="168"/>
      <c r="AD148" s="168"/>
      <c r="AE148" s="168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168"/>
      <c r="Z149" s="50"/>
      <c r="AA149" s="50"/>
      <c r="AB149" s="50"/>
      <c r="AC149" s="168"/>
      <c r="AD149" s="168"/>
      <c r="AE149" s="168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168"/>
      <c r="Z150" s="50"/>
      <c r="AA150" s="50"/>
      <c r="AB150" s="50"/>
      <c r="AC150" s="168"/>
      <c r="AD150" s="168"/>
      <c r="AE150" s="168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168"/>
      <c r="Z151" s="50"/>
      <c r="AA151" s="50"/>
      <c r="AB151" s="50"/>
      <c r="AC151" s="168"/>
      <c r="AD151" s="168"/>
      <c r="AE151" s="168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168"/>
      <c r="Z152" s="50"/>
      <c r="AA152" s="50"/>
      <c r="AB152" s="50"/>
      <c r="AC152" s="168"/>
      <c r="AD152" s="168"/>
      <c r="AE152" s="168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168"/>
      <c r="Z153" s="50"/>
      <c r="AA153" s="50"/>
      <c r="AB153" s="50"/>
      <c r="AC153" s="168"/>
      <c r="AD153" s="168"/>
      <c r="AE153" s="168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168"/>
      <c r="Z154" s="50"/>
      <c r="AA154" s="50"/>
      <c r="AB154" s="50"/>
      <c r="AC154" s="168"/>
      <c r="AD154" s="168"/>
      <c r="AE154" s="168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168"/>
      <c r="Z155" s="50"/>
      <c r="AA155" s="50"/>
      <c r="AB155" s="50"/>
      <c r="AC155" s="168"/>
      <c r="AD155" s="168"/>
      <c r="AE155" s="168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168"/>
      <c r="Z156" s="50"/>
      <c r="AA156" s="50"/>
      <c r="AB156" s="50"/>
      <c r="AC156" s="168"/>
      <c r="AD156" s="168"/>
      <c r="AE156" s="168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168"/>
      <c r="Z157" s="50"/>
      <c r="AA157" s="50"/>
      <c r="AB157" s="50"/>
      <c r="AC157" s="168"/>
      <c r="AD157" s="168"/>
      <c r="AE157" s="168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168"/>
      <c r="Z158" s="50"/>
      <c r="AA158" s="50"/>
      <c r="AB158" s="50"/>
      <c r="AC158" s="168"/>
      <c r="AD158" s="168"/>
      <c r="AE158" s="168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168"/>
      <c r="Z159" s="50"/>
      <c r="AA159" s="50"/>
      <c r="AB159" s="50"/>
      <c r="AC159" s="168"/>
      <c r="AD159" s="168"/>
      <c r="AE159" s="168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50"/>
      <c r="BN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168"/>
      <c r="Z160" s="50"/>
      <c r="AA160" s="50"/>
      <c r="AB160" s="50"/>
      <c r="AC160" s="168"/>
      <c r="AD160" s="168"/>
      <c r="AE160" s="168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168"/>
      <c r="Z161" s="50"/>
      <c r="AA161" s="50"/>
      <c r="AB161" s="50"/>
      <c r="AC161" s="168"/>
      <c r="AD161" s="168"/>
      <c r="AE161" s="168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  <c r="BM161" s="50"/>
      <c r="BN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168"/>
      <c r="Z162" s="50"/>
      <c r="AA162" s="50"/>
      <c r="AB162" s="50"/>
      <c r="AC162" s="168"/>
      <c r="AD162" s="168"/>
      <c r="AE162" s="168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168"/>
      <c r="Z163" s="50"/>
      <c r="AA163" s="50"/>
      <c r="AB163" s="50"/>
      <c r="AC163" s="168"/>
      <c r="AD163" s="168"/>
      <c r="AE163" s="168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  <c r="BM163" s="50"/>
      <c r="BN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168"/>
      <c r="Z164" s="50"/>
      <c r="AA164" s="50"/>
      <c r="AB164" s="50"/>
      <c r="AC164" s="168"/>
      <c r="AD164" s="168"/>
      <c r="AE164" s="168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50"/>
      <c r="BN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168"/>
      <c r="Z165" s="50"/>
      <c r="AA165" s="50"/>
      <c r="AB165" s="50"/>
      <c r="AC165" s="168"/>
      <c r="AD165" s="168"/>
      <c r="AE165" s="168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168"/>
      <c r="Z166" s="50"/>
      <c r="AA166" s="50"/>
      <c r="AB166" s="50"/>
      <c r="AC166" s="168"/>
      <c r="AD166" s="168"/>
      <c r="AE166" s="168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  <c r="BK166" s="50"/>
      <c r="BL166" s="50"/>
      <c r="BM166" s="50"/>
      <c r="BN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168"/>
      <c r="Z167" s="50"/>
      <c r="AA167" s="50"/>
      <c r="AB167" s="50"/>
      <c r="AC167" s="168"/>
      <c r="AD167" s="168"/>
      <c r="AE167" s="168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168"/>
      <c r="Z168" s="50"/>
      <c r="AA168" s="50"/>
      <c r="AB168" s="50"/>
      <c r="AC168" s="168"/>
      <c r="AD168" s="168"/>
      <c r="AE168" s="168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50"/>
      <c r="BN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168"/>
      <c r="Z169" s="50"/>
      <c r="AA169" s="50"/>
      <c r="AB169" s="50"/>
      <c r="AC169" s="168"/>
      <c r="AD169" s="168"/>
      <c r="AE169" s="168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  <c r="BM169" s="50"/>
      <c r="BN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168"/>
      <c r="Z170" s="50"/>
      <c r="AA170" s="50"/>
      <c r="AB170" s="50"/>
      <c r="AC170" s="168"/>
      <c r="AD170" s="168"/>
      <c r="AE170" s="168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  <c r="BM170" s="50"/>
      <c r="BN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168"/>
      <c r="Z171" s="50"/>
      <c r="AA171" s="50"/>
      <c r="AB171" s="50"/>
      <c r="AC171" s="168"/>
      <c r="AD171" s="168"/>
      <c r="AE171" s="168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50"/>
      <c r="BN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168"/>
      <c r="Z172" s="50"/>
      <c r="AA172" s="50"/>
      <c r="AB172" s="50"/>
      <c r="AC172" s="168"/>
      <c r="AD172" s="168"/>
      <c r="AE172" s="168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  <c r="BM172" s="50"/>
      <c r="BN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168"/>
      <c r="Z173" s="50"/>
      <c r="AA173" s="50"/>
      <c r="AB173" s="50"/>
      <c r="AC173" s="168"/>
      <c r="AD173" s="168"/>
      <c r="AE173" s="168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168"/>
      <c r="Z174" s="50"/>
      <c r="AA174" s="50"/>
      <c r="AB174" s="50"/>
      <c r="AC174" s="168"/>
      <c r="AD174" s="168"/>
      <c r="AE174" s="168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168"/>
      <c r="Z175" s="50"/>
      <c r="AA175" s="50"/>
      <c r="AB175" s="50"/>
      <c r="AC175" s="168"/>
      <c r="AD175" s="168"/>
      <c r="AE175" s="168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50"/>
      <c r="BN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168"/>
      <c r="Z176" s="50"/>
      <c r="AA176" s="50"/>
      <c r="AB176" s="50"/>
      <c r="AC176" s="168"/>
      <c r="AD176" s="168"/>
      <c r="AE176" s="168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  <c r="BM176" s="50"/>
      <c r="BN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168"/>
      <c r="Z177" s="50"/>
      <c r="AA177" s="50"/>
      <c r="AB177" s="50"/>
      <c r="AC177" s="168"/>
      <c r="AD177" s="168"/>
      <c r="AE177" s="168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50"/>
      <c r="BN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168"/>
      <c r="Z178" s="50"/>
      <c r="AA178" s="50"/>
      <c r="AB178" s="50"/>
      <c r="AC178" s="168"/>
      <c r="AD178" s="168"/>
      <c r="AE178" s="168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168"/>
      <c r="Z179" s="50"/>
      <c r="AA179" s="50"/>
      <c r="AB179" s="50"/>
      <c r="AC179" s="168"/>
      <c r="AD179" s="168"/>
      <c r="AE179" s="168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  <c r="BM179" s="50"/>
      <c r="BN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168"/>
      <c r="Z180" s="50"/>
      <c r="AA180" s="50"/>
      <c r="AB180" s="50"/>
      <c r="AC180" s="168"/>
      <c r="AD180" s="168"/>
      <c r="AE180" s="168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  <c r="BM180" s="50"/>
      <c r="BN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168"/>
      <c r="Z181" s="50"/>
      <c r="AA181" s="50"/>
      <c r="AB181" s="50"/>
      <c r="AC181" s="168"/>
      <c r="AD181" s="168"/>
      <c r="AE181" s="168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168"/>
      <c r="Z182" s="50"/>
      <c r="AA182" s="50"/>
      <c r="AB182" s="50"/>
      <c r="AC182" s="168"/>
      <c r="AD182" s="168"/>
      <c r="AE182" s="168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168"/>
      <c r="Z183" s="50"/>
      <c r="AA183" s="50"/>
      <c r="AB183" s="50"/>
      <c r="AC183" s="168"/>
      <c r="AD183" s="168"/>
      <c r="AE183" s="168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168"/>
      <c r="Z184" s="50"/>
      <c r="AA184" s="50"/>
      <c r="AB184" s="50"/>
      <c r="AC184" s="168"/>
      <c r="AD184" s="168"/>
      <c r="AE184" s="168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168"/>
      <c r="Z185" s="50"/>
      <c r="AA185" s="50"/>
      <c r="AB185" s="50"/>
      <c r="AC185" s="168"/>
      <c r="AD185" s="168"/>
      <c r="AE185" s="168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168"/>
      <c r="Z186" s="50"/>
      <c r="AA186" s="50"/>
      <c r="AB186" s="50"/>
      <c r="AC186" s="168"/>
      <c r="AD186" s="168"/>
      <c r="AE186" s="168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50"/>
      <c r="BN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168"/>
      <c r="Z187" s="50"/>
      <c r="AA187" s="50"/>
      <c r="AB187" s="50"/>
      <c r="AC187" s="168"/>
      <c r="AD187" s="168"/>
      <c r="AE187" s="168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168"/>
      <c r="Z188" s="50"/>
      <c r="AA188" s="50"/>
      <c r="AB188" s="50"/>
      <c r="AC188" s="168"/>
      <c r="AD188" s="168"/>
      <c r="AE188" s="168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168"/>
      <c r="Z189" s="50"/>
      <c r="AA189" s="50"/>
      <c r="AB189" s="50"/>
      <c r="AC189" s="168"/>
      <c r="AD189" s="168"/>
      <c r="AE189" s="168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168"/>
      <c r="Z190" s="50"/>
      <c r="AA190" s="50"/>
      <c r="AB190" s="50"/>
      <c r="AC190" s="168"/>
      <c r="AD190" s="168"/>
      <c r="AE190" s="168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  <c r="BL190" s="50"/>
      <c r="BM190" s="50"/>
      <c r="BN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168"/>
      <c r="Z191" s="50"/>
      <c r="AA191" s="50"/>
      <c r="AB191" s="50"/>
      <c r="AC191" s="168"/>
      <c r="AD191" s="168"/>
      <c r="AE191" s="168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/>
      <c r="BL191" s="50"/>
      <c r="BM191" s="50"/>
      <c r="BN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168"/>
      <c r="Z192" s="50"/>
      <c r="AA192" s="50"/>
      <c r="AB192" s="50"/>
      <c r="AC192" s="168"/>
      <c r="AD192" s="168"/>
      <c r="AE192" s="168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/>
      <c r="BL192" s="50"/>
      <c r="BM192" s="50"/>
      <c r="BN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168"/>
      <c r="Z193" s="50"/>
      <c r="AA193" s="50"/>
      <c r="AB193" s="50"/>
      <c r="AC193" s="168"/>
      <c r="AD193" s="168"/>
      <c r="AE193" s="168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  <c r="BK193" s="50"/>
      <c r="BL193" s="50"/>
      <c r="BM193" s="50"/>
      <c r="BN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168"/>
      <c r="Z194" s="50"/>
      <c r="AA194" s="50"/>
      <c r="AB194" s="50"/>
      <c r="AC194" s="168"/>
      <c r="AD194" s="168"/>
      <c r="AE194" s="168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  <c r="BL194" s="50"/>
      <c r="BM194" s="50"/>
      <c r="BN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168"/>
      <c r="Z195" s="50"/>
      <c r="AA195" s="50"/>
      <c r="AB195" s="50"/>
      <c r="AC195" s="168"/>
      <c r="AD195" s="168"/>
      <c r="AE195" s="168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  <c r="BM195" s="50"/>
      <c r="BN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168"/>
      <c r="Z196" s="50"/>
      <c r="AA196" s="50"/>
      <c r="AB196" s="50"/>
      <c r="AC196" s="168"/>
      <c r="AD196" s="168"/>
      <c r="AE196" s="168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50"/>
      <c r="BN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168"/>
      <c r="Z197" s="50"/>
      <c r="AA197" s="50"/>
      <c r="AB197" s="50"/>
      <c r="AC197" s="168"/>
      <c r="AD197" s="168"/>
      <c r="AE197" s="168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  <c r="BL197" s="50"/>
      <c r="BM197" s="50"/>
      <c r="BN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168"/>
      <c r="Z198" s="50"/>
      <c r="AA198" s="50"/>
      <c r="AB198" s="50"/>
      <c r="AC198" s="168"/>
      <c r="AD198" s="168"/>
      <c r="AE198" s="168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  <c r="BL198" s="50"/>
      <c r="BM198" s="50"/>
      <c r="BN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168"/>
      <c r="Z199" s="50"/>
      <c r="AA199" s="50"/>
      <c r="AB199" s="50"/>
      <c r="AC199" s="168"/>
      <c r="AD199" s="168"/>
      <c r="AE199" s="168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  <c r="BL199" s="50"/>
      <c r="BM199" s="50"/>
      <c r="BN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168"/>
      <c r="Z200" s="50"/>
      <c r="AA200" s="50"/>
      <c r="AB200" s="50"/>
      <c r="AC200" s="168"/>
      <c r="AD200" s="168"/>
      <c r="AE200" s="168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  <c r="BL200" s="50"/>
      <c r="BM200" s="50"/>
      <c r="BN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168"/>
      <c r="Z201" s="50"/>
      <c r="AA201" s="50"/>
      <c r="AB201" s="50"/>
      <c r="AC201" s="168"/>
      <c r="AD201" s="168"/>
      <c r="AE201" s="168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50"/>
      <c r="BN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168"/>
      <c r="Z202" s="50"/>
      <c r="AA202" s="50"/>
      <c r="AB202" s="50"/>
      <c r="AC202" s="168"/>
      <c r="AD202" s="168"/>
      <c r="AE202" s="168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/>
      <c r="BL202" s="50"/>
      <c r="BM202" s="50"/>
      <c r="BN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168"/>
      <c r="Z203" s="50"/>
      <c r="AA203" s="50"/>
      <c r="AB203" s="50"/>
      <c r="AC203" s="168"/>
      <c r="AD203" s="168"/>
      <c r="AE203" s="168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  <c r="BL203" s="50"/>
      <c r="BM203" s="50"/>
      <c r="BN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168"/>
      <c r="Z204" s="50"/>
      <c r="AA204" s="50"/>
      <c r="AB204" s="50"/>
      <c r="AC204" s="168"/>
      <c r="AD204" s="168"/>
      <c r="AE204" s="168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  <c r="BL204" s="50"/>
      <c r="BM204" s="50"/>
      <c r="BN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168"/>
      <c r="Z205" s="50"/>
      <c r="AA205" s="50"/>
      <c r="AB205" s="50"/>
      <c r="AC205" s="168"/>
      <c r="AD205" s="168"/>
      <c r="AE205" s="168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  <c r="BK205" s="50"/>
      <c r="BL205" s="50"/>
      <c r="BM205" s="50"/>
      <c r="BN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168"/>
      <c r="Z206" s="50"/>
      <c r="AA206" s="50"/>
      <c r="AB206" s="50"/>
      <c r="AC206" s="168"/>
      <c r="AD206" s="168"/>
      <c r="AE206" s="168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  <c r="BK206" s="50"/>
      <c r="BL206" s="50"/>
      <c r="BM206" s="50"/>
      <c r="BN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168"/>
      <c r="Z207" s="50"/>
      <c r="AA207" s="50"/>
      <c r="AB207" s="50"/>
      <c r="AC207" s="168"/>
      <c r="AD207" s="168"/>
      <c r="AE207" s="168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  <c r="BL207" s="50"/>
      <c r="BM207" s="50"/>
      <c r="BN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168"/>
      <c r="Z208" s="50"/>
      <c r="AA208" s="50"/>
      <c r="AB208" s="50"/>
      <c r="AC208" s="168"/>
      <c r="AD208" s="168"/>
      <c r="AE208" s="168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  <c r="BL208" s="50"/>
      <c r="BM208" s="50"/>
      <c r="BN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168"/>
      <c r="Z209" s="50"/>
      <c r="AA209" s="50"/>
      <c r="AB209" s="50"/>
      <c r="AC209" s="168"/>
      <c r="AD209" s="168"/>
      <c r="AE209" s="168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  <c r="BL209" s="50"/>
      <c r="BM209" s="50"/>
      <c r="BN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168"/>
      <c r="Z210" s="50"/>
      <c r="AA210" s="50"/>
      <c r="AB210" s="50"/>
      <c r="AC210" s="168"/>
      <c r="AD210" s="168"/>
      <c r="AE210" s="168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  <c r="BL210" s="50"/>
      <c r="BM210" s="50"/>
      <c r="BN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168"/>
      <c r="Z211" s="50"/>
      <c r="AA211" s="50"/>
      <c r="AB211" s="50"/>
      <c r="AC211" s="168"/>
      <c r="AD211" s="168"/>
      <c r="AE211" s="168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168"/>
      <c r="Z212" s="50"/>
      <c r="AA212" s="50"/>
      <c r="AB212" s="50"/>
      <c r="AC212" s="168"/>
      <c r="AD212" s="168"/>
      <c r="AE212" s="168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  <c r="BM212" s="50"/>
      <c r="BN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168"/>
      <c r="Z213" s="50"/>
      <c r="AA213" s="50"/>
      <c r="AB213" s="50"/>
      <c r="AC213" s="168"/>
      <c r="AD213" s="168"/>
      <c r="AE213" s="168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50"/>
      <c r="BN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168"/>
      <c r="Z214" s="50"/>
      <c r="AA214" s="50"/>
      <c r="AB214" s="50"/>
      <c r="AC214" s="168"/>
      <c r="AD214" s="168"/>
      <c r="AE214" s="168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  <c r="BL214" s="50"/>
      <c r="BM214" s="50"/>
      <c r="BN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168"/>
      <c r="Z215" s="50"/>
      <c r="AA215" s="50"/>
      <c r="AB215" s="50"/>
      <c r="AC215" s="168"/>
      <c r="AD215" s="168"/>
      <c r="AE215" s="168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  <c r="BL215" s="50"/>
      <c r="BM215" s="50"/>
      <c r="BN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168"/>
      <c r="Z216" s="50"/>
      <c r="AA216" s="50"/>
      <c r="AB216" s="50"/>
      <c r="AC216" s="168"/>
      <c r="AD216" s="168"/>
      <c r="AE216" s="168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  <c r="BL216" s="50"/>
      <c r="BM216" s="50"/>
      <c r="BN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168"/>
      <c r="Z217" s="50"/>
      <c r="AA217" s="50"/>
      <c r="AB217" s="50"/>
      <c r="AC217" s="168"/>
      <c r="AD217" s="168"/>
      <c r="AE217" s="168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  <c r="BM217" s="50"/>
      <c r="BN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168"/>
      <c r="Z218" s="50"/>
      <c r="AA218" s="50"/>
      <c r="AB218" s="50"/>
      <c r="AC218" s="168"/>
      <c r="AD218" s="168"/>
      <c r="AE218" s="168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  <c r="BL218" s="50"/>
      <c r="BM218" s="50"/>
      <c r="BN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168"/>
      <c r="Z219" s="50"/>
      <c r="AA219" s="50"/>
      <c r="AB219" s="50"/>
      <c r="AC219" s="168"/>
      <c r="AD219" s="168"/>
      <c r="AE219" s="168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  <c r="BL219" s="50"/>
      <c r="BM219" s="50"/>
      <c r="BN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168"/>
      <c r="Z220" s="50"/>
      <c r="AA220" s="50"/>
      <c r="AB220" s="50"/>
      <c r="AC220" s="168"/>
      <c r="AD220" s="168"/>
      <c r="AE220" s="168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  <c r="BL220" s="50"/>
      <c r="BM220" s="50"/>
      <c r="BN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168"/>
      <c r="Z221" s="50"/>
      <c r="AA221" s="50"/>
      <c r="AB221" s="50"/>
      <c r="AC221" s="168"/>
      <c r="AD221" s="168"/>
      <c r="AE221" s="168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  <c r="BL221" s="50"/>
      <c r="BM221" s="50"/>
      <c r="BN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168"/>
      <c r="Z222" s="50"/>
      <c r="AA222" s="50"/>
      <c r="AB222" s="50"/>
      <c r="AC222" s="168"/>
      <c r="AD222" s="168"/>
      <c r="AE222" s="168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  <c r="BL222" s="50"/>
      <c r="BM222" s="50"/>
      <c r="BN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168"/>
      <c r="Z223" s="50"/>
      <c r="AA223" s="50"/>
      <c r="AB223" s="50"/>
      <c r="AC223" s="168"/>
      <c r="AD223" s="168"/>
      <c r="AE223" s="168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  <c r="BL223" s="50"/>
      <c r="BM223" s="50"/>
      <c r="BN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168"/>
      <c r="Z224" s="50"/>
      <c r="AA224" s="50"/>
      <c r="AB224" s="50"/>
      <c r="AC224" s="168"/>
      <c r="AD224" s="168"/>
      <c r="AE224" s="168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  <c r="BL224" s="50"/>
      <c r="BM224" s="50"/>
      <c r="BN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168"/>
      <c r="Z225" s="50"/>
      <c r="AA225" s="50"/>
      <c r="AB225" s="50"/>
      <c r="AC225" s="168"/>
      <c r="AD225" s="168"/>
      <c r="AE225" s="168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168"/>
      <c r="Z226" s="50"/>
      <c r="AA226" s="50"/>
      <c r="AB226" s="50"/>
      <c r="AC226" s="168"/>
      <c r="AD226" s="168"/>
      <c r="AE226" s="168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168"/>
      <c r="Z227" s="50"/>
      <c r="AA227" s="50"/>
      <c r="AB227" s="50"/>
      <c r="AC227" s="168"/>
      <c r="AD227" s="168"/>
      <c r="AE227" s="168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168"/>
      <c r="Z228" s="50"/>
      <c r="AA228" s="50"/>
      <c r="AB228" s="50"/>
      <c r="AC228" s="168"/>
      <c r="AD228" s="168"/>
      <c r="AE228" s="168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/>
      <c r="BL228" s="50"/>
      <c r="BM228" s="50"/>
      <c r="BN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168"/>
      <c r="Z229" s="50"/>
      <c r="AA229" s="50"/>
      <c r="AB229" s="50"/>
      <c r="AC229" s="168"/>
      <c r="AD229" s="168"/>
      <c r="AE229" s="168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168"/>
      <c r="Z230" s="50"/>
      <c r="AA230" s="50"/>
      <c r="AB230" s="50"/>
      <c r="AC230" s="168"/>
      <c r="AD230" s="168"/>
      <c r="AE230" s="168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  <c r="BM230" s="50"/>
      <c r="BN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168"/>
      <c r="Z231" s="50"/>
      <c r="AA231" s="50"/>
      <c r="AB231" s="50"/>
      <c r="AC231" s="168"/>
      <c r="AD231" s="168"/>
      <c r="AE231" s="168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  <c r="BL231" s="50"/>
      <c r="BM231" s="50"/>
      <c r="BN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168"/>
      <c r="Z232" s="50"/>
      <c r="AA232" s="50"/>
      <c r="AB232" s="50"/>
      <c r="AC232" s="168"/>
      <c r="AD232" s="168"/>
      <c r="AE232" s="168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  <c r="BK232" s="50"/>
      <c r="BL232" s="50"/>
      <c r="BM232" s="50"/>
      <c r="BN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168"/>
      <c r="Z233" s="50"/>
      <c r="AA233" s="50"/>
      <c r="AB233" s="50"/>
      <c r="AC233" s="168"/>
      <c r="AD233" s="168"/>
      <c r="AE233" s="168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50"/>
      <c r="BN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168"/>
      <c r="Z234" s="50"/>
      <c r="AA234" s="50"/>
      <c r="AB234" s="50"/>
      <c r="AC234" s="168"/>
      <c r="AD234" s="168"/>
      <c r="AE234" s="168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  <c r="BI234" s="50"/>
      <c r="BJ234" s="50"/>
      <c r="BK234" s="50"/>
      <c r="BL234" s="50"/>
      <c r="BM234" s="50"/>
      <c r="BN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168"/>
      <c r="Z235" s="50"/>
      <c r="AA235" s="50"/>
      <c r="AB235" s="50"/>
      <c r="AC235" s="168"/>
      <c r="AD235" s="168"/>
      <c r="AE235" s="168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  <c r="BK235" s="50"/>
      <c r="BL235" s="50"/>
      <c r="BM235" s="50"/>
      <c r="BN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168"/>
      <c r="Z236" s="50"/>
      <c r="AA236" s="50"/>
      <c r="AB236" s="50"/>
      <c r="AC236" s="168"/>
      <c r="AD236" s="168"/>
      <c r="AE236" s="168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  <c r="BK236" s="50"/>
      <c r="BL236" s="50"/>
      <c r="BM236" s="50"/>
      <c r="BN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168"/>
      <c r="Z237" s="50"/>
      <c r="AA237" s="50"/>
      <c r="AB237" s="50"/>
      <c r="AC237" s="168"/>
      <c r="AD237" s="168"/>
      <c r="AE237" s="168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  <c r="BL237" s="50"/>
      <c r="BM237" s="50"/>
      <c r="BN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168"/>
      <c r="Z238" s="50"/>
      <c r="AA238" s="50"/>
      <c r="AB238" s="50"/>
      <c r="AC238" s="168"/>
      <c r="AD238" s="168"/>
      <c r="AE238" s="168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168"/>
      <c r="Z239" s="50"/>
      <c r="AA239" s="50"/>
      <c r="AB239" s="50"/>
      <c r="AC239" s="168"/>
      <c r="AD239" s="168"/>
      <c r="AE239" s="168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  <c r="BL239" s="50"/>
      <c r="BM239" s="50"/>
      <c r="BN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168"/>
      <c r="Z240" s="50"/>
      <c r="AA240" s="50"/>
      <c r="AB240" s="50"/>
      <c r="AC240" s="168"/>
      <c r="AD240" s="168"/>
      <c r="AE240" s="168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  <c r="BK240" s="50"/>
      <c r="BL240" s="50"/>
      <c r="BM240" s="50"/>
      <c r="BN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168"/>
      <c r="Z241" s="50"/>
      <c r="AA241" s="50"/>
      <c r="AB241" s="50"/>
      <c r="AC241" s="168"/>
      <c r="AD241" s="168"/>
      <c r="AE241" s="168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  <c r="BK241" s="50"/>
      <c r="BL241" s="50"/>
      <c r="BM241" s="50"/>
      <c r="BN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168"/>
      <c r="Z242" s="50"/>
      <c r="AA242" s="50"/>
      <c r="AB242" s="50"/>
      <c r="AC242" s="168"/>
      <c r="AD242" s="168"/>
      <c r="AE242" s="168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  <c r="BL242" s="50"/>
      <c r="BM242" s="50"/>
      <c r="BN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168"/>
      <c r="Z243" s="50"/>
      <c r="AA243" s="50"/>
      <c r="AB243" s="50"/>
      <c r="AC243" s="168"/>
      <c r="AD243" s="168"/>
      <c r="AE243" s="168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  <c r="BL243" s="50"/>
      <c r="BM243" s="50"/>
      <c r="BN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168"/>
      <c r="Z244" s="50"/>
      <c r="AA244" s="50"/>
      <c r="AB244" s="50"/>
      <c r="AC244" s="168"/>
      <c r="AD244" s="168"/>
      <c r="AE244" s="168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  <c r="BL244" s="50"/>
      <c r="BM244" s="50"/>
      <c r="BN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168"/>
      <c r="Z245" s="50"/>
      <c r="AA245" s="50"/>
      <c r="AB245" s="50"/>
      <c r="AC245" s="168"/>
      <c r="AD245" s="168"/>
      <c r="AE245" s="168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50"/>
      <c r="BN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168"/>
      <c r="Z246" s="50"/>
      <c r="AA246" s="50"/>
      <c r="AB246" s="50"/>
      <c r="AC246" s="168"/>
      <c r="AD246" s="168"/>
      <c r="AE246" s="168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50"/>
      <c r="BN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168"/>
      <c r="Z247" s="50"/>
      <c r="AA247" s="50"/>
      <c r="AB247" s="50"/>
      <c r="AC247" s="168"/>
      <c r="AD247" s="168"/>
      <c r="AE247" s="168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  <c r="BL247" s="50"/>
      <c r="BM247" s="50"/>
      <c r="BN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168"/>
      <c r="Z248" s="50"/>
      <c r="AA248" s="50"/>
      <c r="AB248" s="50"/>
      <c r="AC248" s="168"/>
      <c r="AD248" s="168"/>
      <c r="AE248" s="168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/>
      <c r="BE248" s="50"/>
      <c r="BF248" s="50"/>
      <c r="BG248" s="50"/>
      <c r="BH248" s="50"/>
      <c r="BI248" s="50"/>
      <c r="BJ248" s="50"/>
      <c r="BK248" s="50"/>
      <c r="BL248" s="50"/>
      <c r="BM248" s="50"/>
      <c r="BN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168"/>
      <c r="Z249" s="50"/>
      <c r="AA249" s="50"/>
      <c r="AB249" s="50"/>
      <c r="AC249" s="168"/>
      <c r="AD249" s="168"/>
      <c r="AE249" s="168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  <c r="BL249" s="50"/>
      <c r="BM249" s="50"/>
      <c r="BN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168"/>
      <c r="Z250" s="50"/>
      <c r="AA250" s="50"/>
      <c r="AB250" s="50"/>
      <c r="AC250" s="168"/>
      <c r="AD250" s="168"/>
      <c r="AE250" s="168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/>
      <c r="BL250" s="50"/>
      <c r="BM250" s="50"/>
      <c r="BN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168"/>
      <c r="Z251" s="50"/>
      <c r="AA251" s="50"/>
      <c r="AB251" s="50"/>
      <c r="AC251" s="168"/>
      <c r="AD251" s="168"/>
      <c r="AE251" s="168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  <c r="BK251" s="50"/>
      <c r="BL251" s="50"/>
      <c r="BM251" s="50"/>
      <c r="BN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168"/>
      <c r="Z252" s="50"/>
      <c r="AA252" s="50"/>
      <c r="AB252" s="50"/>
      <c r="AC252" s="168"/>
      <c r="AD252" s="168"/>
      <c r="AE252" s="168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/>
      <c r="BL252" s="50"/>
      <c r="BM252" s="50"/>
      <c r="BN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168"/>
      <c r="Z253" s="50"/>
      <c r="AA253" s="50"/>
      <c r="AB253" s="50"/>
      <c r="AC253" s="168"/>
      <c r="AD253" s="168"/>
      <c r="AE253" s="168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/>
      <c r="BL253" s="50"/>
      <c r="BM253" s="50"/>
      <c r="BN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168"/>
      <c r="Z254" s="50"/>
      <c r="AA254" s="50"/>
      <c r="AB254" s="50"/>
      <c r="AC254" s="168"/>
      <c r="AD254" s="168"/>
      <c r="AE254" s="168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/>
      <c r="BL254" s="50"/>
      <c r="BM254" s="50"/>
      <c r="BN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168"/>
      <c r="Z255" s="50"/>
      <c r="AA255" s="50"/>
      <c r="AB255" s="50"/>
      <c r="AC255" s="168"/>
      <c r="AD255" s="168"/>
      <c r="AE255" s="168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/>
      <c r="BE255" s="50"/>
      <c r="BF255" s="50"/>
      <c r="BG255" s="50"/>
      <c r="BH255" s="50"/>
      <c r="BI255" s="50"/>
      <c r="BJ255" s="50"/>
      <c r="BK255" s="50"/>
      <c r="BL255" s="50"/>
      <c r="BM255" s="50"/>
      <c r="BN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168"/>
      <c r="Z256" s="50"/>
      <c r="AA256" s="50"/>
      <c r="AB256" s="50"/>
      <c r="AC256" s="168"/>
      <c r="AD256" s="168"/>
      <c r="AE256" s="168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  <c r="BK256" s="50"/>
      <c r="BL256" s="50"/>
      <c r="BM256" s="50"/>
      <c r="BN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168"/>
      <c r="Z257" s="50"/>
      <c r="AA257" s="50"/>
      <c r="AB257" s="50"/>
      <c r="AC257" s="168"/>
      <c r="AD257" s="168"/>
      <c r="AE257" s="168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  <c r="BK257" s="50"/>
      <c r="BL257" s="50"/>
      <c r="BM257" s="50"/>
      <c r="BN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168"/>
      <c r="Z258" s="50"/>
      <c r="AA258" s="50"/>
      <c r="AB258" s="50"/>
      <c r="AC258" s="168"/>
      <c r="AD258" s="168"/>
      <c r="AE258" s="168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  <c r="BK258" s="50"/>
      <c r="BL258" s="50"/>
      <c r="BM258" s="50"/>
      <c r="BN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168"/>
      <c r="Z259" s="50"/>
      <c r="AA259" s="50"/>
      <c r="AB259" s="50"/>
      <c r="AC259" s="168"/>
      <c r="AD259" s="168"/>
      <c r="AE259" s="168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  <c r="BK259" s="50"/>
      <c r="BL259" s="50"/>
      <c r="BM259" s="50"/>
      <c r="BN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168"/>
      <c r="Z260" s="50"/>
      <c r="AA260" s="50"/>
      <c r="AB260" s="50"/>
      <c r="AC260" s="168"/>
      <c r="AD260" s="168"/>
      <c r="AE260" s="168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/>
      <c r="BE260" s="50"/>
      <c r="BF260" s="50"/>
      <c r="BG260" s="50"/>
      <c r="BH260" s="50"/>
      <c r="BI260" s="50"/>
      <c r="BJ260" s="50"/>
      <c r="BK260" s="50"/>
      <c r="BL260" s="50"/>
      <c r="BM260" s="50"/>
      <c r="BN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168"/>
      <c r="Z261" s="50"/>
      <c r="AA261" s="50"/>
      <c r="AB261" s="50"/>
      <c r="AC261" s="168"/>
      <c r="AD261" s="168"/>
      <c r="AE261" s="168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  <c r="BL261" s="50"/>
      <c r="BM261" s="50"/>
      <c r="BN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168"/>
      <c r="Z262" s="50"/>
      <c r="AA262" s="50"/>
      <c r="AB262" s="50"/>
      <c r="AC262" s="168"/>
      <c r="AD262" s="168"/>
      <c r="AE262" s="168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/>
      <c r="BL262" s="50"/>
      <c r="BM262" s="50"/>
      <c r="BN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168"/>
      <c r="Z263" s="50"/>
      <c r="AA263" s="50"/>
      <c r="AB263" s="50"/>
      <c r="AC263" s="168"/>
      <c r="AD263" s="168"/>
      <c r="AE263" s="168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/>
      <c r="BL263" s="50"/>
      <c r="BM263" s="50"/>
      <c r="BN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168"/>
      <c r="Z264" s="50"/>
      <c r="AA264" s="50"/>
      <c r="AB264" s="50"/>
      <c r="AC264" s="168"/>
      <c r="AD264" s="168"/>
      <c r="AE264" s="168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/>
      <c r="BL264" s="50"/>
      <c r="BM264" s="50"/>
      <c r="BN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168"/>
      <c r="Z265" s="50"/>
      <c r="AA265" s="50"/>
      <c r="AB265" s="50"/>
      <c r="AC265" s="168"/>
      <c r="AD265" s="168"/>
      <c r="AE265" s="168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168"/>
      <c r="Z266" s="50"/>
      <c r="AA266" s="50"/>
      <c r="AB266" s="50"/>
      <c r="AC266" s="168"/>
      <c r="AD266" s="168"/>
      <c r="AE266" s="168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  <c r="BL266" s="50"/>
      <c r="BM266" s="50"/>
      <c r="BN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168"/>
      <c r="Z267" s="50"/>
      <c r="AA267" s="50"/>
      <c r="AB267" s="50"/>
      <c r="AC267" s="168"/>
      <c r="AD267" s="168"/>
      <c r="AE267" s="168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168"/>
      <c r="Z268" s="50"/>
      <c r="AA268" s="50"/>
      <c r="AB268" s="50"/>
      <c r="AC268" s="168"/>
      <c r="AD268" s="168"/>
      <c r="AE268" s="168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  <c r="BK268" s="50"/>
      <c r="BL268" s="50"/>
      <c r="BM268" s="50"/>
      <c r="BN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168"/>
      <c r="Z269" s="50"/>
      <c r="AA269" s="50"/>
      <c r="AB269" s="50"/>
      <c r="AC269" s="168"/>
      <c r="AD269" s="168"/>
      <c r="AE269" s="168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168"/>
      <c r="Z270" s="50"/>
      <c r="AA270" s="50"/>
      <c r="AB270" s="50"/>
      <c r="AC270" s="168"/>
      <c r="AD270" s="168"/>
      <c r="AE270" s="168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  <c r="BL270" s="50"/>
      <c r="BM270" s="50"/>
      <c r="BN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168"/>
      <c r="Z271" s="50"/>
      <c r="AA271" s="50"/>
      <c r="AB271" s="50"/>
      <c r="AC271" s="168"/>
      <c r="AD271" s="168"/>
      <c r="AE271" s="168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50"/>
      <c r="BN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168"/>
      <c r="Z272" s="50"/>
      <c r="AA272" s="50"/>
      <c r="AB272" s="50"/>
      <c r="AC272" s="168"/>
      <c r="AD272" s="168"/>
      <c r="AE272" s="168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  <c r="BL272" s="50"/>
      <c r="BM272" s="50"/>
      <c r="BN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168"/>
      <c r="Z273" s="50"/>
      <c r="AA273" s="50"/>
      <c r="AB273" s="50"/>
      <c r="AC273" s="168"/>
      <c r="AD273" s="168"/>
      <c r="AE273" s="168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  <c r="BK273" s="50"/>
      <c r="BL273" s="50"/>
      <c r="BM273" s="50"/>
      <c r="BN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168"/>
      <c r="Z274" s="50"/>
      <c r="AA274" s="50"/>
      <c r="AB274" s="50"/>
      <c r="AC274" s="168"/>
      <c r="AD274" s="168"/>
      <c r="AE274" s="168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  <c r="BK274" s="50"/>
      <c r="BL274" s="50"/>
      <c r="BM274" s="50"/>
      <c r="BN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168"/>
      <c r="Z275" s="50"/>
      <c r="AA275" s="50"/>
      <c r="AB275" s="50"/>
      <c r="AC275" s="168"/>
      <c r="AD275" s="168"/>
      <c r="AE275" s="168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  <c r="BK275" s="50"/>
      <c r="BL275" s="50"/>
      <c r="BM275" s="50"/>
      <c r="BN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168"/>
      <c r="Z276" s="50"/>
      <c r="AA276" s="50"/>
      <c r="AB276" s="50"/>
      <c r="AC276" s="168"/>
      <c r="AD276" s="168"/>
      <c r="AE276" s="168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  <c r="BI276" s="50"/>
      <c r="BJ276" s="50"/>
      <c r="BK276" s="50"/>
      <c r="BL276" s="50"/>
      <c r="BM276" s="50"/>
      <c r="BN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168"/>
      <c r="Z277" s="50"/>
      <c r="AA277" s="50"/>
      <c r="AB277" s="50"/>
      <c r="AC277" s="168"/>
      <c r="AD277" s="168"/>
      <c r="AE277" s="168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  <c r="BI277" s="50"/>
      <c r="BJ277" s="50"/>
      <c r="BK277" s="50"/>
      <c r="BL277" s="50"/>
      <c r="BM277" s="50"/>
      <c r="BN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168"/>
      <c r="Z278" s="50"/>
      <c r="AA278" s="50"/>
      <c r="AB278" s="50"/>
      <c r="AC278" s="168"/>
      <c r="AD278" s="168"/>
      <c r="AE278" s="168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  <c r="BL278" s="50"/>
      <c r="BM278" s="50"/>
      <c r="BN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168"/>
      <c r="Z279" s="50"/>
      <c r="AA279" s="50"/>
      <c r="AB279" s="50"/>
      <c r="AC279" s="168"/>
      <c r="AD279" s="168"/>
      <c r="AE279" s="168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  <c r="BK279" s="50"/>
      <c r="BL279" s="50"/>
      <c r="BM279" s="50"/>
      <c r="BN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168"/>
      <c r="Z280" s="50"/>
      <c r="AA280" s="50"/>
      <c r="AB280" s="50"/>
      <c r="AC280" s="168"/>
      <c r="AD280" s="168"/>
      <c r="AE280" s="168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  <c r="BI280" s="50"/>
      <c r="BJ280" s="50"/>
      <c r="BK280" s="50"/>
      <c r="BL280" s="50"/>
      <c r="BM280" s="50"/>
      <c r="BN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168"/>
      <c r="Z281" s="50"/>
      <c r="AA281" s="50"/>
      <c r="AB281" s="50"/>
      <c r="AC281" s="168"/>
      <c r="AD281" s="168"/>
      <c r="AE281" s="168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/>
      <c r="BJ281" s="50"/>
      <c r="BK281" s="50"/>
      <c r="BL281" s="50"/>
      <c r="BM281" s="50"/>
      <c r="BN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168"/>
      <c r="Z282" s="50"/>
      <c r="AA282" s="50"/>
      <c r="AB282" s="50"/>
      <c r="AC282" s="168"/>
      <c r="AD282" s="168"/>
      <c r="AE282" s="168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0"/>
      <c r="BK282" s="50"/>
      <c r="BL282" s="50"/>
      <c r="BM282" s="50"/>
      <c r="BN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168"/>
      <c r="Z283" s="50"/>
      <c r="AA283" s="50"/>
      <c r="AB283" s="50"/>
      <c r="AC283" s="168"/>
      <c r="AD283" s="168"/>
      <c r="AE283" s="168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  <c r="BK283" s="50"/>
      <c r="BL283" s="50"/>
      <c r="BM283" s="50"/>
      <c r="BN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168"/>
      <c r="Z284" s="50"/>
      <c r="AA284" s="50"/>
      <c r="AB284" s="50"/>
      <c r="AC284" s="168"/>
      <c r="AD284" s="168"/>
      <c r="AE284" s="168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  <c r="BL284" s="50"/>
      <c r="BM284" s="50"/>
      <c r="BN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168"/>
      <c r="Z285" s="50"/>
      <c r="AA285" s="50"/>
      <c r="AB285" s="50"/>
      <c r="AC285" s="168"/>
      <c r="AD285" s="168"/>
      <c r="AE285" s="168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  <c r="BK285" s="50"/>
      <c r="BL285" s="50"/>
      <c r="BM285" s="50"/>
      <c r="BN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168"/>
      <c r="Z286" s="50"/>
      <c r="AA286" s="50"/>
      <c r="AB286" s="50"/>
      <c r="AC286" s="168"/>
      <c r="AD286" s="168"/>
      <c r="AE286" s="168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50"/>
      <c r="BE286" s="50"/>
      <c r="BF286" s="50"/>
      <c r="BG286" s="50"/>
      <c r="BH286" s="50"/>
      <c r="BI286" s="50"/>
      <c r="BJ286" s="50"/>
      <c r="BK286" s="50"/>
      <c r="BL286" s="50"/>
      <c r="BM286" s="50"/>
      <c r="BN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168"/>
      <c r="Z287" s="50"/>
      <c r="AA287" s="50"/>
      <c r="AB287" s="50"/>
      <c r="AC287" s="168"/>
      <c r="AD287" s="168"/>
      <c r="AE287" s="168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/>
      <c r="BJ287" s="50"/>
      <c r="BK287" s="50"/>
      <c r="BL287" s="50"/>
      <c r="BM287" s="50"/>
      <c r="BN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168"/>
      <c r="Z288" s="50"/>
      <c r="AA288" s="50"/>
      <c r="AB288" s="50"/>
      <c r="AC288" s="168"/>
      <c r="AD288" s="168"/>
      <c r="AE288" s="168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0"/>
      <c r="BE288" s="50"/>
      <c r="BF288" s="50"/>
      <c r="BG288" s="50"/>
      <c r="BH288" s="50"/>
      <c r="BI288" s="50"/>
      <c r="BJ288" s="50"/>
      <c r="BK288" s="50"/>
      <c r="BL288" s="50"/>
      <c r="BM288" s="50"/>
      <c r="BN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168"/>
      <c r="Z289" s="50"/>
      <c r="AA289" s="50"/>
      <c r="AB289" s="50"/>
      <c r="AC289" s="168"/>
      <c r="AD289" s="168"/>
      <c r="AE289" s="168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/>
      <c r="BJ289" s="50"/>
      <c r="BK289" s="50"/>
      <c r="BL289" s="50"/>
      <c r="BM289" s="50"/>
      <c r="BN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168"/>
      <c r="Z290" s="50"/>
      <c r="AA290" s="50"/>
      <c r="AB290" s="50"/>
      <c r="AC290" s="168"/>
      <c r="AD290" s="168"/>
      <c r="AE290" s="168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  <c r="BI290" s="50"/>
      <c r="BJ290" s="50"/>
      <c r="BK290" s="50"/>
      <c r="BL290" s="50"/>
      <c r="BM290" s="50"/>
      <c r="BN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168"/>
      <c r="Z291" s="50"/>
      <c r="AA291" s="50"/>
      <c r="AB291" s="50"/>
      <c r="AC291" s="168"/>
      <c r="AD291" s="168"/>
      <c r="AE291" s="168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  <c r="BI291" s="50"/>
      <c r="BJ291" s="50"/>
      <c r="BK291" s="50"/>
      <c r="BL291" s="50"/>
      <c r="BM291" s="50"/>
      <c r="BN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168"/>
      <c r="Z292" s="50"/>
      <c r="AA292" s="50"/>
      <c r="AB292" s="50"/>
      <c r="AC292" s="168"/>
      <c r="AD292" s="168"/>
      <c r="AE292" s="168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  <c r="BI292" s="50"/>
      <c r="BJ292" s="50"/>
      <c r="BK292" s="50"/>
      <c r="BL292" s="50"/>
      <c r="BM292" s="50"/>
      <c r="BN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168"/>
      <c r="Z293" s="50"/>
      <c r="AA293" s="50"/>
      <c r="AB293" s="50"/>
      <c r="AC293" s="168"/>
      <c r="AD293" s="168"/>
      <c r="AE293" s="168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/>
      <c r="BJ293" s="50"/>
      <c r="BK293" s="50"/>
      <c r="BL293" s="50"/>
      <c r="BM293" s="50"/>
      <c r="BN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168"/>
      <c r="Z294" s="50"/>
      <c r="AA294" s="50"/>
      <c r="AB294" s="50"/>
      <c r="AC294" s="168"/>
      <c r="AD294" s="168"/>
      <c r="AE294" s="168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  <c r="BI294" s="50"/>
      <c r="BJ294" s="50"/>
      <c r="BK294" s="50"/>
      <c r="BL294" s="50"/>
      <c r="BM294" s="50"/>
      <c r="BN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168"/>
      <c r="Z295" s="50"/>
      <c r="AA295" s="50"/>
      <c r="AB295" s="50"/>
      <c r="AC295" s="168"/>
      <c r="AD295" s="168"/>
      <c r="AE295" s="168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/>
      <c r="BJ295" s="50"/>
      <c r="BK295" s="50"/>
      <c r="BL295" s="50"/>
      <c r="BM295" s="50"/>
      <c r="BN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168"/>
      <c r="Z296" s="50"/>
      <c r="AA296" s="50"/>
      <c r="AB296" s="50"/>
      <c r="AC296" s="168"/>
      <c r="AD296" s="168"/>
      <c r="AE296" s="168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/>
      <c r="BJ296" s="50"/>
      <c r="BK296" s="50"/>
      <c r="BL296" s="50"/>
      <c r="BM296" s="50"/>
      <c r="BN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168"/>
      <c r="Z297" s="50"/>
      <c r="AA297" s="50"/>
      <c r="AB297" s="50"/>
      <c r="AC297" s="168"/>
      <c r="AD297" s="168"/>
      <c r="AE297" s="168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/>
      <c r="BJ297" s="50"/>
      <c r="BK297" s="50"/>
      <c r="BL297" s="50"/>
      <c r="BM297" s="50"/>
      <c r="BN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168"/>
      <c r="Z298" s="50"/>
      <c r="AA298" s="50"/>
      <c r="AB298" s="50"/>
      <c r="AC298" s="168"/>
      <c r="AD298" s="168"/>
      <c r="AE298" s="168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/>
      <c r="BE298" s="50"/>
      <c r="BF298" s="50"/>
      <c r="BG298" s="50"/>
      <c r="BH298" s="50"/>
      <c r="BI298" s="50"/>
      <c r="BJ298" s="50"/>
      <c r="BK298" s="50"/>
      <c r="BL298" s="50"/>
      <c r="BM298" s="50"/>
      <c r="BN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168"/>
      <c r="Z299" s="50"/>
      <c r="AA299" s="50"/>
      <c r="AB299" s="50"/>
      <c r="AC299" s="168"/>
      <c r="AD299" s="168"/>
      <c r="AE299" s="168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  <c r="BI299" s="50"/>
      <c r="BJ299" s="50"/>
      <c r="BK299" s="50"/>
      <c r="BL299" s="50"/>
      <c r="BM299" s="50"/>
      <c r="BN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168"/>
      <c r="Z300" s="50"/>
      <c r="AA300" s="50"/>
      <c r="AB300" s="50"/>
      <c r="AC300" s="168"/>
      <c r="AD300" s="168"/>
      <c r="AE300" s="168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/>
      <c r="BE300" s="50"/>
      <c r="BF300" s="50"/>
      <c r="BG300" s="50"/>
      <c r="BH300" s="50"/>
      <c r="BI300" s="50"/>
      <c r="BJ300" s="50"/>
      <c r="BK300" s="50"/>
      <c r="BL300" s="50"/>
      <c r="BM300" s="50"/>
      <c r="BN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168"/>
      <c r="Z301" s="50"/>
      <c r="AA301" s="50"/>
      <c r="AB301" s="50"/>
      <c r="AC301" s="168"/>
      <c r="AD301" s="168"/>
      <c r="AE301" s="168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/>
      <c r="BJ301" s="50"/>
      <c r="BK301" s="50"/>
      <c r="BL301" s="50"/>
      <c r="BM301" s="50"/>
      <c r="BN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168"/>
      <c r="Z302" s="50"/>
      <c r="AA302" s="50"/>
      <c r="AB302" s="50"/>
      <c r="AC302" s="168"/>
      <c r="AD302" s="168"/>
      <c r="AE302" s="168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50"/>
      <c r="BH302" s="50"/>
      <c r="BI302" s="50"/>
      <c r="BJ302" s="50"/>
      <c r="BK302" s="50"/>
      <c r="BL302" s="50"/>
      <c r="BM302" s="50"/>
      <c r="BN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168"/>
      <c r="Z303" s="50"/>
      <c r="AA303" s="50"/>
      <c r="AB303" s="50"/>
      <c r="AC303" s="168"/>
      <c r="AD303" s="168"/>
      <c r="AE303" s="168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/>
      <c r="BJ303" s="50"/>
      <c r="BK303" s="50"/>
      <c r="BL303" s="50"/>
      <c r="BM303" s="50"/>
      <c r="BN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168"/>
      <c r="Z304" s="50"/>
      <c r="AA304" s="50"/>
      <c r="AB304" s="50"/>
      <c r="AC304" s="168"/>
      <c r="AD304" s="168"/>
      <c r="AE304" s="168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/>
      <c r="BJ304" s="50"/>
      <c r="BK304" s="50"/>
      <c r="BL304" s="50"/>
      <c r="BM304" s="50"/>
      <c r="BN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168"/>
      <c r="Z305" s="50"/>
      <c r="AA305" s="50"/>
      <c r="AB305" s="50"/>
      <c r="AC305" s="168"/>
      <c r="AD305" s="168"/>
      <c r="AE305" s="168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168"/>
      <c r="Z306" s="50"/>
      <c r="AA306" s="50"/>
      <c r="AB306" s="50"/>
      <c r="AC306" s="168"/>
      <c r="AD306" s="168"/>
      <c r="AE306" s="168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0"/>
      <c r="BE306" s="50"/>
      <c r="BF306" s="50"/>
      <c r="BG306" s="50"/>
      <c r="BH306" s="50"/>
      <c r="BI306" s="50"/>
      <c r="BJ306" s="50"/>
      <c r="BK306" s="50"/>
      <c r="BL306" s="50"/>
      <c r="BM306" s="50"/>
      <c r="BN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168"/>
      <c r="Z307" s="50"/>
      <c r="AA307" s="50"/>
      <c r="AB307" s="50"/>
      <c r="AC307" s="168"/>
      <c r="AD307" s="168"/>
      <c r="AE307" s="168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168"/>
      <c r="Z308" s="50"/>
      <c r="AA308" s="50"/>
      <c r="AB308" s="50"/>
      <c r="AC308" s="168"/>
      <c r="AD308" s="168"/>
      <c r="AE308" s="168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  <c r="BI308" s="50"/>
      <c r="BJ308" s="50"/>
      <c r="BK308" s="50"/>
      <c r="BL308" s="50"/>
      <c r="BM308" s="50"/>
      <c r="BN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168"/>
      <c r="Z309" s="50"/>
      <c r="AA309" s="50"/>
      <c r="AB309" s="50"/>
      <c r="AC309" s="168"/>
      <c r="AD309" s="168"/>
      <c r="AE309" s="168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168"/>
      <c r="Z310" s="50"/>
      <c r="AA310" s="50"/>
      <c r="AB310" s="50"/>
      <c r="AC310" s="168"/>
      <c r="AD310" s="168"/>
      <c r="AE310" s="168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/>
      <c r="BE310" s="50"/>
      <c r="BF310" s="50"/>
      <c r="BG310" s="50"/>
      <c r="BH310" s="50"/>
      <c r="BI310" s="50"/>
      <c r="BJ310" s="50"/>
      <c r="BK310" s="50"/>
      <c r="BL310" s="50"/>
      <c r="BM310" s="50"/>
      <c r="BN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168"/>
      <c r="Z311" s="50"/>
      <c r="AA311" s="50"/>
      <c r="AB311" s="50"/>
      <c r="AC311" s="168"/>
      <c r="AD311" s="168"/>
      <c r="AE311" s="168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50"/>
      <c r="BF311" s="50"/>
      <c r="BG311" s="50"/>
      <c r="BH311" s="50"/>
      <c r="BI311" s="50"/>
      <c r="BJ311" s="50"/>
      <c r="BK311" s="50"/>
      <c r="BL311" s="50"/>
      <c r="BM311" s="50"/>
      <c r="BN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168"/>
      <c r="Z312" s="50"/>
      <c r="AA312" s="50"/>
      <c r="AB312" s="50"/>
      <c r="AC312" s="168"/>
      <c r="AD312" s="168"/>
      <c r="AE312" s="168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/>
      <c r="BJ312" s="50"/>
      <c r="BK312" s="50"/>
      <c r="BL312" s="50"/>
      <c r="BM312" s="50"/>
      <c r="BN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168"/>
      <c r="Z313" s="50"/>
      <c r="AA313" s="50"/>
      <c r="AB313" s="50"/>
      <c r="AC313" s="168"/>
      <c r="AD313" s="168"/>
      <c r="AE313" s="168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/>
      <c r="BJ313" s="50"/>
      <c r="BK313" s="50"/>
      <c r="BL313" s="50"/>
      <c r="BM313" s="50"/>
      <c r="BN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168"/>
      <c r="Z314" s="50"/>
      <c r="AA314" s="50"/>
      <c r="AB314" s="50"/>
      <c r="AC314" s="168"/>
      <c r="AD314" s="168"/>
      <c r="AE314" s="168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/>
      <c r="BJ314" s="50"/>
      <c r="BK314" s="50"/>
      <c r="BL314" s="50"/>
      <c r="BM314" s="50"/>
      <c r="BN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168"/>
      <c r="Z315" s="50"/>
      <c r="AA315" s="50"/>
      <c r="AB315" s="50"/>
      <c r="AC315" s="168"/>
      <c r="AD315" s="168"/>
      <c r="AE315" s="168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/>
      <c r="BJ315" s="50"/>
      <c r="BK315" s="50"/>
      <c r="BL315" s="50"/>
      <c r="BM315" s="50"/>
      <c r="BN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168"/>
      <c r="Z316" s="50"/>
      <c r="AA316" s="50"/>
      <c r="AB316" s="50"/>
      <c r="AC316" s="168"/>
      <c r="AD316" s="168"/>
      <c r="AE316" s="168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/>
      <c r="BJ316" s="50"/>
      <c r="BK316" s="50"/>
      <c r="BL316" s="50"/>
      <c r="BM316" s="50"/>
      <c r="BN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168"/>
      <c r="Z317" s="50"/>
      <c r="AA317" s="50"/>
      <c r="AB317" s="50"/>
      <c r="AC317" s="168"/>
      <c r="AD317" s="168"/>
      <c r="AE317" s="168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  <c r="BI317" s="50"/>
      <c r="BJ317" s="50"/>
      <c r="BK317" s="50"/>
      <c r="BL317" s="50"/>
      <c r="BM317" s="50"/>
      <c r="BN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168"/>
      <c r="Z318" s="50"/>
      <c r="AA318" s="50"/>
      <c r="AB318" s="50"/>
      <c r="AC318" s="168"/>
      <c r="AD318" s="168"/>
      <c r="AE318" s="168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  <c r="BI318" s="50"/>
      <c r="BJ318" s="50"/>
      <c r="BK318" s="50"/>
      <c r="BL318" s="50"/>
      <c r="BM318" s="50"/>
      <c r="BN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168"/>
      <c r="Z319" s="50"/>
      <c r="AA319" s="50"/>
      <c r="AB319" s="50"/>
      <c r="AC319" s="168"/>
      <c r="AD319" s="168"/>
      <c r="AE319" s="168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  <c r="BI319" s="50"/>
      <c r="BJ319" s="50"/>
      <c r="BK319" s="50"/>
      <c r="BL319" s="50"/>
      <c r="BM319" s="50"/>
      <c r="BN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168"/>
      <c r="Z320" s="50"/>
      <c r="AA320" s="50"/>
      <c r="AB320" s="50"/>
      <c r="AC320" s="168"/>
      <c r="AD320" s="168"/>
      <c r="AE320" s="168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/>
      <c r="BJ320" s="50"/>
      <c r="BK320" s="50"/>
      <c r="BL320" s="50"/>
      <c r="BM320" s="50"/>
      <c r="BN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168"/>
      <c r="Z321" s="50"/>
      <c r="AA321" s="50"/>
      <c r="AB321" s="50"/>
      <c r="AC321" s="168"/>
      <c r="AD321" s="168"/>
      <c r="AE321" s="168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/>
      <c r="BJ321" s="50"/>
      <c r="BK321" s="50"/>
      <c r="BL321" s="50"/>
      <c r="BM321" s="50"/>
      <c r="BN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168"/>
      <c r="Z322" s="50"/>
      <c r="AA322" s="50"/>
      <c r="AB322" s="50"/>
      <c r="AC322" s="168"/>
      <c r="AD322" s="168"/>
      <c r="AE322" s="168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  <c r="BL322" s="50"/>
      <c r="BM322" s="50"/>
      <c r="BN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168"/>
      <c r="Z323" s="50"/>
      <c r="AA323" s="50"/>
      <c r="AB323" s="50"/>
      <c r="AC323" s="168"/>
      <c r="AD323" s="168"/>
      <c r="AE323" s="168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/>
      <c r="BJ323" s="50"/>
      <c r="BK323" s="50"/>
      <c r="BL323" s="50"/>
      <c r="BM323" s="50"/>
      <c r="BN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168"/>
      <c r="Z324" s="50"/>
      <c r="AA324" s="50"/>
      <c r="AB324" s="50"/>
      <c r="AC324" s="168"/>
      <c r="AD324" s="168"/>
      <c r="AE324" s="168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50"/>
      <c r="BF324" s="50"/>
      <c r="BG324" s="50"/>
      <c r="BH324" s="50"/>
      <c r="BI324" s="50"/>
      <c r="BJ324" s="50"/>
      <c r="BK324" s="50"/>
      <c r="BL324" s="50"/>
      <c r="BM324" s="50"/>
      <c r="BN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168"/>
      <c r="Z325" s="50"/>
      <c r="AA325" s="50"/>
      <c r="AB325" s="50"/>
      <c r="AC325" s="168"/>
      <c r="AD325" s="168"/>
      <c r="AE325" s="168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  <c r="BI325" s="50"/>
      <c r="BJ325" s="50"/>
      <c r="BK325" s="50"/>
      <c r="BL325" s="50"/>
      <c r="BM325" s="50"/>
      <c r="BN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168"/>
      <c r="Z326" s="50"/>
      <c r="AA326" s="50"/>
      <c r="AB326" s="50"/>
      <c r="AC326" s="168"/>
      <c r="AD326" s="168"/>
      <c r="AE326" s="168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/>
      <c r="BE326" s="50"/>
      <c r="BF326" s="50"/>
      <c r="BG326" s="50"/>
      <c r="BH326" s="50"/>
      <c r="BI326" s="50"/>
      <c r="BJ326" s="50"/>
      <c r="BK326" s="50"/>
      <c r="BL326" s="50"/>
      <c r="BM326" s="50"/>
      <c r="BN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168"/>
      <c r="Z327" s="50"/>
      <c r="AA327" s="50"/>
      <c r="AB327" s="50"/>
      <c r="AC327" s="168"/>
      <c r="AD327" s="168"/>
      <c r="AE327" s="168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50"/>
      <c r="BE327" s="50"/>
      <c r="BF327" s="50"/>
      <c r="BG327" s="50"/>
      <c r="BH327" s="50"/>
      <c r="BI327" s="50"/>
      <c r="BJ327" s="50"/>
      <c r="BK327" s="50"/>
      <c r="BL327" s="50"/>
      <c r="BM327" s="50"/>
      <c r="BN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168"/>
      <c r="Z328" s="50"/>
      <c r="AA328" s="50"/>
      <c r="AB328" s="50"/>
      <c r="AC328" s="168"/>
      <c r="AD328" s="168"/>
      <c r="AE328" s="168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/>
      <c r="BJ328" s="50"/>
      <c r="BK328" s="50"/>
      <c r="BL328" s="50"/>
      <c r="BM328" s="50"/>
      <c r="BN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168"/>
      <c r="Z329" s="50"/>
      <c r="AA329" s="50"/>
      <c r="AB329" s="50"/>
      <c r="AC329" s="168"/>
      <c r="AD329" s="168"/>
      <c r="AE329" s="168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/>
      <c r="BJ329" s="50"/>
      <c r="BK329" s="50"/>
      <c r="BL329" s="50"/>
      <c r="BM329" s="50"/>
      <c r="BN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168"/>
      <c r="Z330" s="50"/>
      <c r="AA330" s="50"/>
      <c r="AB330" s="50"/>
      <c r="AC330" s="168"/>
      <c r="AD330" s="168"/>
      <c r="AE330" s="168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0"/>
      <c r="BE330" s="50"/>
      <c r="BF330" s="50"/>
      <c r="BG330" s="50"/>
      <c r="BH330" s="50"/>
      <c r="BI330" s="50"/>
      <c r="BJ330" s="50"/>
      <c r="BK330" s="50"/>
      <c r="BL330" s="50"/>
      <c r="BM330" s="50"/>
      <c r="BN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168"/>
      <c r="Z331" s="50"/>
      <c r="AA331" s="50"/>
      <c r="AB331" s="50"/>
      <c r="AC331" s="168"/>
      <c r="AD331" s="168"/>
      <c r="AE331" s="168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0"/>
      <c r="BE331" s="50"/>
      <c r="BF331" s="50"/>
      <c r="BG331" s="50"/>
      <c r="BH331" s="50"/>
      <c r="BI331" s="50"/>
      <c r="BJ331" s="50"/>
      <c r="BK331" s="50"/>
      <c r="BL331" s="50"/>
      <c r="BM331" s="50"/>
      <c r="BN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168"/>
      <c r="Z332" s="50"/>
      <c r="AA332" s="50"/>
      <c r="AB332" s="50"/>
      <c r="AC332" s="168"/>
      <c r="AD332" s="168"/>
      <c r="AE332" s="168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  <c r="BI332" s="50"/>
      <c r="BJ332" s="50"/>
      <c r="BK332" s="50"/>
      <c r="BL332" s="50"/>
      <c r="BM332" s="50"/>
      <c r="BN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168"/>
      <c r="Z333" s="50"/>
      <c r="AA333" s="50"/>
      <c r="AB333" s="50"/>
      <c r="AC333" s="168"/>
      <c r="AD333" s="168"/>
      <c r="AE333" s="168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50"/>
      <c r="BE333" s="50"/>
      <c r="BF333" s="50"/>
      <c r="BG333" s="50"/>
      <c r="BH333" s="50"/>
      <c r="BI333" s="50"/>
      <c r="BJ333" s="50"/>
      <c r="BK333" s="50"/>
      <c r="BL333" s="50"/>
      <c r="BM333" s="50"/>
      <c r="BN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168"/>
      <c r="Z334" s="50"/>
      <c r="AA334" s="50"/>
      <c r="AB334" s="50"/>
      <c r="AC334" s="168"/>
      <c r="AD334" s="168"/>
      <c r="AE334" s="168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  <c r="BI334" s="50"/>
      <c r="BJ334" s="50"/>
      <c r="BK334" s="50"/>
      <c r="BL334" s="50"/>
      <c r="BM334" s="50"/>
      <c r="BN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168"/>
      <c r="Z335" s="50"/>
      <c r="AA335" s="50"/>
      <c r="AB335" s="50"/>
      <c r="AC335" s="168"/>
      <c r="AD335" s="168"/>
      <c r="AE335" s="168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  <c r="BI335" s="50"/>
      <c r="BJ335" s="50"/>
      <c r="BK335" s="50"/>
      <c r="BL335" s="50"/>
      <c r="BM335" s="50"/>
      <c r="BN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168"/>
      <c r="Z336" s="50"/>
      <c r="AA336" s="50"/>
      <c r="AB336" s="50"/>
      <c r="AC336" s="168"/>
      <c r="AD336" s="168"/>
      <c r="AE336" s="168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0"/>
      <c r="BE336" s="50"/>
      <c r="BF336" s="50"/>
      <c r="BG336" s="50"/>
      <c r="BH336" s="50"/>
      <c r="BI336" s="50"/>
      <c r="BJ336" s="50"/>
      <c r="BK336" s="50"/>
      <c r="BL336" s="50"/>
      <c r="BM336" s="50"/>
      <c r="BN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168"/>
      <c r="Z337" s="50"/>
      <c r="AA337" s="50"/>
      <c r="AB337" s="50"/>
      <c r="AC337" s="168"/>
      <c r="AD337" s="168"/>
      <c r="AE337" s="168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50"/>
      <c r="AQ337" s="50"/>
      <c r="AR337" s="50"/>
      <c r="AS337" s="50"/>
      <c r="AT337" s="50"/>
      <c r="AU337" s="50"/>
      <c r="AV337" s="50"/>
      <c r="AW337" s="50"/>
      <c r="AX337" s="50"/>
      <c r="AY337" s="50"/>
      <c r="AZ337" s="50"/>
      <c r="BA337" s="50"/>
      <c r="BB337" s="50"/>
      <c r="BC337" s="50"/>
      <c r="BD337" s="50"/>
      <c r="BE337" s="50"/>
      <c r="BF337" s="50"/>
      <c r="BG337" s="50"/>
      <c r="BH337" s="50"/>
      <c r="BI337" s="50"/>
      <c r="BJ337" s="50"/>
      <c r="BK337" s="50"/>
      <c r="BL337" s="50"/>
      <c r="BM337" s="50"/>
      <c r="BN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168"/>
      <c r="Z338" s="50"/>
      <c r="AA338" s="50"/>
      <c r="AB338" s="50"/>
      <c r="AC338" s="168"/>
      <c r="AD338" s="168"/>
      <c r="AE338" s="168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50"/>
      <c r="AQ338" s="50"/>
      <c r="AR338" s="50"/>
      <c r="AS338" s="50"/>
      <c r="AT338" s="50"/>
      <c r="AU338" s="50"/>
      <c r="AV338" s="50"/>
      <c r="AW338" s="50"/>
      <c r="AX338" s="50"/>
      <c r="AY338" s="50"/>
      <c r="AZ338" s="50"/>
      <c r="BA338" s="50"/>
      <c r="BB338" s="50"/>
      <c r="BC338" s="50"/>
      <c r="BD338" s="50"/>
      <c r="BE338" s="50"/>
      <c r="BF338" s="50"/>
      <c r="BG338" s="50"/>
      <c r="BH338" s="50"/>
      <c r="BI338" s="50"/>
      <c r="BJ338" s="50"/>
      <c r="BK338" s="50"/>
      <c r="BL338" s="50"/>
      <c r="BM338" s="50"/>
      <c r="BN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168"/>
      <c r="Z339" s="50"/>
      <c r="AA339" s="50"/>
      <c r="AB339" s="50"/>
      <c r="AC339" s="168"/>
      <c r="AD339" s="168"/>
      <c r="AE339" s="168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50"/>
      <c r="AQ339" s="50"/>
      <c r="AR339" s="50"/>
      <c r="AS339" s="50"/>
      <c r="AT339" s="50"/>
      <c r="AU339" s="50"/>
      <c r="AV339" s="50"/>
      <c r="AW339" s="50"/>
      <c r="AX339" s="50"/>
      <c r="AY339" s="50"/>
      <c r="AZ339" s="50"/>
      <c r="BA339" s="50"/>
      <c r="BB339" s="50"/>
      <c r="BC339" s="50"/>
      <c r="BD339" s="50"/>
      <c r="BE339" s="50"/>
      <c r="BF339" s="50"/>
      <c r="BG339" s="50"/>
      <c r="BH339" s="50"/>
      <c r="BI339" s="50"/>
      <c r="BJ339" s="50"/>
      <c r="BK339" s="50"/>
      <c r="BL339" s="50"/>
      <c r="BM339" s="50"/>
      <c r="BN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168"/>
      <c r="Z340" s="50"/>
      <c r="AA340" s="50"/>
      <c r="AB340" s="50"/>
      <c r="AC340" s="168"/>
      <c r="AD340" s="168"/>
      <c r="AE340" s="168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0"/>
      <c r="BC340" s="50"/>
      <c r="BD340" s="50"/>
      <c r="BE340" s="50"/>
      <c r="BF340" s="50"/>
      <c r="BG340" s="50"/>
      <c r="BH340" s="50"/>
      <c r="BI340" s="50"/>
      <c r="BJ340" s="50"/>
      <c r="BK340" s="50"/>
      <c r="BL340" s="50"/>
      <c r="BM340" s="50"/>
      <c r="BN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168"/>
      <c r="Z341" s="50"/>
      <c r="AA341" s="50"/>
      <c r="AB341" s="50"/>
      <c r="AC341" s="168"/>
      <c r="AD341" s="168"/>
      <c r="AE341" s="168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50"/>
      <c r="BF341" s="50"/>
      <c r="BG341" s="50"/>
      <c r="BH341" s="50"/>
      <c r="BI341" s="50"/>
      <c r="BJ341" s="50"/>
      <c r="BK341" s="50"/>
      <c r="BL341" s="50"/>
      <c r="BM341" s="50"/>
      <c r="BN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168"/>
      <c r="Z342" s="50"/>
      <c r="AA342" s="50"/>
      <c r="AB342" s="50"/>
      <c r="AC342" s="168"/>
      <c r="AD342" s="168"/>
      <c r="AE342" s="168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50"/>
      <c r="BE342" s="50"/>
      <c r="BF342" s="50"/>
      <c r="BG342" s="50"/>
      <c r="BH342" s="50"/>
      <c r="BI342" s="50"/>
      <c r="BJ342" s="50"/>
      <c r="BK342" s="50"/>
      <c r="BL342" s="50"/>
      <c r="BM342" s="50"/>
      <c r="BN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168"/>
      <c r="Z343" s="50"/>
      <c r="AA343" s="50"/>
      <c r="AB343" s="50"/>
      <c r="AC343" s="168"/>
      <c r="AD343" s="168"/>
      <c r="AE343" s="168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50"/>
      <c r="BE343" s="50"/>
      <c r="BF343" s="50"/>
      <c r="BG343" s="50"/>
      <c r="BH343" s="50"/>
      <c r="BI343" s="50"/>
      <c r="BJ343" s="50"/>
      <c r="BK343" s="50"/>
      <c r="BL343" s="50"/>
      <c r="BM343" s="50"/>
      <c r="BN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168"/>
      <c r="Z344" s="50"/>
      <c r="AA344" s="50"/>
      <c r="AB344" s="50"/>
      <c r="AC344" s="168"/>
      <c r="AD344" s="168"/>
      <c r="AE344" s="168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  <c r="AQ344" s="50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0"/>
      <c r="BC344" s="50"/>
      <c r="BD344" s="50"/>
      <c r="BE344" s="50"/>
      <c r="BF344" s="50"/>
      <c r="BG344" s="50"/>
      <c r="BH344" s="50"/>
      <c r="BI344" s="50"/>
      <c r="BJ344" s="50"/>
      <c r="BK344" s="50"/>
      <c r="BL344" s="50"/>
      <c r="BM344" s="50"/>
      <c r="BN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168"/>
      <c r="Z345" s="50"/>
      <c r="AA345" s="50"/>
      <c r="AB345" s="50"/>
      <c r="AC345" s="168"/>
      <c r="AD345" s="168"/>
      <c r="AE345" s="168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/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168"/>
      <c r="Z346" s="50"/>
      <c r="AA346" s="50"/>
      <c r="AB346" s="50"/>
      <c r="AC346" s="168"/>
      <c r="AD346" s="168"/>
      <c r="AE346" s="168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  <c r="AQ346" s="50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0"/>
      <c r="BC346" s="50"/>
      <c r="BD346" s="50"/>
      <c r="BE346" s="50"/>
      <c r="BF346" s="50"/>
      <c r="BG346" s="50"/>
      <c r="BH346" s="50"/>
      <c r="BI346" s="50"/>
      <c r="BJ346" s="50"/>
      <c r="BK346" s="50"/>
      <c r="BL346" s="50"/>
      <c r="BM346" s="50"/>
      <c r="BN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168"/>
      <c r="Z347" s="50"/>
      <c r="AA347" s="50"/>
      <c r="AB347" s="50"/>
      <c r="AC347" s="168"/>
      <c r="AD347" s="168"/>
      <c r="AE347" s="168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/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168"/>
      <c r="Z348" s="50"/>
      <c r="AA348" s="50"/>
      <c r="AB348" s="50"/>
      <c r="AC348" s="168"/>
      <c r="AD348" s="168"/>
      <c r="AE348" s="168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  <c r="AQ348" s="50"/>
      <c r="AR348" s="50"/>
      <c r="AS348" s="50"/>
      <c r="AT348" s="50"/>
      <c r="AU348" s="50"/>
      <c r="AV348" s="50"/>
      <c r="AW348" s="50"/>
      <c r="AX348" s="50"/>
      <c r="AY348" s="50"/>
      <c r="AZ348" s="50"/>
      <c r="BA348" s="50"/>
      <c r="BB348" s="50"/>
      <c r="BC348" s="50"/>
      <c r="BD348" s="50"/>
      <c r="BE348" s="50"/>
      <c r="BF348" s="50"/>
      <c r="BG348" s="50"/>
      <c r="BH348" s="50"/>
      <c r="BI348" s="50"/>
      <c r="BJ348" s="50"/>
      <c r="BK348" s="50"/>
      <c r="BL348" s="50"/>
      <c r="BM348" s="50"/>
      <c r="BN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168"/>
      <c r="Z349" s="50"/>
      <c r="AA349" s="50"/>
      <c r="AB349" s="50"/>
      <c r="AC349" s="168"/>
      <c r="AD349" s="168"/>
      <c r="AE349" s="168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/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168"/>
      <c r="Z350" s="50"/>
      <c r="AA350" s="50"/>
      <c r="AB350" s="50"/>
      <c r="AC350" s="168"/>
      <c r="AD350" s="168"/>
      <c r="AE350" s="168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50"/>
      <c r="AQ350" s="50"/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0"/>
      <c r="BC350" s="50"/>
      <c r="BD350" s="50"/>
      <c r="BE350" s="50"/>
      <c r="BF350" s="50"/>
      <c r="BG350" s="50"/>
      <c r="BH350" s="50"/>
      <c r="BI350" s="50"/>
      <c r="BJ350" s="50"/>
      <c r="BK350" s="50"/>
      <c r="BL350" s="50"/>
      <c r="BM350" s="50"/>
      <c r="BN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168"/>
      <c r="Z351" s="50"/>
      <c r="AA351" s="50"/>
      <c r="AB351" s="50"/>
      <c r="AC351" s="168"/>
      <c r="AD351" s="168"/>
      <c r="AE351" s="168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0"/>
      <c r="BC351" s="50"/>
      <c r="BD351" s="50"/>
      <c r="BE351" s="50"/>
      <c r="BF351" s="50"/>
      <c r="BG351" s="50"/>
      <c r="BH351" s="50"/>
      <c r="BI351" s="50"/>
      <c r="BJ351" s="50"/>
      <c r="BK351" s="50"/>
      <c r="BL351" s="50"/>
      <c r="BM351" s="50"/>
      <c r="BN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168"/>
      <c r="Z352" s="50"/>
      <c r="AA352" s="50"/>
      <c r="AB352" s="50"/>
      <c r="AC352" s="168"/>
      <c r="AD352" s="168"/>
      <c r="AE352" s="168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  <c r="AR352" s="50"/>
      <c r="AS352" s="50"/>
      <c r="AT352" s="50"/>
      <c r="AU352" s="50"/>
      <c r="AV352" s="50"/>
      <c r="AW352" s="50"/>
      <c r="AX352" s="50"/>
      <c r="AY352" s="50"/>
      <c r="AZ352" s="50"/>
      <c r="BA352" s="50"/>
      <c r="BB352" s="50"/>
      <c r="BC352" s="50"/>
      <c r="BD352" s="50"/>
      <c r="BE352" s="50"/>
      <c r="BF352" s="50"/>
      <c r="BG352" s="50"/>
      <c r="BH352" s="50"/>
      <c r="BI352" s="50"/>
      <c r="BJ352" s="50"/>
      <c r="BK352" s="50"/>
      <c r="BL352" s="50"/>
      <c r="BM352" s="50"/>
      <c r="BN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168"/>
      <c r="Z353" s="50"/>
      <c r="AA353" s="50"/>
      <c r="AB353" s="50"/>
      <c r="AC353" s="168"/>
      <c r="AD353" s="168"/>
      <c r="AE353" s="168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  <c r="AR353" s="50"/>
      <c r="AS353" s="50"/>
      <c r="AT353" s="50"/>
      <c r="AU353" s="50"/>
      <c r="AV353" s="50"/>
      <c r="AW353" s="50"/>
      <c r="AX353" s="50"/>
      <c r="AY353" s="50"/>
      <c r="AZ353" s="50"/>
      <c r="BA353" s="50"/>
      <c r="BB353" s="50"/>
      <c r="BC353" s="50"/>
      <c r="BD353" s="50"/>
      <c r="BE353" s="50"/>
      <c r="BF353" s="50"/>
      <c r="BG353" s="50"/>
      <c r="BH353" s="50"/>
      <c r="BI353" s="50"/>
      <c r="BJ353" s="50"/>
      <c r="BK353" s="50"/>
      <c r="BL353" s="50"/>
      <c r="BM353" s="50"/>
      <c r="BN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168"/>
      <c r="Z354" s="50"/>
      <c r="AA354" s="50"/>
      <c r="AB354" s="50"/>
      <c r="AC354" s="168"/>
      <c r="AD354" s="168"/>
      <c r="AE354" s="168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0"/>
      <c r="BC354" s="50"/>
      <c r="BD354" s="50"/>
      <c r="BE354" s="50"/>
      <c r="BF354" s="50"/>
      <c r="BG354" s="50"/>
      <c r="BH354" s="50"/>
      <c r="BI354" s="50"/>
      <c r="BJ354" s="50"/>
      <c r="BK354" s="50"/>
      <c r="BL354" s="50"/>
      <c r="BM354" s="50"/>
      <c r="BN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168"/>
      <c r="Z355" s="50"/>
      <c r="AA355" s="50"/>
      <c r="AB355" s="50"/>
      <c r="AC355" s="168"/>
      <c r="AD355" s="168"/>
      <c r="AE355" s="168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50"/>
      <c r="BE355" s="50"/>
      <c r="BF355" s="50"/>
      <c r="BG355" s="50"/>
      <c r="BH355" s="50"/>
      <c r="BI355" s="50"/>
      <c r="BJ355" s="50"/>
      <c r="BK355" s="50"/>
      <c r="BL355" s="50"/>
      <c r="BM355" s="50"/>
      <c r="BN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168"/>
      <c r="Z356" s="50"/>
      <c r="AA356" s="50"/>
      <c r="AB356" s="50"/>
      <c r="AC356" s="168"/>
      <c r="AD356" s="168"/>
      <c r="AE356" s="168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  <c r="AQ356" s="50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0"/>
      <c r="BC356" s="50"/>
      <c r="BD356" s="50"/>
      <c r="BE356" s="50"/>
      <c r="BF356" s="50"/>
      <c r="BG356" s="50"/>
      <c r="BH356" s="50"/>
      <c r="BI356" s="50"/>
      <c r="BJ356" s="50"/>
      <c r="BK356" s="50"/>
      <c r="BL356" s="50"/>
      <c r="BM356" s="50"/>
      <c r="BN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168"/>
      <c r="Z357" s="50"/>
      <c r="AA357" s="50"/>
      <c r="AB357" s="50"/>
      <c r="AC357" s="168"/>
      <c r="AD357" s="168"/>
      <c r="AE357" s="168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0"/>
      <c r="BC357" s="50"/>
      <c r="BD357" s="50"/>
      <c r="BE357" s="50"/>
      <c r="BF357" s="50"/>
      <c r="BG357" s="50"/>
      <c r="BH357" s="50"/>
      <c r="BI357" s="50"/>
      <c r="BJ357" s="50"/>
      <c r="BK357" s="50"/>
      <c r="BL357" s="50"/>
      <c r="BM357" s="50"/>
      <c r="BN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168"/>
      <c r="Z358" s="50"/>
      <c r="AA358" s="50"/>
      <c r="AB358" s="50"/>
      <c r="AC358" s="168"/>
      <c r="AD358" s="168"/>
      <c r="AE358" s="168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50"/>
      <c r="BE358" s="50"/>
      <c r="BF358" s="50"/>
      <c r="BG358" s="50"/>
      <c r="BH358" s="50"/>
      <c r="BI358" s="50"/>
      <c r="BJ358" s="50"/>
      <c r="BK358" s="50"/>
      <c r="BL358" s="50"/>
      <c r="BM358" s="50"/>
      <c r="BN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168"/>
      <c r="Z359" s="50"/>
      <c r="AA359" s="50"/>
      <c r="AB359" s="50"/>
      <c r="AC359" s="168"/>
      <c r="AD359" s="168"/>
      <c r="AE359" s="168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  <c r="AQ359" s="50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0"/>
      <c r="BC359" s="50"/>
      <c r="BD359" s="50"/>
      <c r="BE359" s="50"/>
      <c r="BF359" s="50"/>
      <c r="BG359" s="50"/>
      <c r="BH359" s="50"/>
      <c r="BI359" s="50"/>
      <c r="BJ359" s="50"/>
      <c r="BK359" s="50"/>
      <c r="BL359" s="50"/>
      <c r="BM359" s="50"/>
      <c r="BN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168"/>
      <c r="Z360" s="50"/>
      <c r="AA360" s="50"/>
      <c r="AB360" s="50"/>
      <c r="AC360" s="168"/>
      <c r="AD360" s="168"/>
      <c r="AE360" s="168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  <c r="AV360" s="50"/>
      <c r="AW360" s="50"/>
      <c r="AX360" s="50"/>
      <c r="AY360" s="50"/>
      <c r="AZ360" s="50"/>
      <c r="BA360" s="50"/>
      <c r="BB360" s="50"/>
      <c r="BC360" s="50"/>
      <c r="BD360" s="50"/>
      <c r="BE360" s="50"/>
      <c r="BF360" s="50"/>
      <c r="BG360" s="50"/>
      <c r="BH360" s="50"/>
      <c r="BI360" s="50"/>
      <c r="BJ360" s="50"/>
      <c r="BK360" s="50"/>
      <c r="BL360" s="50"/>
      <c r="BM360" s="50"/>
      <c r="BN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168"/>
      <c r="Z361" s="50"/>
      <c r="AA361" s="50"/>
      <c r="AB361" s="50"/>
      <c r="AC361" s="168"/>
      <c r="AD361" s="168"/>
      <c r="AE361" s="168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50"/>
      <c r="AQ361" s="50"/>
      <c r="AR361" s="50"/>
      <c r="AS361" s="50"/>
      <c r="AT361" s="50"/>
      <c r="AU361" s="50"/>
      <c r="AV361" s="50"/>
      <c r="AW361" s="50"/>
      <c r="AX361" s="50"/>
      <c r="AY361" s="50"/>
      <c r="AZ361" s="50"/>
      <c r="BA361" s="50"/>
      <c r="BB361" s="50"/>
      <c r="BC361" s="50"/>
      <c r="BD361" s="50"/>
      <c r="BE361" s="50"/>
      <c r="BF361" s="50"/>
      <c r="BG361" s="50"/>
      <c r="BH361" s="50"/>
      <c r="BI361" s="50"/>
      <c r="BJ361" s="50"/>
      <c r="BK361" s="50"/>
      <c r="BL361" s="50"/>
      <c r="BM361" s="50"/>
      <c r="BN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168"/>
      <c r="Z362" s="50"/>
      <c r="AA362" s="50"/>
      <c r="AB362" s="50"/>
      <c r="AC362" s="168"/>
      <c r="AD362" s="168"/>
      <c r="AE362" s="168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50"/>
      <c r="AQ362" s="50"/>
      <c r="AR362" s="50"/>
      <c r="AS362" s="50"/>
      <c r="AT362" s="50"/>
      <c r="AU362" s="50"/>
      <c r="AV362" s="50"/>
      <c r="AW362" s="50"/>
      <c r="AX362" s="50"/>
      <c r="AY362" s="50"/>
      <c r="AZ362" s="50"/>
      <c r="BA362" s="50"/>
      <c r="BB362" s="50"/>
      <c r="BC362" s="50"/>
      <c r="BD362" s="50"/>
      <c r="BE362" s="50"/>
      <c r="BF362" s="50"/>
      <c r="BG362" s="50"/>
      <c r="BH362" s="50"/>
      <c r="BI362" s="50"/>
      <c r="BJ362" s="50"/>
      <c r="BK362" s="50"/>
      <c r="BL362" s="50"/>
      <c r="BM362" s="50"/>
      <c r="BN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168"/>
      <c r="Z363" s="50"/>
      <c r="AA363" s="50"/>
      <c r="AB363" s="50"/>
      <c r="AC363" s="168"/>
      <c r="AD363" s="168"/>
      <c r="AE363" s="168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50"/>
      <c r="AQ363" s="50"/>
      <c r="AR363" s="50"/>
      <c r="AS363" s="50"/>
      <c r="AT363" s="50"/>
      <c r="AU363" s="50"/>
      <c r="AV363" s="50"/>
      <c r="AW363" s="50"/>
      <c r="AX363" s="50"/>
      <c r="AY363" s="50"/>
      <c r="AZ363" s="50"/>
      <c r="BA363" s="50"/>
      <c r="BB363" s="50"/>
      <c r="BC363" s="50"/>
      <c r="BD363" s="50"/>
      <c r="BE363" s="50"/>
      <c r="BF363" s="50"/>
      <c r="BG363" s="50"/>
      <c r="BH363" s="50"/>
      <c r="BI363" s="50"/>
      <c r="BJ363" s="50"/>
      <c r="BK363" s="50"/>
      <c r="BL363" s="50"/>
      <c r="BM363" s="50"/>
      <c r="BN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168"/>
      <c r="Z364" s="50"/>
      <c r="AA364" s="50"/>
      <c r="AB364" s="50"/>
      <c r="AC364" s="168"/>
      <c r="AD364" s="168"/>
      <c r="AE364" s="168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50"/>
      <c r="AQ364" s="50"/>
      <c r="AR364" s="50"/>
      <c r="AS364" s="50"/>
      <c r="AT364" s="50"/>
      <c r="AU364" s="50"/>
      <c r="AV364" s="50"/>
      <c r="AW364" s="50"/>
      <c r="AX364" s="50"/>
      <c r="AY364" s="50"/>
      <c r="AZ364" s="50"/>
      <c r="BA364" s="50"/>
      <c r="BB364" s="50"/>
      <c r="BC364" s="50"/>
      <c r="BD364" s="50"/>
      <c r="BE364" s="50"/>
      <c r="BF364" s="50"/>
      <c r="BG364" s="50"/>
      <c r="BH364" s="50"/>
      <c r="BI364" s="50"/>
      <c r="BJ364" s="50"/>
      <c r="BK364" s="50"/>
      <c r="BL364" s="50"/>
      <c r="BM364" s="50"/>
      <c r="BN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168"/>
      <c r="Z365" s="50"/>
      <c r="AA365" s="50"/>
      <c r="AB365" s="50"/>
      <c r="AC365" s="168"/>
      <c r="AD365" s="168"/>
      <c r="AE365" s="168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50"/>
      <c r="AQ365" s="50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0"/>
      <c r="BC365" s="50"/>
      <c r="BD365" s="50"/>
      <c r="BE365" s="50"/>
      <c r="BF365" s="50"/>
      <c r="BG365" s="50"/>
      <c r="BH365" s="50"/>
      <c r="BI365" s="50"/>
      <c r="BJ365" s="50"/>
      <c r="BK365" s="50"/>
      <c r="BL365" s="50"/>
      <c r="BM365" s="50"/>
      <c r="BN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168"/>
      <c r="Z366" s="50"/>
      <c r="AA366" s="50"/>
      <c r="AB366" s="50"/>
      <c r="AC366" s="168"/>
      <c r="AD366" s="168"/>
      <c r="AE366" s="168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50"/>
      <c r="AQ366" s="50"/>
      <c r="AR366" s="50"/>
      <c r="AS366" s="50"/>
      <c r="AT366" s="50"/>
      <c r="AU366" s="50"/>
      <c r="AV366" s="50"/>
      <c r="AW366" s="50"/>
      <c r="AX366" s="50"/>
      <c r="AY366" s="50"/>
      <c r="AZ366" s="50"/>
      <c r="BA366" s="50"/>
      <c r="BB366" s="50"/>
      <c r="BC366" s="50"/>
      <c r="BD366" s="50"/>
      <c r="BE366" s="50"/>
      <c r="BF366" s="50"/>
      <c r="BG366" s="50"/>
      <c r="BH366" s="50"/>
      <c r="BI366" s="50"/>
      <c r="BJ366" s="50"/>
      <c r="BK366" s="50"/>
      <c r="BL366" s="50"/>
      <c r="BM366" s="50"/>
      <c r="BN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168"/>
      <c r="Z367" s="50"/>
      <c r="AA367" s="50"/>
      <c r="AB367" s="50"/>
      <c r="AC367" s="168"/>
      <c r="AD367" s="168"/>
      <c r="AE367" s="168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50"/>
      <c r="AQ367" s="50"/>
      <c r="AR367" s="50"/>
      <c r="AS367" s="50"/>
      <c r="AT367" s="50"/>
      <c r="AU367" s="50"/>
      <c r="AV367" s="50"/>
      <c r="AW367" s="50"/>
      <c r="AX367" s="50"/>
      <c r="AY367" s="50"/>
      <c r="AZ367" s="50"/>
      <c r="BA367" s="50"/>
      <c r="BB367" s="50"/>
      <c r="BC367" s="50"/>
      <c r="BD367" s="50"/>
      <c r="BE367" s="50"/>
      <c r="BF367" s="50"/>
      <c r="BG367" s="50"/>
      <c r="BH367" s="50"/>
      <c r="BI367" s="50"/>
      <c r="BJ367" s="50"/>
      <c r="BK367" s="50"/>
      <c r="BL367" s="50"/>
      <c r="BM367" s="50"/>
      <c r="BN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168"/>
      <c r="Z368" s="50"/>
      <c r="AA368" s="50"/>
      <c r="AB368" s="50"/>
      <c r="AC368" s="168"/>
      <c r="AD368" s="168"/>
      <c r="AE368" s="168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50"/>
      <c r="BE368" s="50"/>
      <c r="BF368" s="50"/>
      <c r="BG368" s="50"/>
      <c r="BH368" s="50"/>
      <c r="BI368" s="50"/>
      <c r="BJ368" s="50"/>
      <c r="BK368" s="50"/>
      <c r="BL368" s="50"/>
      <c r="BM368" s="50"/>
      <c r="BN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168"/>
      <c r="Z369" s="50"/>
      <c r="AA369" s="50"/>
      <c r="AB369" s="50"/>
      <c r="AC369" s="168"/>
      <c r="AD369" s="168"/>
      <c r="AE369" s="168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50"/>
      <c r="AQ369" s="50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0"/>
      <c r="BC369" s="50"/>
      <c r="BD369" s="50"/>
      <c r="BE369" s="50"/>
      <c r="BF369" s="50"/>
      <c r="BG369" s="50"/>
      <c r="BH369" s="50"/>
      <c r="BI369" s="50"/>
      <c r="BJ369" s="50"/>
      <c r="BK369" s="50"/>
      <c r="BL369" s="50"/>
      <c r="BM369" s="50"/>
      <c r="BN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168"/>
      <c r="Z370" s="50"/>
      <c r="AA370" s="50"/>
      <c r="AB370" s="50"/>
      <c r="AC370" s="168"/>
      <c r="AD370" s="168"/>
      <c r="AE370" s="168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50"/>
      <c r="BE370" s="50"/>
      <c r="BF370" s="50"/>
      <c r="BG370" s="50"/>
      <c r="BH370" s="50"/>
      <c r="BI370" s="50"/>
      <c r="BJ370" s="50"/>
      <c r="BK370" s="50"/>
      <c r="BL370" s="50"/>
      <c r="BM370" s="50"/>
      <c r="BN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168"/>
      <c r="Z371" s="50"/>
      <c r="AA371" s="50"/>
      <c r="AB371" s="50"/>
      <c r="AC371" s="168"/>
      <c r="AD371" s="168"/>
      <c r="AE371" s="168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0"/>
      <c r="BC371" s="50"/>
      <c r="BD371" s="50"/>
      <c r="BE371" s="50"/>
      <c r="BF371" s="50"/>
      <c r="BG371" s="50"/>
      <c r="BH371" s="50"/>
      <c r="BI371" s="50"/>
      <c r="BJ371" s="50"/>
      <c r="BK371" s="50"/>
      <c r="BL371" s="50"/>
      <c r="BM371" s="50"/>
      <c r="BN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168"/>
      <c r="Z372" s="50"/>
      <c r="AA372" s="50"/>
      <c r="AB372" s="50"/>
      <c r="AC372" s="168"/>
      <c r="AD372" s="168"/>
      <c r="AE372" s="168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0"/>
      <c r="AR372" s="50"/>
      <c r="AS372" s="50"/>
      <c r="AT372" s="50"/>
      <c r="AU372" s="50"/>
      <c r="AV372" s="50"/>
      <c r="AW372" s="50"/>
      <c r="AX372" s="50"/>
      <c r="AY372" s="50"/>
      <c r="AZ372" s="50"/>
      <c r="BA372" s="50"/>
      <c r="BB372" s="50"/>
      <c r="BC372" s="50"/>
      <c r="BD372" s="50"/>
      <c r="BE372" s="50"/>
      <c r="BF372" s="50"/>
      <c r="BG372" s="50"/>
      <c r="BH372" s="50"/>
      <c r="BI372" s="50"/>
      <c r="BJ372" s="50"/>
      <c r="BK372" s="50"/>
      <c r="BL372" s="50"/>
      <c r="BM372" s="50"/>
      <c r="BN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168"/>
      <c r="Z373" s="50"/>
      <c r="AA373" s="50"/>
      <c r="AB373" s="50"/>
      <c r="AC373" s="168"/>
      <c r="AD373" s="168"/>
      <c r="AE373" s="168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50"/>
      <c r="AQ373" s="50"/>
      <c r="AR373" s="50"/>
      <c r="AS373" s="50"/>
      <c r="AT373" s="50"/>
      <c r="AU373" s="50"/>
      <c r="AV373" s="50"/>
      <c r="AW373" s="50"/>
      <c r="AX373" s="50"/>
      <c r="AY373" s="50"/>
      <c r="AZ373" s="50"/>
      <c r="BA373" s="50"/>
      <c r="BB373" s="50"/>
      <c r="BC373" s="50"/>
      <c r="BD373" s="50"/>
      <c r="BE373" s="50"/>
      <c r="BF373" s="50"/>
      <c r="BG373" s="50"/>
      <c r="BH373" s="50"/>
      <c r="BI373" s="50"/>
      <c r="BJ373" s="50"/>
      <c r="BK373" s="50"/>
      <c r="BL373" s="50"/>
      <c r="BM373" s="50"/>
      <c r="BN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168"/>
      <c r="Z374" s="50"/>
      <c r="AA374" s="50"/>
      <c r="AB374" s="50"/>
      <c r="AC374" s="168"/>
      <c r="AD374" s="168"/>
      <c r="AE374" s="168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  <c r="BL374" s="50"/>
      <c r="BM374" s="50"/>
      <c r="BN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168"/>
      <c r="Z375" s="50"/>
      <c r="AA375" s="50"/>
      <c r="AB375" s="50"/>
      <c r="AC375" s="168"/>
      <c r="AD375" s="168"/>
      <c r="AE375" s="168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50"/>
      <c r="AQ375" s="50"/>
      <c r="AR375" s="50"/>
      <c r="AS375" s="50"/>
      <c r="AT375" s="50"/>
      <c r="AU375" s="50"/>
      <c r="AV375" s="50"/>
      <c r="AW375" s="50"/>
      <c r="AX375" s="50"/>
      <c r="AY375" s="50"/>
      <c r="AZ375" s="50"/>
      <c r="BA375" s="50"/>
      <c r="BB375" s="50"/>
      <c r="BC375" s="50"/>
      <c r="BD375" s="50"/>
      <c r="BE375" s="50"/>
      <c r="BF375" s="50"/>
      <c r="BG375" s="50"/>
      <c r="BH375" s="50"/>
      <c r="BI375" s="50"/>
      <c r="BJ375" s="50"/>
      <c r="BK375" s="50"/>
      <c r="BL375" s="50"/>
      <c r="BM375" s="50"/>
      <c r="BN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168"/>
      <c r="Z376" s="50"/>
      <c r="AA376" s="50"/>
      <c r="AB376" s="50"/>
      <c r="AC376" s="168"/>
      <c r="AD376" s="168"/>
      <c r="AE376" s="168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50"/>
      <c r="AQ376" s="50"/>
      <c r="AR376" s="50"/>
      <c r="AS376" s="50"/>
      <c r="AT376" s="50"/>
      <c r="AU376" s="50"/>
      <c r="AV376" s="50"/>
      <c r="AW376" s="50"/>
      <c r="AX376" s="50"/>
      <c r="AY376" s="50"/>
      <c r="AZ376" s="50"/>
      <c r="BA376" s="50"/>
      <c r="BB376" s="50"/>
      <c r="BC376" s="50"/>
      <c r="BD376" s="50"/>
      <c r="BE376" s="50"/>
      <c r="BF376" s="50"/>
      <c r="BG376" s="50"/>
      <c r="BH376" s="50"/>
      <c r="BI376" s="50"/>
      <c r="BJ376" s="50"/>
      <c r="BK376" s="50"/>
      <c r="BL376" s="50"/>
      <c r="BM376" s="50"/>
      <c r="BN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168"/>
      <c r="Z377" s="50"/>
      <c r="AA377" s="50"/>
      <c r="AB377" s="50"/>
      <c r="AC377" s="168"/>
      <c r="AD377" s="168"/>
      <c r="AE377" s="168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50"/>
      <c r="AQ377" s="50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0"/>
      <c r="BC377" s="50"/>
      <c r="BD377" s="50"/>
      <c r="BE377" s="50"/>
      <c r="BF377" s="50"/>
      <c r="BG377" s="50"/>
      <c r="BH377" s="50"/>
      <c r="BI377" s="50"/>
      <c r="BJ377" s="50"/>
      <c r="BK377" s="50"/>
      <c r="BL377" s="50"/>
      <c r="BM377" s="50"/>
      <c r="BN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168"/>
      <c r="Z378" s="50"/>
      <c r="AA378" s="50"/>
      <c r="AB378" s="50"/>
      <c r="AC378" s="168"/>
      <c r="AD378" s="168"/>
      <c r="AE378" s="168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  <c r="AQ378" s="50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50"/>
      <c r="BE378" s="50"/>
      <c r="BF378" s="50"/>
      <c r="BG378" s="50"/>
      <c r="BH378" s="50"/>
      <c r="BI378" s="50"/>
      <c r="BJ378" s="50"/>
      <c r="BK378" s="50"/>
      <c r="BL378" s="50"/>
      <c r="BM378" s="50"/>
      <c r="BN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168"/>
      <c r="Z379" s="50"/>
      <c r="AA379" s="50"/>
      <c r="AB379" s="50"/>
      <c r="AC379" s="168"/>
      <c r="AD379" s="168"/>
      <c r="AE379" s="168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50"/>
      <c r="AQ379" s="50"/>
      <c r="AR379" s="50"/>
      <c r="AS379" s="50"/>
      <c r="AT379" s="50"/>
      <c r="AU379" s="50"/>
      <c r="AV379" s="50"/>
      <c r="AW379" s="50"/>
      <c r="AX379" s="50"/>
      <c r="AY379" s="50"/>
      <c r="AZ379" s="50"/>
      <c r="BA379" s="50"/>
      <c r="BB379" s="50"/>
      <c r="BC379" s="50"/>
      <c r="BD379" s="50"/>
      <c r="BE379" s="50"/>
      <c r="BF379" s="50"/>
      <c r="BG379" s="50"/>
      <c r="BH379" s="50"/>
      <c r="BI379" s="50"/>
      <c r="BJ379" s="50"/>
      <c r="BK379" s="50"/>
      <c r="BL379" s="50"/>
      <c r="BM379" s="50"/>
      <c r="BN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168"/>
      <c r="Z380" s="50"/>
      <c r="AA380" s="50"/>
      <c r="AB380" s="50"/>
      <c r="AC380" s="168"/>
      <c r="AD380" s="168"/>
      <c r="AE380" s="168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50"/>
      <c r="AQ380" s="50"/>
      <c r="AR380" s="50"/>
      <c r="AS380" s="50"/>
      <c r="AT380" s="50"/>
      <c r="AU380" s="50"/>
      <c r="AV380" s="50"/>
      <c r="AW380" s="50"/>
      <c r="AX380" s="50"/>
      <c r="AY380" s="50"/>
      <c r="AZ380" s="50"/>
      <c r="BA380" s="50"/>
      <c r="BB380" s="50"/>
      <c r="BC380" s="50"/>
      <c r="BD380" s="50"/>
      <c r="BE380" s="50"/>
      <c r="BF380" s="50"/>
      <c r="BG380" s="50"/>
      <c r="BH380" s="50"/>
      <c r="BI380" s="50"/>
      <c r="BJ380" s="50"/>
      <c r="BK380" s="50"/>
      <c r="BL380" s="50"/>
      <c r="BM380" s="50"/>
      <c r="BN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168"/>
      <c r="Z381" s="50"/>
      <c r="AA381" s="50"/>
      <c r="AB381" s="50"/>
      <c r="AC381" s="168"/>
      <c r="AD381" s="168"/>
      <c r="AE381" s="168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50"/>
      <c r="AQ381" s="50"/>
      <c r="AR381" s="50"/>
      <c r="AS381" s="50"/>
      <c r="AT381" s="50"/>
      <c r="AU381" s="50"/>
      <c r="AV381" s="50"/>
      <c r="AW381" s="50"/>
      <c r="AX381" s="50"/>
      <c r="AY381" s="50"/>
      <c r="AZ381" s="50"/>
      <c r="BA381" s="50"/>
      <c r="BB381" s="50"/>
      <c r="BC381" s="50"/>
      <c r="BD381" s="50"/>
      <c r="BE381" s="50"/>
      <c r="BF381" s="50"/>
      <c r="BG381" s="50"/>
      <c r="BH381" s="50"/>
      <c r="BI381" s="50"/>
      <c r="BJ381" s="50"/>
      <c r="BK381" s="50"/>
      <c r="BL381" s="50"/>
      <c r="BM381" s="50"/>
      <c r="BN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168"/>
      <c r="Z382" s="50"/>
      <c r="AA382" s="50"/>
      <c r="AB382" s="50"/>
      <c r="AC382" s="168"/>
      <c r="AD382" s="168"/>
      <c r="AE382" s="168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50"/>
      <c r="AQ382" s="50"/>
      <c r="AR382" s="50"/>
      <c r="AS382" s="50"/>
      <c r="AT382" s="50"/>
      <c r="AU382" s="50"/>
      <c r="AV382" s="50"/>
      <c r="AW382" s="50"/>
      <c r="AX382" s="50"/>
      <c r="AY382" s="50"/>
      <c r="AZ382" s="50"/>
      <c r="BA382" s="50"/>
      <c r="BB382" s="50"/>
      <c r="BC382" s="50"/>
      <c r="BD382" s="50"/>
      <c r="BE382" s="50"/>
      <c r="BF382" s="50"/>
      <c r="BG382" s="50"/>
      <c r="BH382" s="50"/>
      <c r="BI382" s="50"/>
      <c r="BJ382" s="50"/>
      <c r="BK382" s="50"/>
      <c r="BL382" s="50"/>
      <c r="BM382" s="50"/>
      <c r="BN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168"/>
      <c r="Z383" s="50"/>
      <c r="AA383" s="50"/>
      <c r="AB383" s="50"/>
      <c r="AC383" s="168"/>
      <c r="AD383" s="168"/>
      <c r="AE383" s="168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50"/>
      <c r="AQ383" s="50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50"/>
      <c r="BE383" s="50"/>
      <c r="BF383" s="50"/>
      <c r="BG383" s="50"/>
      <c r="BH383" s="50"/>
      <c r="BI383" s="50"/>
      <c r="BJ383" s="50"/>
      <c r="BK383" s="50"/>
      <c r="BL383" s="50"/>
      <c r="BM383" s="50"/>
      <c r="BN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168"/>
      <c r="Z384" s="50"/>
      <c r="AA384" s="50"/>
      <c r="AB384" s="50"/>
      <c r="AC384" s="168"/>
      <c r="AD384" s="168"/>
      <c r="AE384" s="168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50"/>
      <c r="AQ384" s="50"/>
      <c r="AR384" s="50"/>
      <c r="AS384" s="50"/>
      <c r="AT384" s="50"/>
      <c r="AU384" s="50"/>
      <c r="AV384" s="50"/>
      <c r="AW384" s="50"/>
      <c r="AX384" s="50"/>
      <c r="AY384" s="50"/>
      <c r="AZ384" s="50"/>
      <c r="BA384" s="50"/>
      <c r="BB384" s="50"/>
      <c r="BC384" s="50"/>
      <c r="BD384" s="50"/>
      <c r="BE384" s="50"/>
      <c r="BF384" s="50"/>
      <c r="BG384" s="50"/>
      <c r="BH384" s="50"/>
      <c r="BI384" s="50"/>
      <c r="BJ384" s="50"/>
      <c r="BK384" s="50"/>
      <c r="BL384" s="50"/>
      <c r="BM384" s="50"/>
      <c r="BN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168"/>
      <c r="Z385" s="50"/>
      <c r="AA385" s="50"/>
      <c r="AB385" s="50"/>
      <c r="AC385" s="168"/>
      <c r="AD385" s="168"/>
      <c r="AE385" s="168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/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168"/>
      <c r="Z386" s="50"/>
      <c r="AA386" s="50"/>
      <c r="AB386" s="50"/>
      <c r="AC386" s="168"/>
      <c r="AD386" s="168"/>
      <c r="AE386" s="168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50"/>
      <c r="AQ386" s="50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0"/>
      <c r="BE386" s="50"/>
      <c r="BF386" s="50"/>
      <c r="BG386" s="50"/>
      <c r="BH386" s="50"/>
      <c r="BI386" s="50"/>
      <c r="BJ386" s="50"/>
      <c r="BK386" s="50"/>
      <c r="BL386" s="50"/>
      <c r="BM386" s="50"/>
      <c r="BN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168"/>
      <c r="Z387" s="50"/>
      <c r="AA387" s="50"/>
      <c r="AB387" s="50"/>
      <c r="AC387" s="168"/>
      <c r="AD387" s="168"/>
      <c r="AE387" s="168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168"/>
      <c r="Z388" s="50"/>
      <c r="AA388" s="50"/>
      <c r="AB388" s="50"/>
      <c r="AC388" s="168"/>
      <c r="AD388" s="168"/>
      <c r="AE388" s="168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50"/>
      <c r="AR388" s="50"/>
      <c r="AS388" s="50"/>
      <c r="AT388" s="50"/>
      <c r="AU388" s="50"/>
      <c r="AV388" s="50"/>
      <c r="AW388" s="50"/>
      <c r="AX388" s="50"/>
      <c r="AY388" s="50"/>
      <c r="AZ388" s="50"/>
      <c r="BA388" s="50"/>
      <c r="BB388" s="50"/>
      <c r="BC388" s="50"/>
      <c r="BD388" s="50"/>
      <c r="BE388" s="50"/>
      <c r="BF388" s="50"/>
      <c r="BG388" s="50"/>
      <c r="BH388" s="50"/>
      <c r="BI388" s="50"/>
      <c r="BJ388" s="50"/>
      <c r="BK388" s="50"/>
      <c r="BL388" s="50"/>
      <c r="BM388" s="50"/>
      <c r="BN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168"/>
      <c r="Z389" s="50"/>
      <c r="AA389" s="50"/>
      <c r="AB389" s="50"/>
      <c r="AC389" s="168"/>
      <c r="AD389" s="168"/>
      <c r="AE389" s="168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168"/>
      <c r="Z390" s="50"/>
      <c r="AA390" s="50"/>
      <c r="AB390" s="50"/>
      <c r="AC390" s="168"/>
      <c r="AD390" s="168"/>
      <c r="AE390" s="168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/>
      <c r="BE390" s="50"/>
      <c r="BF390" s="50"/>
      <c r="BG390" s="50"/>
      <c r="BH390" s="50"/>
      <c r="BI390" s="50"/>
      <c r="BJ390" s="50"/>
      <c r="BK390" s="50"/>
      <c r="BL390" s="50"/>
      <c r="BM390" s="50"/>
      <c r="BN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168"/>
      <c r="Z391" s="50"/>
      <c r="AA391" s="50"/>
      <c r="AB391" s="50"/>
      <c r="AC391" s="168"/>
      <c r="AD391" s="168"/>
      <c r="AE391" s="168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  <c r="AQ391" s="50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50"/>
      <c r="BE391" s="50"/>
      <c r="BF391" s="50"/>
      <c r="BG391" s="50"/>
      <c r="BH391" s="50"/>
      <c r="BI391" s="50"/>
      <c r="BJ391" s="50"/>
      <c r="BK391" s="50"/>
      <c r="BL391" s="50"/>
      <c r="BM391" s="50"/>
      <c r="BN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168"/>
      <c r="Z392" s="50"/>
      <c r="AA392" s="50"/>
      <c r="AB392" s="50"/>
      <c r="AC392" s="168"/>
      <c r="AD392" s="168"/>
      <c r="AE392" s="168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  <c r="AQ392" s="50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50"/>
      <c r="BE392" s="50"/>
      <c r="BF392" s="50"/>
      <c r="BG392" s="50"/>
      <c r="BH392" s="50"/>
      <c r="BI392" s="50"/>
      <c r="BJ392" s="50"/>
      <c r="BK392" s="50"/>
      <c r="BL392" s="50"/>
      <c r="BM392" s="50"/>
      <c r="BN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168"/>
      <c r="Z393" s="50"/>
      <c r="AA393" s="50"/>
      <c r="AB393" s="50"/>
      <c r="AC393" s="168"/>
      <c r="AD393" s="168"/>
      <c r="AE393" s="168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50"/>
      <c r="AQ393" s="50"/>
      <c r="AR393" s="50"/>
      <c r="AS393" s="50"/>
      <c r="AT393" s="50"/>
      <c r="AU393" s="50"/>
      <c r="AV393" s="50"/>
      <c r="AW393" s="50"/>
      <c r="AX393" s="50"/>
      <c r="AY393" s="50"/>
      <c r="AZ393" s="50"/>
      <c r="BA393" s="50"/>
      <c r="BB393" s="50"/>
      <c r="BC393" s="50"/>
      <c r="BD393" s="50"/>
      <c r="BE393" s="50"/>
      <c r="BF393" s="50"/>
      <c r="BG393" s="50"/>
      <c r="BH393" s="50"/>
      <c r="BI393" s="50"/>
      <c r="BJ393" s="50"/>
      <c r="BK393" s="50"/>
      <c r="BL393" s="50"/>
      <c r="BM393" s="50"/>
      <c r="BN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168"/>
      <c r="Z394" s="50"/>
      <c r="AA394" s="50"/>
      <c r="AB394" s="50"/>
      <c r="AC394" s="168"/>
      <c r="AD394" s="168"/>
      <c r="AE394" s="168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50"/>
      <c r="AQ394" s="50"/>
      <c r="AR394" s="50"/>
      <c r="AS394" s="50"/>
      <c r="AT394" s="50"/>
      <c r="AU394" s="50"/>
      <c r="AV394" s="50"/>
      <c r="AW394" s="50"/>
      <c r="AX394" s="50"/>
      <c r="AY394" s="50"/>
      <c r="AZ394" s="50"/>
      <c r="BA394" s="50"/>
      <c r="BB394" s="50"/>
      <c r="BC394" s="50"/>
      <c r="BD394" s="50"/>
      <c r="BE394" s="50"/>
      <c r="BF394" s="50"/>
      <c r="BG394" s="50"/>
      <c r="BH394" s="50"/>
      <c r="BI394" s="50"/>
      <c r="BJ394" s="50"/>
      <c r="BK394" s="50"/>
      <c r="BL394" s="50"/>
      <c r="BM394" s="50"/>
      <c r="BN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168"/>
      <c r="Z395" s="50"/>
      <c r="AA395" s="50"/>
      <c r="AB395" s="50"/>
      <c r="AC395" s="168"/>
      <c r="AD395" s="168"/>
      <c r="AE395" s="168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50"/>
      <c r="AQ395" s="50"/>
      <c r="AR395" s="50"/>
      <c r="AS395" s="50"/>
      <c r="AT395" s="50"/>
      <c r="AU395" s="50"/>
      <c r="AV395" s="50"/>
      <c r="AW395" s="50"/>
      <c r="AX395" s="50"/>
      <c r="AY395" s="50"/>
      <c r="AZ395" s="50"/>
      <c r="BA395" s="50"/>
      <c r="BB395" s="50"/>
      <c r="BC395" s="50"/>
      <c r="BD395" s="50"/>
      <c r="BE395" s="50"/>
      <c r="BF395" s="50"/>
      <c r="BG395" s="50"/>
      <c r="BH395" s="50"/>
      <c r="BI395" s="50"/>
      <c r="BJ395" s="50"/>
      <c r="BK395" s="50"/>
      <c r="BL395" s="50"/>
      <c r="BM395" s="50"/>
      <c r="BN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168"/>
      <c r="Z396" s="50"/>
      <c r="AA396" s="50"/>
      <c r="AB396" s="50"/>
      <c r="AC396" s="168"/>
      <c r="AD396" s="168"/>
      <c r="AE396" s="168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  <c r="AQ396" s="50"/>
      <c r="AR396" s="50"/>
      <c r="AS396" s="50"/>
      <c r="AT396" s="50"/>
      <c r="AU396" s="50"/>
      <c r="AV396" s="50"/>
      <c r="AW396" s="50"/>
      <c r="AX396" s="50"/>
      <c r="AY396" s="50"/>
      <c r="AZ396" s="50"/>
      <c r="BA396" s="50"/>
      <c r="BB396" s="50"/>
      <c r="BC396" s="50"/>
      <c r="BD396" s="50"/>
      <c r="BE396" s="50"/>
      <c r="BF396" s="50"/>
      <c r="BG396" s="50"/>
      <c r="BH396" s="50"/>
      <c r="BI396" s="50"/>
      <c r="BJ396" s="50"/>
      <c r="BK396" s="50"/>
      <c r="BL396" s="50"/>
      <c r="BM396" s="50"/>
      <c r="BN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168"/>
      <c r="Z397" s="50"/>
      <c r="AA397" s="50"/>
      <c r="AB397" s="50"/>
      <c r="AC397" s="168"/>
      <c r="AD397" s="168"/>
      <c r="AE397" s="168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50"/>
      <c r="AQ397" s="50"/>
      <c r="AR397" s="50"/>
      <c r="AS397" s="50"/>
      <c r="AT397" s="50"/>
      <c r="AU397" s="50"/>
      <c r="AV397" s="50"/>
      <c r="AW397" s="50"/>
      <c r="AX397" s="50"/>
      <c r="AY397" s="50"/>
      <c r="AZ397" s="50"/>
      <c r="BA397" s="50"/>
      <c r="BB397" s="50"/>
      <c r="BC397" s="50"/>
      <c r="BD397" s="50"/>
      <c r="BE397" s="50"/>
      <c r="BF397" s="50"/>
      <c r="BG397" s="50"/>
      <c r="BH397" s="50"/>
      <c r="BI397" s="50"/>
      <c r="BJ397" s="50"/>
      <c r="BK397" s="50"/>
      <c r="BL397" s="50"/>
      <c r="BM397" s="50"/>
      <c r="BN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168"/>
      <c r="Z398" s="50"/>
      <c r="AA398" s="50"/>
      <c r="AB398" s="50"/>
      <c r="AC398" s="168"/>
      <c r="AD398" s="168"/>
      <c r="AE398" s="168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50"/>
      <c r="AQ398" s="50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0"/>
      <c r="BE398" s="50"/>
      <c r="BF398" s="50"/>
      <c r="BG398" s="50"/>
      <c r="BH398" s="50"/>
      <c r="BI398" s="50"/>
      <c r="BJ398" s="50"/>
      <c r="BK398" s="50"/>
      <c r="BL398" s="50"/>
      <c r="BM398" s="50"/>
      <c r="BN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168"/>
      <c r="Z399" s="50"/>
      <c r="AA399" s="50"/>
      <c r="AB399" s="50"/>
      <c r="AC399" s="168"/>
      <c r="AD399" s="168"/>
      <c r="AE399" s="168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50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0"/>
      <c r="BE399" s="50"/>
      <c r="BF399" s="50"/>
      <c r="BG399" s="50"/>
      <c r="BH399" s="50"/>
      <c r="BI399" s="50"/>
      <c r="BJ399" s="50"/>
      <c r="BK399" s="50"/>
      <c r="BL399" s="50"/>
      <c r="BM399" s="50"/>
      <c r="BN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168"/>
      <c r="Z400" s="50"/>
      <c r="AA400" s="50"/>
      <c r="AB400" s="50"/>
      <c r="AC400" s="168"/>
      <c r="AD400" s="168"/>
      <c r="AE400" s="168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50"/>
      <c r="AQ400" s="50"/>
      <c r="AR400" s="50"/>
      <c r="AS400" s="50"/>
      <c r="AT400" s="50"/>
      <c r="AU400" s="50"/>
      <c r="AV400" s="50"/>
      <c r="AW400" s="50"/>
      <c r="AX400" s="50"/>
      <c r="AY400" s="50"/>
      <c r="AZ400" s="50"/>
      <c r="BA400" s="50"/>
      <c r="BB400" s="50"/>
      <c r="BC400" s="50"/>
      <c r="BD400" s="50"/>
      <c r="BE400" s="50"/>
      <c r="BF400" s="50"/>
      <c r="BG400" s="50"/>
      <c r="BH400" s="50"/>
      <c r="BI400" s="50"/>
      <c r="BJ400" s="50"/>
      <c r="BK400" s="50"/>
      <c r="BL400" s="50"/>
      <c r="BM400" s="50"/>
      <c r="BN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168"/>
      <c r="Z401" s="50"/>
      <c r="AA401" s="50"/>
      <c r="AB401" s="50"/>
      <c r="AC401" s="168"/>
      <c r="AD401" s="168"/>
      <c r="AE401" s="168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  <c r="AQ401" s="50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0"/>
      <c r="BE401" s="50"/>
      <c r="BF401" s="50"/>
      <c r="BG401" s="50"/>
      <c r="BH401" s="50"/>
      <c r="BI401" s="50"/>
      <c r="BJ401" s="50"/>
      <c r="BK401" s="50"/>
      <c r="BL401" s="50"/>
      <c r="BM401" s="50"/>
      <c r="BN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168"/>
      <c r="Z402" s="50"/>
      <c r="AA402" s="50"/>
      <c r="AB402" s="50"/>
      <c r="AC402" s="168"/>
      <c r="AD402" s="168"/>
      <c r="AE402" s="168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  <c r="AQ402" s="50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50"/>
      <c r="BE402" s="50"/>
      <c r="BF402" s="50"/>
      <c r="BG402" s="50"/>
      <c r="BH402" s="50"/>
      <c r="BI402" s="50"/>
      <c r="BJ402" s="50"/>
      <c r="BK402" s="50"/>
      <c r="BL402" s="50"/>
      <c r="BM402" s="50"/>
      <c r="BN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168"/>
      <c r="Z403" s="50"/>
      <c r="AA403" s="50"/>
      <c r="AB403" s="50"/>
      <c r="AC403" s="168"/>
      <c r="AD403" s="168"/>
      <c r="AE403" s="168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50"/>
      <c r="AQ403" s="50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0"/>
      <c r="BC403" s="50"/>
      <c r="BD403" s="50"/>
      <c r="BE403" s="50"/>
      <c r="BF403" s="50"/>
      <c r="BG403" s="50"/>
      <c r="BH403" s="50"/>
      <c r="BI403" s="50"/>
      <c r="BJ403" s="50"/>
      <c r="BK403" s="50"/>
      <c r="BL403" s="50"/>
      <c r="BM403" s="50"/>
      <c r="BN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168"/>
      <c r="Z404" s="50"/>
      <c r="AA404" s="50"/>
      <c r="AB404" s="50"/>
      <c r="AC404" s="168"/>
      <c r="AD404" s="168"/>
      <c r="AE404" s="168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50"/>
      <c r="AQ404" s="50"/>
      <c r="AR404" s="50"/>
      <c r="AS404" s="50"/>
      <c r="AT404" s="50"/>
      <c r="AU404" s="50"/>
      <c r="AV404" s="50"/>
      <c r="AW404" s="50"/>
      <c r="AX404" s="50"/>
      <c r="AY404" s="50"/>
      <c r="AZ404" s="50"/>
      <c r="BA404" s="50"/>
      <c r="BB404" s="50"/>
      <c r="BC404" s="50"/>
      <c r="BD404" s="50"/>
      <c r="BE404" s="50"/>
      <c r="BF404" s="50"/>
      <c r="BG404" s="50"/>
      <c r="BH404" s="50"/>
      <c r="BI404" s="50"/>
      <c r="BJ404" s="50"/>
      <c r="BK404" s="50"/>
      <c r="BL404" s="50"/>
      <c r="BM404" s="50"/>
      <c r="BN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168"/>
      <c r="Z405" s="50"/>
      <c r="AA405" s="50"/>
      <c r="AB405" s="50"/>
      <c r="AC405" s="168"/>
      <c r="AD405" s="168"/>
      <c r="AE405" s="168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50"/>
      <c r="AQ405" s="50"/>
      <c r="AR405" s="50"/>
      <c r="AS405" s="50"/>
      <c r="AT405" s="50"/>
      <c r="AU405" s="50"/>
      <c r="AV405" s="50"/>
      <c r="AW405" s="50"/>
      <c r="AX405" s="50"/>
      <c r="AY405" s="50"/>
      <c r="AZ405" s="50"/>
      <c r="BA405" s="50"/>
      <c r="BB405" s="50"/>
      <c r="BC405" s="50"/>
      <c r="BD405" s="50"/>
      <c r="BE405" s="50"/>
      <c r="BF405" s="50"/>
      <c r="BG405" s="50"/>
      <c r="BH405" s="50"/>
      <c r="BI405" s="50"/>
      <c r="BJ405" s="50"/>
      <c r="BK405" s="50"/>
      <c r="BL405" s="50"/>
      <c r="BM405" s="50"/>
      <c r="BN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168"/>
      <c r="Z406" s="50"/>
      <c r="AA406" s="50"/>
      <c r="AB406" s="50"/>
      <c r="AC406" s="168"/>
      <c r="AD406" s="168"/>
      <c r="AE406" s="168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/>
      <c r="AR406" s="50"/>
      <c r="AS406" s="50"/>
      <c r="AT406" s="50"/>
      <c r="AU406" s="50"/>
      <c r="AV406" s="50"/>
      <c r="AW406" s="50"/>
      <c r="AX406" s="50"/>
      <c r="AY406" s="50"/>
      <c r="AZ406" s="50"/>
      <c r="BA406" s="50"/>
      <c r="BB406" s="50"/>
      <c r="BC406" s="50"/>
      <c r="BD406" s="50"/>
      <c r="BE406" s="50"/>
      <c r="BF406" s="50"/>
      <c r="BG406" s="50"/>
      <c r="BH406" s="50"/>
      <c r="BI406" s="50"/>
      <c r="BJ406" s="50"/>
      <c r="BK406" s="50"/>
      <c r="BL406" s="50"/>
      <c r="BM406" s="50"/>
      <c r="BN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168"/>
      <c r="Z407" s="50"/>
      <c r="AA407" s="50"/>
      <c r="AB407" s="50"/>
      <c r="AC407" s="168"/>
      <c r="AD407" s="168"/>
      <c r="AE407" s="168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  <c r="AQ407" s="50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0"/>
      <c r="BC407" s="50"/>
      <c r="BD407" s="50"/>
      <c r="BE407" s="50"/>
      <c r="BF407" s="50"/>
      <c r="BG407" s="50"/>
      <c r="BH407" s="50"/>
      <c r="BI407" s="50"/>
      <c r="BJ407" s="50"/>
      <c r="BK407" s="50"/>
      <c r="BL407" s="50"/>
      <c r="BM407" s="50"/>
      <c r="BN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168"/>
      <c r="Z408" s="50"/>
      <c r="AA408" s="50"/>
      <c r="AB408" s="50"/>
      <c r="AC408" s="168"/>
      <c r="AD408" s="168"/>
      <c r="AE408" s="168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50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0"/>
      <c r="BC408" s="50"/>
      <c r="BD408" s="50"/>
      <c r="BE408" s="50"/>
      <c r="BF408" s="50"/>
      <c r="BG408" s="50"/>
      <c r="BH408" s="50"/>
      <c r="BI408" s="50"/>
      <c r="BJ408" s="50"/>
      <c r="BK408" s="50"/>
      <c r="BL408" s="50"/>
      <c r="BM408" s="50"/>
      <c r="BN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168"/>
      <c r="Z409" s="50"/>
      <c r="AA409" s="50"/>
      <c r="AB409" s="50"/>
      <c r="AC409" s="168"/>
      <c r="AD409" s="168"/>
      <c r="AE409" s="168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50"/>
      <c r="AQ409" s="50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0"/>
      <c r="BC409" s="50"/>
      <c r="BD409" s="50"/>
      <c r="BE409" s="50"/>
      <c r="BF409" s="50"/>
      <c r="BG409" s="50"/>
      <c r="BH409" s="50"/>
      <c r="BI409" s="50"/>
      <c r="BJ409" s="50"/>
      <c r="BK409" s="50"/>
      <c r="BL409" s="50"/>
      <c r="BM409" s="50"/>
      <c r="BN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168"/>
      <c r="Z410" s="50"/>
      <c r="AA410" s="50"/>
      <c r="AB410" s="50"/>
      <c r="AC410" s="168"/>
      <c r="AD410" s="168"/>
      <c r="AE410" s="168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50"/>
      <c r="AQ410" s="50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50"/>
      <c r="BE410" s="50"/>
      <c r="BF410" s="50"/>
      <c r="BG410" s="50"/>
      <c r="BH410" s="50"/>
      <c r="BI410" s="50"/>
      <c r="BJ410" s="50"/>
      <c r="BK410" s="50"/>
      <c r="BL410" s="50"/>
      <c r="BM410" s="50"/>
      <c r="BN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168"/>
      <c r="Z411" s="50"/>
      <c r="AA411" s="50"/>
      <c r="AB411" s="50"/>
      <c r="AC411" s="168"/>
      <c r="AD411" s="168"/>
      <c r="AE411" s="168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50"/>
      <c r="AQ411" s="50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0"/>
      <c r="BC411" s="50"/>
      <c r="BD411" s="50"/>
      <c r="BE411" s="50"/>
      <c r="BF411" s="50"/>
      <c r="BG411" s="50"/>
      <c r="BH411" s="50"/>
      <c r="BI411" s="50"/>
      <c r="BJ411" s="50"/>
      <c r="BK411" s="50"/>
      <c r="BL411" s="50"/>
      <c r="BM411" s="50"/>
      <c r="BN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168"/>
      <c r="Z412" s="50"/>
      <c r="AA412" s="50"/>
      <c r="AB412" s="50"/>
      <c r="AC412" s="168"/>
      <c r="AD412" s="168"/>
      <c r="AE412" s="168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  <c r="AQ412" s="50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0"/>
      <c r="BC412" s="50"/>
      <c r="BD412" s="50"/>
      <c r="BE412" s="50"/>
      <c r="BF412" s="50"/>
      <c r="BG412" s="50"/>
      <c r="BH412" s="50"/>
      <c r="BI412" s="50"/>
      <c r="BJ412" s="50"/>
      <c r="BK412" s="50"/>
      <c r="BL412" s="50"/>
      <c r="BM412" s="50"/>
      <c r="BN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168"/>
      <c r="Z413" s="50"/>
      <c r="AA413" s="50"/>
      <c r="AB413" s="50"/>
      <c r="AC413" s="168"/>
      <c r="AD413" s="168"/>
      <c r="AE413" s="168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50"/>
      <c r="AQ413" s="50"/>
      <c r="AR413" s="50"/>
      <c r="AS413" s="50"/>
      <c r="AT413" s="50"/>
      <c r="AU413" s="50"/>
      <c r="AV413" s="50"/>
      <c r="AW413" s="50"/>
      <c r="AX413" s="50"/>
      <c r="AY413" s="50"/>
      <c r="AZ413" s="50"/>
      <c r="BA413" s="50"/>
      <c r="BB413" s="50"/>
      <c r="BC413" s="50"/>
      <c r="BD413" s="50"/>
      <c r="BE413" s="50"/>
      <c r="BF413" s="50"/>
      <c r="BG413" s="50"/>
      <c r="BH413" s="50"/>
      <c r="BI413" s="50"/>
      <c r="BJ413" s="50"/>
      <c r="BK413" s="50"/>
      <c r="BL413" s="50"/>
      <c r="BM413" s="50"/>
      <c r="BN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168"/>
      <c r="Z414" s="50"/>
      <c r="AA414" s="50"/>
      <c r="AB414" s="50"/>
      <c r="AC414" s="168"/>
      <c r="AD414" s="168"/>
      <c r="AE414" s="168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50"/>
      <c r="AQ414" s="50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50"/>
      <c r="BE414" s="50"/>
      <c r="BF414" s="50"/>
      <c r="BG414" s="50"/>
      <c r="BH414" s="50"/>
      <c r="BI414" s="50"/>
      <c r="BJ414" s="50"/>
      <c r="BK414" s="50"/>
      <c r="BL414" s="50"/>
      <c r="BM414" s="50"/>
      <c r="BN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168"/>
      <c r="Z415" s="50"/>
      <c r="AA415" s="50"/>
      <c r="AB415" s="50"/>
      <c r="AC415" s="168"/>
      <c r="AD415" s="168"/>
      <c r="AE415" s="168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0"/>
      <c r="BC415" s="50"/>
      <c r="BD415" s="50"/>
      <c r="BE415" s="50"/>
      <c r="BF415" s="50"/>
      <c r="BG415" s="50"/>
      <c r="BH415" s="50"/>
      <c r="BI415" s="50"/>
      <c r="BJ415" s="50"/>
      <c r="BK415" s="50"/>
      <c r="BL415" s="50"/>
      <c r="BM415" s="50"/>
      <c r="BN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168"/>
      <c r="Z416" s="50"/>
      <c r="AA416" s="50"/>
      <c r="AB416" s="50"/>
      <c r="AC416" s="168"/>
      <c r="AD416" s="168"/>
      <c r="AE416" s="168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50"/>
      <c r="AQ416" s="50"/>
      <c r="AR416" s="50"/>
      <c r="AS416" s="50"/>
      <c r="AT416" s="50"/>
      <c r="AU416" s="50"/>
      <c r="AV416" s="50"/>
      <c r="AW416" s="50"/>
      <c r="AX416" s="50"/>
      <c r="AY416" s="50"/>
      <c r="AZ416" s="50"/>
      <c r="BA416" s="50"/>
      <c r="BB416" s="50"/>
      <c r="BC416" s="50"/>
      <c r="BD416" s="50"/>
      <c r="BE416" s="50"/>
      <c r="BF416" s="50"/>
      <c r="BG416" s="50"/>
      <c r="BH416" s="50"/>
      <c r="BI416" s="50"/>
      <c r="BJ416" s="50"/>
      <c r="BK416" s="50"/>
      <c r="BL416" s="50"/>
      <c r="BM416" s="50"/>
      <c r="BN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168"/>
      <c r="Z417" s="50"/>
      <c r="AA417" s="50"/>
      <c r="AB417" s="50"/>
      <c r="AC417" s="168"/>
      <c r="AD417" s="168"/>
      <c r="AE417" s="168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50"/>
      <c r="AQ417" s="50"/>
      <c r="AR417" s="50"/>
      <c r="AS417" s="50"/>
      <c r="AT417" s="50"/>
      <c r="AU417" s="50"/>
      <c r="AV417" s="50"/>
      <c r="AW417" s="50"/>
      <c r="AX417" s="50"/>
      <c r="AY417" s="50"/>
      <c r="AZ417" s="50"/>
      <c r="BA417" s="50"/>
      <c r="BB417" s="50"/>
      <c r="BC417" s="50"/>
      <c r="BD417" s="50"/>
      <c r="BE417" s="50"/>
      <c r="BF417" s="50"/>
      <c r="BG417" s="50"/>
      <c r="BH417" s="50"/>
      <c r="BI417" s="50"/>
      <c r="BJ417" s="50"/>
      <c r="BK417" s="50"/>
      <c r="BL417" s="50"/>
      <c r="BM417" s="50"/>
      <c r="BN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168"/>
      <c r="Z418" s="50"/>
      <c r="AA418" s="50"/>
      <c r="AB418" s="50"/>
      <c r="AC418" s="168"/>
      <c r="AD418" s="168"/>
      <c r="AE418" s="168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50"/>
      <c r="AQ418" s="50"/>
      <c r="AR418" s="50"/>
      <c r="AS418" s="50"/>
      <c r="AT418" s="50"/>
      <c r="AU418" s="50"/>
      <c r="AV418" s="50"/>
      <c r="AW418" s="50"/>
      <c r="AX418" s="50"/>
      <c r="AY418" s="50"/>
      <c r="AZ418" s="50"/>
      <c r="BA418" s="50"/>
      <c r="BB418" s="50"/>
      <c r="BC418" s="50"/>
      <c r="BD418" s="50"/>
      <c r="BE418" s="50"/>
      <c r="BF418" s="50"/>
      <c r="BG418" s="50"/>
      <c r="BH418" s="50"/>
      <c r="BI418" s="50"/>
      <c r="BJ418" s="50"/>
      <c r="BK418" s="50"/>
      <c r="BL418" s="50"/>
      <c r="BM418" s="50"/>
      <c r="BN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168"/>
      <c r="Z419" s="50"/>
      <c r="AA419" s="50"/>
      <c r="AB419" s="50"/>
      <c r="AC419" s="168"/>
      <c r="AD419" s="168"/>
      <c r="AE419" s="168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50"/>
      <c r="AQ419" s="50"/>
      <c r="AR419" s="50"/>
      <c r="AS419" s="50"/>
      <c r="AT419" s="50"/>
      <c r="AU419" s="50"/>
      <c r="AV419" s="50"/>
      <c r="AW419" s="50"/>
      <c r="AX419" s="50"/>
      <c r="AY419" s="50"/>
      <c r="AZ419" s="50"/>
      <c r="BA419" s="50"/>
      <c r="BB419" s="50"/>
      <c r="BC419" s="50"/>
      <c r="BD419" s="50"/>
      <c r="BE419" s="50"/>
      <c r="BF419" s="50"/>
      <c r="BG419" s="50"/>
      <c r="BH419" s="50"/>
      <c r="BI419" s="50"/>
      <c r="BJ419" s="50"/>
      <c r="BK419" s="50"/>
      <c r="BL419" s="50"/>
      <c r="BM419" s="50"/>
      <c r="BN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168"/>
      <c r="Z420" s="50"/>
      <c r="AA420" s="50"/>
      <c r="AB420" s="50"/>
      <c r="AC420" s="168"/>
      <c r="AD420" s="168"/>
      <c r="AE420" s="168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50"/>
      <c r="AQ420" s="50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0"/>
      <c r="BC420" s="50"/>
      <c r="BD420" s="50"/>
      <c r="BE420" s="50"/>
      <c r="BF420" s="50"/>
      <c r="BG420" s="50"/>
      <c r="BH420" s="50"/>
      <c r="BI420" s="50"/>
      <c r="BJ420" s="50"/>
      <c r="BK420" s="50"/>
      <c r="BL420" s="50"/>
      <c r="BM420" s="50"/>
      <c r="BN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168"/>
      <c r="Z421" s="50"/>
      <c r="AA421" s="50"/>
      <c r="AB421" s="50"/>
      <c r="AC421" s="168"/>
      <c r="AD421" s="168"/>
      <c r="AE421" s="168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50"/>
      <c r="AQ421" s="50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0"/>
      <c r="BC421" s="50"/>
      <c r="BD421" s="50"/>
      <c r="BE421" s="50"/>
      <c r="BF421" s="50"/>
      <c r="BG421" s="50"/>
      <c r="BH421" s="50"/>
      <c r="BI421" s="50"/>
      <c r="BJ421" s="50"/>
      <c r="BK421" s="50"/>
      <c r="BL421" s="50"/>
      <c r="BM421" s="50"/>
      <c r="BN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168"/>
      <c r="Z422" s="50"/>
      <c r="AA422" s="50"/>
      <c r="AB422" s="50"/>
      <c r="AC422" s="168"/>
      <c r="AD422" s="168"/>
      <c r="AE422" s="168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50"/>
      <c r="AQ422" s="50"/>
      <c r="AR422" s="50"/>
      <c r="AS422" s="50"/>
      <c r="AT422" s="50"/>
      <c r="AU422" s="50"/>
      <c r="AV422" s="50"/>
      <c r="AW422" s="50"/>
      <c r="AX422" s="50"/>
      <c r="AY422" s="50"/>
      <c r="AZ422" s="50"/>
      <c r="BA422" s="50"/>
      <c r="BB422" s="50"/>
      <c r="BC422" s="50"/>
      <c r="BD422" s="50"/>
      <c r="BE422" s="50"/>
      <c r="BF422" s="50"/>
      <c r="BG422" s="50"/>
      <c r="BH422" s="50"/>
      <c r="BI422" s="50"/>
      <c r="BJ422" s="50"/>
      <c r="BK422" s="50"/>
      <c r="BL422" s="50"/>
      <c r="BM422" s="50"/>
      <c r="BN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168"/>
      <c r="Z423" s="50"/>
      <c r="AA423" s="50"/>
      <c r="AB423" s="50"/>
      <c r="AC423" s="168"/>
      <c r="AD423" s="168"/>
      <c r="AE423" s="168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50"/>
      <c r="AQ423" s="50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0"/>
      <c r="BC423" s="50"/>
      <c r="BD423" s="50"/>
      <c r="BE423" s="50"/>
      <c r="BF423" s="50"/>
      <c r="BG423" s="50"/>
      <c r="BH423" s="50"/>
      <c r="BI423" s="50"/>
      <c r="BJ423" s="50"/>
      <c r="BK423" s="50"/>
      <c r="BL423" s="50"/>
      <c r="BM423" s="50"/>
      <c r="BN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168"/>
      <c r="Z424" s="50"/>
      <c r="AA424" s="50"/>
      <c r="AB424" s="50"/>
      <c r="AC424" s="168"/>
      <c r="AD424" s="168"/>
      <c r="AE424" s="168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  <c r="AQ424" s="50"/>
      <c r="AR424" s="50"/>
      <c r="AS424" s="50"/>
      <c r="AT424" s="50"/>
      <c r="AU424" s="50"/>
      <c r="AV424" s="50"/>
      <c r="AW424" s="50"/>
      <c r="AX424" s="50"/>
      <c r="AY424" s="50"/>
      <c r="AZ424" s="50"/>
      <c r="BA424" s="50"/>
      <c r="BB424" s="50"/>
      <c r="BC424" s="50"/>
      <c r="BD424" s="50"/>
      <c r="BE424" s="50"/>
      <c r="BF424" s="50"/>
      <c r="BG424" s="50"/>
      <c r="BH424" s="50"/>
      <c r="BI424" s="50"/>
      <c r="BJ424" s="50"/>
      <c r="BK424" s="50"/>
      <c r="BL424" s="50"/>
      <c r="BM424" s="50"/>
      <c r="BN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168"/>
      <c r="Z425" s="50"/>
      <c r="AA425" s="50"/>
      <c r="AB425" s="50"/>
      <c r="AC425" s="168"/>
      <c r="AD425" s="168"/>
      <c r="AE425" s="168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/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168"/>
      <c r="Z426" s="50"/>
      <c r="AA426" s="50"/>
      <c r="AB426" s="50"/>
      <c r="AC426" s="168"/>
      <c r="AD426" s="168"/>
      <c r="AE426" s="168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/>
      <c r="AR426" s="50"/>
      <c r="AS426" s="50"/>
      <c r="AT426" s="50"/>
      <c r="AU426" s="50"/>
      <c r="AV426" s="50"/>
      <c r="AW426" s="50"/>
      <c r="AX426" s="50"/>
      <c r="AY426" s="50"/>
      <c r="AZ426" s="50"/>
      <c r="BA426" s="50"/>
      <c r="BB426" s="50"/>
      <c r="BC426" s="50"/>
      <c r="BD426" s="50"/>
      <c r="BE426" s="50"/>
      <c r="BF426" s="50"/>
      <c r="BG426" s="50"/>
      <c r="BH426" s="50"/>
      <c r="BI426" s="50"/>
      <c r="BJ426" s="50"/>
      <c r="BK426" s="50"/>
      <c r="BL426" s="50"/>
      <c r="BM426" s="50"/>
      <c r="BN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168"/>
      <c r="Z427" s="50"/>
      <c r="AA427" s="50"/>
      <c r="AB427" s="50"/>
      <c r="AC427" s="168"/>
      <c r="AD427" s="168"/>
      <c r="AE427" s="168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/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168"/>
      <c r="Z428" s="50"/>
      <c r="AA428" s="50"/>
      <c r="AB428" s="50"/>
      <c r="AC428" s="168"/>
      <c r="AD428" s="168"/>
      <c r="AE428" s="168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50"/>
      <c r="AQ428" s="50"/>
      <c r="AR428" s="50"/>
      <c r="AS428" s="50"/>
      <c r="AT428" s="50"/>
      <c r="AU428" s="50"/>
      <c r="AV428" s="50"/>
      <c r="AW428" s="50"/>
      <c r="AX428" s="50"/>
      <c r="AY428" s="50"/>
      <c r="AZ428" s="50"/>
      <c r="BA428" s="50"/>
      <c r="BB428" s="50"/>
      <c r="BC428" s="50"/>
      <c r="BD428" s="50"/>
      <c r="BE428" s="50"/>
      <c r="BF428" s="50"/>
      <c r="BG428" s="50"/>
      <c r="BH428" s="50"/>
      <c r="BI428" s="50"/>
      <c r="BJ428" s="50"/>
      <c r="BK428" s="50"/>
      <c r="BL428" s="50"/>
      <c r="BM428" s="50"/>
      <c r="BN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168"/>
      <c r="Z429" s="50"/>
      <c r="AA429" s="50"/>
      <c r="AB429" s="50"/>
      <c r="AC429" s="168"/>
      <c r="AD429" s="168"/>
      <c r="AE429" s="168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168"/>
      <c r="Z430" s="50"/>
      <c r="AA430" s="50"/>
      <c r="AB430" s="50"/>
      <c r="AC430" s="168"/>
      <c r="AD430" s="168"/>
      <c r="AE430" s="168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50"/>
      <c r="AQ430" s="50"/>
      <c r="AR430" s="50"/>
      <c r="AS430" s="50"/>
      <c r="AT430" s="50"/>
      <c r="AU430" s="50"/>
      <c r="AV430" s="50"/>
      <c r="AW430" s="50"/>
      <c r="AX430" s="50"/>
      <c r="AY430" s="50"/>
      <c r="AZ430" s="50"/>
      <c r="BA430" s="50"/>
      <c r="BB430" s="50"/>
      <c r="BC430" s="50"/>
      <c r="BD430" s="50"/>
      <c r="BE430" s="50"/>
      <c r="BF430" s="50"/>
      <c r="BG430" s="50"/>
      <c r="BH430" s="50"/>
      <c r="BI430" s="50"/>
      <c r="BJ430" s="50"/>
      <c r="BK430" s="50"/>
      <c r="BL430" s="50"/>
      <c r="BM430" s="50"/>
      <c r="BN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168"/>
      <c r="Z431" s="50"/>
      <c r="AA431" s="50"/>
      <c r="AB431" s="50"/>
      <c r="AC431" s="168"/>
      <c r="AD431" s="168"/>
      <c r="AE431" s="168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  <c r="AQ431" s="50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50"/>
      <c r="BE431" s="50"/>
      <c r="BF431" s="50"/>
      <c r="BG431" s="50"/>
      <c r="BH431" s="50"/>
      <c r="BI431" s="50"/>
      <c r="BJ431" s="50"/>
      <c r="BK431" s="50"/>
      <c r="BL431" s="50"/>
      <c r="BM431" s="50"/>
      <c r="BN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168"/>
      <c r="Z432" s="50"/>
      <c r="AA432" s="50"/>
      <c r="AB432" s="50"/>
      <c r="AC432" s="168"/>
      <c r="AD432" s="168"/>
      <c r="AE432" s="168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50"/>
      <c r="AQ432" s="50"/>
      <c r="AR432" s="50"/>
      <c r="AS432" s="50"/>
      <c r="AT432" s="50"/>
      <c r="AU432" s="50"/>
      <c r="AV432" s="50"/>
      <c r="AW432" s="50"/>
      <c r="AX432" s="50"/>
      <c r="AY432" s="50"/>
      <c r="AZ432" s="50"/>
      <c r="BA432" s="50"/>
      <c r="BB432" s="50"/>
      <c r="BC432" s="50"/>
      <c r="BD432" s="50"/>
      <c r="BE432" s="50"/>
      <c r="BF432" s="50"/>
      <c r="BG432" s="50"/>
      <c r="BH432" s="50"/>
      <c r="BI432" s="50"/>
      <c r="BJ432" s="50"/>
      <c r="BK432" s="50"/>
      <c r="BL432" s="50"/>
      <c r="BM432" s="50"/>
      <c r="BN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168"/>
      <c r="Z433" s="50"/>
      <c r="AA433" s="50"/>
      <c r="AB433" s="50"/>
      <c r="AC433" s="168"/>
      <c r="AD433" s="168"/>
      <c r="AE433" s="168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50"/>
      <c r="AQ433" s="50"/>
      <c r="AR433" s="50"/>
      <c r="AS433" s="50"/>
      <c r="AT433" s="50"/>
      <c r="AU433" s="50"/>
      <c r="AV433" s="50"/>
      <c r="AW433" s="50"/>
      <c r="AX433" s="50"/>
      <c r="AY433" s="50"/>
      <c r="AZ433" s="50"/>
      <c r="BA433" s="50"/>
      <c r="BB433" s="50"/>
      <c r="BC433" s="50"/>
      <c r="BD433" s="50"/>
      <c r="BE433" s="50"/>
      <c r="BF433" s="50"/>
      <c r="BG433" s="50"/>
      <c r="BH433" s="50"/>
      <c r="BI433" s="50"/>
      <c r="BJ433" s="50"/>
      <c r="BK433" s="50"/>
      <c r="BL433" s="50"/>
      <c r="BM433" s="50"/>
      <c r="BN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168"/>
      <c r="Z434" s="50"/>
      <c r="AA434" s="50"/>
      <c r="AB434" s="50"/>
      <c r="AC434" s="168"/>
      <c r="AD434" s="168"/>
      <c r="AE434" s="168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50"/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0"/>
      <c r="BE434" s="50"/>
      <c r="BF434" s="50"/>
      <c r="BG434" s="50"/>
      <c r="BH434" s="50"/>
      <c r="BI434" s="50"/>
      <c r="BJ434" s="50"/>
      <c r="BK434" s="50"/>
      <c r="BL434" s="50"/>
      <c r="BM434" s="50"/>
      <c r="BN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168"/>
      <c r="Z435" s="50"/>
      <c r="AA435" s="50"/>
      <c r="AB435" s="50"/>
      <c r="AC435" s="168"/>
      <c r="AD435" s="168"/>
      <c r="AE435" s="168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50"/>
      <c r="AQ435" s="50"/>
      <c r="AR435" s="50"/>
      <c r="AS435" s="50"/>
      <c r="AT435" s="50"/>
      <c r="AU435" s="50"/>
      <c r="AV435" s="50"/>
      <c r="AW435" s="50"/>
      <c r="AX435" s="50"/>
      <c r="AY435" s="50"/>
      <c r="AZ435" s="50"/>
      <c r="BA435" s="50"/>
      <c r="BB435" s="50"/>
      <c r="BC435" s="50"/>
      <c r="BD435" s="50"/>
      <c r="BE435" s="50"/>
      <c r="BF435" s="50"/>
      <c r="BG435" s="50"/>
      <c r="BH435" s="50"/>
      <c r="BI435" s="50"/>
      <c r="BJ435" s="50"/>
      <c r="BK435" s="50"/>
      <c r="BL435" s="50"/>
      <c r="BM435" s="50"/>
      <c r="BN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168"/>
      <c r="Z436" s="50"/>
      <c r="AA436" s="50"/>
      <c r="AB436" s="50"/>
      <c r="AC436" s="168"/>
      <c r="AD436" s="168"/>
      <c r="AE436" s="168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50"/>
      <c r="AQ436" s="50"/>
      <c r="AR436" s="50"/>
      <c r="AS436" s="50"/>
      <c r="AT436" s="50"/>
      <c r="AU436" s="50"/>
      <c r="AV436" s="50"/>
      <c r="AW436" s="50"/>
      <c r="AX436" s="50"/>
      <c r="AY436" s="50"/>
      <c r="AZ436" s="50"/>
      <c r="BA436" s="50"/>
      <c r="BB436" s="50"/>
      <c r="BC436" s="50"/>
      <c r="BD436" s="50"/>
      <c r="BE436" s="50"/>
      <c r="BF436" s="50"/>
      <c r="BG436" s="50"/>
      <c r="BH436" s="50"/>
      <c r="BI436" s="50"/>
      <c r="BJ436" s="50"/>
      <c r="BK436" s="50"/>
      <c r="BL436" s="50"/>
      <c r="BM436" s="50"/>
      <c r="BN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168"/>
      <c r="Z437" s="50"/>
      <c r="AA437" s="50"/>
      <c r="AB437" s="50"/>
      <c r="AC437" s="168"/>
      <c r="AD437" s="168"/>
      <c r="AE437" s="168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50"/>
      <c r="AQ437" s="50"/>
      <c r="AR437" s="50"/>
      <c r="AS437" s="50"/>
      <c r="AT437" s="50"/>
      <c r="AU437" s="50"/>
      <c r="AV437" s="50"/>
      <c r="AW437" s="50"/>
      <c r="AX437" s="50"/>
      <c r="AY437" s="50"/>
      <c r="AZ437" s="50"/>
      <c r="BA437" s="50"/>
      <c r="BB437" s="50"/>
      <c r="BC437" s="50"/>
      <c r="BD437" s="50"/>
      <c r="BE437" s="50"/>
      <c r="BF437" s="50"/>
      <c r="BG437" s="50"/>
      <c r="BH437" s="50"/>
      <c r="BI437" s="50"/>
      <c r="BJ437" s="50"/>
      <c r="BK437" s="50"/>
      <c r="BL437" s="50"/>
      <c r="BM437" s="50"/>
      <c r="BN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168"/>
      <c r="Z438" s="50"/>
      <c r="AA438" s="50"/>
      <c r="AB438" s="50"/>
      <c r="AC438" s="168"/>
      <c r="AD438" s="168"/>
      <c r="AE438" s="168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50"/>
      <c r="AQ438" s="50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0"/>
      <c r="BC438" s="50"/>
      <c r="BD438" s="50"/>
      <c r="BE438" s="50"/>
      <c r="BF438" s="50"/>
      <c r="BG438" s="50"/>
      <c r="BH438" s="50"/>
      <c r="BI438" s="50"/>
      <c r="BJ438" s="50"/>
      <c r="BK438" s="50"/>
      <c r="BL438" s="50"/>
      <c r="BM438" s="50"/>
      <c r="BN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168"/>
      <c r="Z439" s="50"/>
      <c r="AA439" s="50"/>
      <c r="AB439" s="50"/>
      <c r="AC439" s="168"/>
      <c r="AD439" s="168"/>
      <c r="AE439" s="168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50"/>
      <c r="AQ439" s="50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0"/>
      <c r="BC439" s="50"/>
      <c r="BD439" s="50"/>
      <c r="BE439" s="50"/>
      <c r="BF439" s="50"/>
      <c r="BG439" s="50"/>
      <c r="BH439" s="50"/>
      <c r="BI439" s="50"/>
      <c r="BJ439" s="50"/>
      <c r="BK439" s="50"/>
      <c r="BL439" s="50"/>
      <c r="BM439" s="50"/>
      <c r="BN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168"/>
      <c r="Z440" s="50"/>
      <c r="AA440" s="50"/>
      <c r="AB440" s="50"/>
      <c r="AC440" s="168"/>
      <c r="AD440" s="168"/>
      <c r="AE440" s="168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50"/>
      <c r="AQ440" s="50"/>
      <c r="AR440" s="50"/>
      <c r="AS440" s="50"/>
      <c r="AT440" s="50"/>
      <c r="AU440" s="50"/>
      <c r="AV440" s="50"/>
      <c r="AW440" s="50"/>
      <c r="AX440" s="50"/>
      <c r="AY440" s="50"/>
      <c r="AZ440" s="50"/>
      <c r="BA440" s="50"/>
      <c r="BB440" s="50"/>
      <c r="BC440" s="50"/>
      <c r="BD440" s="50"/>
      <c r="BE440" s="50"/>
      <c r="BF440" s="50"/>
      <c r="BG440" s="50"/>
      <c r="BH440" s="50"/>
      <c r="BI440" s="50"/>
      <c r="BJ440" s="50"/>
      <c r="BK440" s="50"/>
      <c r="BL440" s="50"/>
      <c r="BM440" s="50"/>
      <c r="BN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168"/>
      <c r="Z441" s="50"/>
      <c r="AA441" s="50"/>
      <c r="AB441" s="50"/>
      <c r="AC441" s="168"/>
      <c r="AD441" s="168"/>
      <c r="AE441" s="168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50"/>
      <c r="AQ441" s="50"/>
      <c r="AR441" s="50"/>
      <c r="AS441" s="50"/>
      <c r="AT441" s="50"/>
      <c r="AU441" s="50"/>
      <c r="AV441" s="50"/>
      <c r="AW441" s="50"/>
      <c r="AX441" s="50"/>
      <c r="AY441" s="50"/>
      <c r="AZ441" s="50"/>
      <c r="BA441" s="50"/>
      <c r="BB441" s="50"/>
      <c r="BC441" s="50"/>
      <c r="BD441" s="50"/>
      <c r="BE441" s="50"/>
      <c r="BF441" s="50"/>
      <c r="BG441" s="50"/>
      <c r="BH441" s="50"/>
      <c r="BI441" s="50"/>
      <c r="BJ441" s="50"/>
      <c r="BK441" s="50"/>
      <c r="BL441" s="50"/>
      <c r="BM441" s="50"/>
      <c r="BN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168"/>
      <c r="Z442" s="50"/>
      <c r="AA442" s="50"/>
      <c r="AB442" s="50"/>
      <c r="AC442" s="168"/>
      <c r="AD442" s="168"/>
      <c r="AE442" s="168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  <c r="AQ442" s="50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50"/>
      <c r="BE442" s="50"/>
      <c r="BF442" s="50"/>
      <c r="BG442" s="50"/>
      <c r="BH442" s="50"/>
      <c r="BI442" s="50"/>
      <c r="BJ442" s="50"/>
      <c r="BK442" s="50"/>
      <c r="BL442" s="50"/>
      <c r="BM442" s="50"/>
      <c r="BN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168"/>
      <c r="Z443" s="50"/>
      <c r="AA443" s="50"/>
      <c r="AB443" s="50"/>
      <c r="AC443" s="168"/>
      <c r="AD443" s="168"/>
      <c r="AE443" s="168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50"/>
      <c r="BE443" s="50"/>
      <c r="BF443" s="50"/>
      <c r="BG443" s="50"/>
      <c r="BH443" s="50"/>
      <c r="BI443" s="50"/>
      <c r="BJ443" s="50"/>
      <c r="BK443" s="50"/>
      <c r="BL443" s="50"/>
      <c r="BM443" s="50"/>
      <c r="BN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168"/>
      <c r="Z444" s="50"/>
      <c r="AA444" s="50"/>
      <c r="AB444" s="50"/>
      <c r="AC444" s="168"/>
      <c r="AD444" s="168"/>
      <c r="AE444" s="168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  <c r="AQ444" s="50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0"/>
      <c r="BC444" s="50"/>
      <c r="BD444" s="50"/>
      <c r="BE444" s="50"/>
      <c r="BF444" s="50"/>
      <c r="BG444" s="50"/>
      <c r="BH444" s="50"/>
      <c r="BI444" s="50"/>
      <c r="BJ444" s="50"/>
      <c r="BK444" s="50"/>
      <c r="BL444" s="50"/>
      <c r="BM444" s="50"/>
      <c r="BN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168"/>
      <c r="Z445" s="50"/>
      <c r="AA445" s="50"/>
      <c r="AB445" s="50"/>
      <c r="AC445" s="168"/>
      <c r="AD445" s="168"/>
      <c r="AE445" s="168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50"/>
      <c r="AQ445" s="50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0"/>
      <c r="BC445" s="50"/>
      <c r="BD445" s="50"/>
      <c r="BE445" s="50"/>
      <c r="BF445" s="50"/>
      <c r="BG445" s="50"/>
      <c r="BH445" s="50"/>
      <c r="BI445" s="50"/>
      <c r="BJ445" s="50"/>
      <c r="BK445" s="50"/>
      <c r="BL445" s="50"/>
      <c r="BM445" s="50"/>
      <c r="BN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168"/>
      <c r="Z446" s="50"/>
      <c r="AA446" s="50"/>
      <c r="AB446" s="50"/>
      <c r="AC446" s="168"/>
      <c r="AD446" s="168"/>
      <c r="AE446" s="168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50"/>
      <c r="AQ446" s="50"/>
      <c r="AR446" s="50"/>
      <c r="AS446" s="50"/>
      <c r="AT446" s="50"/>
      <c r="AU446" s="50"/>
      <c r="AV446" s="50"/>
      <c r="AW446" s="50"/>
      <c r="AX446" s="50"/>
      <c r="AY446" s="50"/>
      <c r="AZ446" s="50"/>
      <c r="BA446" s="50"/>
      <c r="BB446" s="50"/>
      <c r="BC446" s="50"/>
      <c r="BD446" s="50"/>
      <c r="BE446" s="50"/>
      <c r="BF446" s="50"/>
      <c r="BG446" s="50"/>
      <c r="BH446" s="50"/>
      <c r="BI446" s="50"/>
      <c r="BJ446" s="50"/>
      <c r="BK446" s="50"/>
      <c r="BL446" s="50"/>
      <c r="BM446" s="50"/>
      <c r="BN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168"/>
      <c r="Z447" s="50"/>
      <c r="AA447" s="50"/>
      <c r="AB447" s="50"/>
      <c r="AC447" s="168"/>
      <c r="AD447" s="168"/>
      <c r="AE447" s="168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50"/>
      <c r="AQ447" s="50"/>
      <c r="AR447" s="50"/>
      <c r="AS447" s="50"/>
      <c r="AT447" s="50"/>
      <c r="AU447" s="50"/>
      <c r="AV447" s="50"/>
      <c r="AW447" s="50"/>
      <c r="AX447" s="50"/>
      <c r="AY447" s="50"/>
      <c r="AZ447" s="50"/>
      <c r="BA447" s="50"/>
      <c r="BB447" s="50"/>
      <c r="BC447" s="50"/>
      <c r="BD447" s="50"/>
      <c r="BE447" s="50"/>
      <c r="BF447" s="50"/>
      <c r="BG447" s="50"/>
      <c r="BH447" s="50"/>
      <c r="BI447" s="50"/>
      <c r="BJ447" s="50"/>
      <c r="BK447" s="50"/>
      <c r="BL447" s="50"/>
      <c r="BM447" s="50"/>
      <c r="BN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168"/>
      <c r="Z448" s="50"/>
      <c r="AA448" s="50"/>
      <c r="AB448" s="50"/>
      <c r="AC448" s="168"/>
      <c r="AD448" s="168"/>
      <c r="AE448" s="168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50"/>
      <c r="AQ448" s="50"/>
      <c r="AR448" s="50"/>
      <c r="AS448" s="50"/>
      <c r="AT448" s="50"/>
      <c r="AU448" s="50"/>
      <c r="AV448" s="50"/>
      <c r="AW448" s="50"/>
      <c r="AX448" s="50"/>
      <c r="AY448" s="50"/>
      <c r="AZ448" s="50"/>
      <c r="BA448" s="50"/>
      <c r="BB448" s="50"/>
      <c r="BC448" s="50"/>
      <c r="BD448" s="50"/>
      <c r="BE448" s="50"/>
      <c r="BF448" s="50"/>
      <c r="BG448" s="50"/>
      <c r="BH448" s="50"/>
      <c r="BI448" s="50"/>
      <c r="BJ448" s="50"/>
      <c r="BK448" s="50"/>
      <c r="BL448" s="50"/>
      <c r="BM448" s="50"/>
      <c r="BN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168"/>
      <c r="Z449" s="50"/>
      <c r="AA449" s="50"/>
      <c r="AB449" s="50"/>
      <c r="AC449" s="168"/>
      <c r="AD449" s="168"/>
      <c r="AE449" s="168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50"/>
      <c r="AQ449" s="50"/>
      <c r="AR449" s="50"/>
      <c r="AS449" s="50"/>
      <c r="AT449" s="50"/>
      <c r="AU449" s="50"/>
      <c r="AV449" s="50"/>
      <c r="AW449" s="50"/>
      <c r="AX449" s="50"/>
      <c r="AY449" s="50"/>
      <c r="AZ449" s="50"/>
      <c r="BA449" s="50"/>
      <c r="BB449" s="50"/>
      <c r="BC449" s="50"/>
      <c r="BD449" s="50"/>
      <c r="BE449" s="50"/>
      <c r="BF449" s="50"/>
      <c r="BG449" s="50"/>
      <c r="BH449" s="50"/>
      <c r="BI449" s="50"/>
      <c r="BJ449" s="50"/>
      <c r="BK449" s="50"/>
      <c r="BL449" s="50"/>
      <c r="BM449" s="50"/>
      <c r="BN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168"/>
      <c r="Z450" s="50"/>
      <c r="AA450" s="50"/>
      <c r="AB450" s="50"/>
      <c r="AC450" s="168"/>
      <c r="AD450" s="168"/>
      <c r="AE450" s="168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50"/>
      <c r="AQ450" s="50"/>
      <c r="AR450" s="50"/>
      <c r="AS450" s="50"/>
      <c r="AT450" s="50"/>
      <c r="AU450" s="50"/>
      <c r="AV450" s="50"/>
      <c r="AW450" s="50"/>
      <c r="AX450" s="50"/>
      <c r="AY450" s="50"/>
      <c r="AZ450" s="50"/>
      <c r="BA450" s="50"/>
      <c r="BB450" s="50"/>
      <c r="BC450" s="50"/>
      <c r="BD450" s="50"/>
      <c r="BE450" s="50"/>
      <c r="BF450" s="50"/>
      <c r="BG450" s="50"/>
      <c r="BH450" s="50"/>
      <c r="BI450" s="50"/>
      <c r="BJ450" s="50"/>
      <c r="BK450" s="50"/>
      <c r="BL450" s="50"/>
      <c r="BM450" s="50"/>
      <c r="BN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168"/>
      <c r="Z451" s="50"/>
      <c r="AA451" s="50"/>
      <c r="AB451" s="50"/>
      <c r="AC451" s="168"/>
      <c r="AD451" s="168"/>
      <c r="AE451" s="168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50"/>
      <c r="AQ451" s="50"/>
      <c r="AR451" s="50"/>
      <c r="AS451" s="50"/>
      <c r="AT451" s="50"/>
      <c r="AU451" s="50"/>
      <c r="AV451" s="50"/>
      <c r="AW451" s="50"/>
      <c r="AX451" s="50"/>
      <c r="AY451" s="50"/>
      <c r="AZ451" s="50"/>
      <c r="BA451" s="50"/>
      <c r="BB451" s="50"/>
      <c r="BC451" s="50"/>
      <c r="BD451" s="50"/>
      <c r="BE451" s="50"/>
      <c r="BF451" s="50"/>
      <c r="BG451" s="50"/>
      <c r="BH451" s="50"/>
      <c r="BI451" s="50"/>
      <c r="BJ451" s="50"/>
      <c r="BK451" s="50"/>
      <c r="BL451" s="50"/>
      <c r="BM451" s="50"/>
      <c r="BN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168"/>
      <c r="Z452" s="50"/>
      <c r="AA452" s="50"/>
      <c r="AB452" s="50"/>
      <c r="AC452" s="168"/>
      <c r="AD452" s="168"/>
      <c r="AE452" s="168"/>
      <c r="AF452" s="50"/>
      <c r="AG452" s="50"/>
      <c r="AH452" s="50"/>
      <c r="AI452" s="50"/>
      <c r="AJ452" s="50"/>
      <c r="AK452" s="50"/>
      <c r="AL452" s="50"/>
      <c r="AM452" s="50"/>
      <c r="AN452" s="50"/>
      <c r="AO452" s="50"/>
      <c r="AP452" s="50"/>
      <c r="AQ452" s="50"/>
      <c r="AR452" s="50"/>
      <c r="AS452" s="50"/>
      <c r="AT452" s="50"/>
      <c r="AU452" s="50"/>
      <c r="AV452" s="50"/>
      <c r="AW452" s="50"/>
      <c r="AX452" s="50"/>
      <c r="AY452" s="50"/>
      <c r="AZ452" s="50"/>
      <c r="BA452" s="50"/>
      <c r="BB452" s="50"/>
      <c r="BC452" s="50"/>
      <c r="BD452" s="50"/>
      <c r="BE452" s="50"/>
      <c r="BF452" s="50"/>
      <c r="BG452" s="50"/>
      <c r="BH452" s="50"/>
      <c r="BI452" s="50"/>
      <c r="BJ452" s="50"/>
      <c r="BK452" s="50"/>
      <c r="BL452" s="50"/>
      <c r="BM452" s="50"/>
      <c r="BN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168"/>
      <c r="Z453" s="50"/>
      <c r="AA453" s="50"/>
      <c r="AB453" s="50"/>
      <c r="AC453" s="168"/>
      <c r="AD453" s="168"/>
      <c r="AE453" s="168"/>
      <c r="AF453" s="50"/>
      <c r="AG453" s="50"/>
      <c r="AH453" s="50"/>
      <c r="AI453" s="50"/>
      <c r="AJ453" s="50"/>
      <c r="AK453" s="50"/>
      <c r="AL453" s="50"/>
      <c r="AM453" s="50"/>
      <c r="AN453" s="50"/>
      <c r="AO453" s="50"/>
      <c r="AP453" s="50"/>
      <c r="AQ453" s="50"/>
      <c r="AR453" s="50"/>
      <c r="AS453" s="50"/>
      <c r="AT453" s="50"/>
      <c r="AU453" s="50"/>
      <c r="AV453" s="50"/>
      <c r="AW453" s="50"/>
      <c r="AX453" s="50"/>
      <c r="AY453" s="50"/>
      <c r="AZ453" s="50"/>
      <c r="BA453" s="50"/>
      <c r="BB453" s="50"/>
      <c r="BC453" s="50"/>
      <c r="BD453" s="50"/>
      <c r="BE453" s="50"/>
      <c r="BF453" s="50"/>
      <c r="BG453" s="50"/>
      <c r="BH453" s="50"/>
      <c r="BI453" s="50"/>
      <c r="BJ453" s="50"/>
      <c r="BK453" s="50"/>
      <c r="BL453" s="50"/>
      <c r="BM453" s="50"/>
      <c r="BN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168"/>
      <c r="Z454" s="50"/>
      <c r="AA454" s="50"/>
      <c r="AB454" s="50"/>
      <c r="AC454" s="168"/>
      <c r="AD454" s="168"/>
      <c r="AE454" s="168"/>
      <c r="AF454" s="50"/>
      <c r="AG454" s="50"/>
      <c r="AH454" s="50"/>
      <c r="AI454" s="50"/>
      <c r="AJ454" s="50"/>
      <c r="AK454" s="50"/>
      <c r="AL454" s="50"/>
      <c r="AM454" s="50"/>
      <c r="AN454" s="50"/>
      <c r="AO454" s="50"/>
      <c r="AP454" s="50"/>
      <c r="AQ454" s="50"/>
      <c r="AR454" s="50"/>
      <c r="AS454" s="50"/>
      <c r="AT454" s="50"/>
      <c r="AU454" s="50"/>
      <c r="AV454" s="50"/>
      <c r="AW454" s="50"/>
      <c r="AX454" s="50"/>
      <c r="AY454" s="50"/>
      <c r="AZ454" s="50"/>
      <c r="BA454" s="50"/>
      <c r="BB454" s="50"/>
      <c r="BC454" s="50"/>
      <c r="BD454" s="50"/>
      <c r="BE454" s="50"/>
      <c r="BF454" s="50"/>
      <c r="BG454" s="50"/>
      <c r="BH454" s="50"/>
      <c r="BI454" s="50"/>
      <c r="BJ454" s="50"/>
      <c r="BK454" s="50"/>
      <c r="BL454" s="50"/>
      <c r="BM454" s="50"/>
      <c r="BN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168"/>
      <c r="Z455" s="50"/>
      <c r="AA455" s="50"/>
      <c r="AB455" s="50"/>
      <c r="AC455" s="168"/>
      <c r="AD455" s="168"/>
      <c r="AE455" s="168"/>
      <c r="AF455" s="50"/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  <c r="AQ455" s="50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50"/>
      <c r="BE455" s="50"/>
      <c r="BF455" s="50"/>
      <c r="BG455" s="50"/>
      <c r="BH455" s="50"/>
      <c r="BI455" s="50"/>
      <c r="BJ455" s="50"/>
      <c r="BK455" s="50"/>
      <c r="BL455" s="50"/>
      <c r="BM455" s="50"/>
      <c r="BN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168"/>
      <c r="Z456" s="50"/>
      <c r="AA456" s="50"/>
      <c r="AB456" s="50"/>
      <c r="AC456" s="168"/>
      <c r="AD456" s="168"/>
      <c r="AE456" s="168"/>
      <c r="AF456" s="50"/>
      <c r="AG456" s="50"/>
      <c r="AH456" s="50"/>
      <c r="AI456" s="50"/>
      <c r="AJ456" s="50"/>
      <c r="AK456" s="50"/>
      <c r="AL456" s="50"/>
      <c r="AM456" s="50"/>
      <c r="AN456" s="50"/>
      <c r="AO456" s="50"/>
      <c r="AP456" s="50"/>
      <c r="AQ456" s="50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0"/>
      <c r="BC456" s="50"/>
      <c r="BD456" s="50"/>
      <c r="BE456" s="50"/>
      <c r="BF456" s="50"/>
      <c r="BG456" s="50"/>
      <c r="BH456" s="50"/>
      <c r="BI456" s="50"/>
      <c r="BJ456" s="50"/>
      <c r="BK456" s="50"/>
      <c r="BL456" s="50"/>
      <c r="BM456" s="50"/>
      <c r="BN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168"/>
      <c r="Z457" s="50"/>
      <c r="AA457" s="50"/>
      <c r="AB457" s="50"/>
      <c r="AC457" s="168"/>
      <c r="AD457" s="168"/>
      <c r="AE457" s="168"/>
      <c r="AF457" s="50"/>
      <c r="AG457" s="50"/>
      <c r="AH457" s="50"/>
      <c r="AI457" s="50"/>
      <c r="AJ457" s="50"/>
      <c r="AK457" s="50"/>
      <c r="AL457" s="50"/>
      <c r="AM457" s="50"/>
      <c r="AN457" s="50"/>
      <c r="AO457" s="50"/>
      <c r="AP457" s="50"/>
      <c r="AQ457" s="50"/>
      <c r="AR457" s="50"/>
      <c r="AS457" s="50"/>
      <c r="AT457" s="50"/>
      <c r="AU457" s="50"/>
      <c r="AV457" s="50"/>
      <c r="AW457" s="50"/>
      <c r="AX457" s="50"/>
      <c r="AY457" s="50"/>
      <c r="AZ457" s="50"/>
      <c r="BA457" s="50"/>
      <c r="BB457" s="50"/>
      <c r="BC457" s="50"/>
      <c r="BD457" s="50"/>
      <c r="BE457" s="50"/>
      <c r="BF457" s="50"/>
      <c r="BG457" s="50"/>
      <c r="BH457" s="50"/>
      <c r="BI457" s="50"/>
      <c r="BJ457" s="50"/>
      <c r="BK457" s="50"/>
      <c r="BL457" s="50"/>
      <c r="BM457" s="50"/>
      <c r="BN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168"/>
      <c r="Z458" s="50"/>
      <c r="AA458" s="50"/>
      <c r="AB458" s="50"/>
      <c r="AC458" s="168"/>
      <c r="AD458" s="168"/>
      <c r="AE458" s="168"/>
      <c r="AF458" s="50"/>
      <c r="AG458" s="50"/>
      <c r="AH458" s="50"/>
      <c r="AI458" s="50"/>
      <c r="AJ458" s="50"/>
      <c r="AK458" s="50"/>
      <c r="AL458" s="50"/>
      <c r="AM458" s="50"/>
      <c r="AN458" s="50"/>
      <c r="AO458" s="50"/>
      <c r="AP458" s="50"/>
      <c r="AQ458" s="50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50"/>
      <c r="BE458" s="50"/>
      <c r="BF458" s="50"/>
      <c r="BG458" s="50"/>
      <c r="BH458" s="50"/>
      <c r="BI458" s="50"/>
      <c r="BJ458" s="50"/>
      <c r="BK458" s="50"/>
      <c r="BL458" s="50"/>
      <c r="BM458" s="50"/>
      <c r="BN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168"/>
      <c r="Z459" s="50"/>
      <c r="AA459" s="50"/>
      <c r="AB459" s="50"/>
      <c r="AC459" s="168"/>
      <c r="AD459" s="168"/>
      <c r="AE459" s="168"/>
      <c r="AF459" s="50"/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50"/>
      <c r="BE459" s="50"/>
      <c r="BF459" s="50"/>
      <c r="BG459" s="50"/>
      <c r="BH459" s="50"/>
      <c r="BI459" s="50"/>
      <c r="BJ459" s="50"/>
      <c r="BK459" s="50"/>
      <c r="BL459" s="50"/>
      <c r="BM459" s="50"/>
      <c r="BN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168"/>
      <c r="Z460" s="50"/>
      <c r="AA460" s="50"/>
      <c r="AB460" s="50"/>
      <c r="AC460" s="168"/>
      <c r="AD460" s="168"/>
      <c r="AE460" s="168"/>
      <c r="AF460" s="50"/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  <c r="AQ460" s="50"/>
      <c r="AR460" s="50"/>
      <c r="AS460" s="50"/>
      <c r="AT460" s="50"/>
      <c r="AU460" s="50"/>
      <c r="AV460" s="50"/>
      <c r="AW460" s="50"/>
      <c r="AX460" s="50"/>
      <c r="AY460" s="50"/>
      <c r="AZ460" s="50"/>
      <c r="BA460" s="50"/>
      <c r="BB460" s="50"/>
      <c r="BC460" s="50"/>
      <c r="BD460" s="50"/>
      <c r="BE460" s="50"/>
      <c r="BF460" s="50"/>
      <c r="BG460" s="50"/>
      <c r="BH460" s="50"/>
      <c r="BI460" s="50"/>
      <c r="BJ460" s="50"/>
      <c r="BK460" s="50"/>
      <c r="BL460" s="50"/>
      <c r="BM460" s="50"/>
      <c r="BN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168"/>
      <c r="Z461" s="50"/>
      <c r="AA461" s="50"/>
      <c r="AB461" s="50"/>
      <c r="AC461" s="168"/>
      <c r="AD461" s="168"/>
      <c r="AE461" s="168"/>
      <c r="AF461" s="50"/>
      <c r="AG461" s="50"/>
      <c r="AH461" s="50"/>
      <c r="AI461" s="50"/>
      <c r="AJ461" s="50"/>
      <c r="AK461" s="50"/>
      <c r="AL461" s="50"/>
      <c r="AM461" s="50"/>
      <c r="AN461" s="50"/>
      <c r="AO461" s="50"/>
      <c r="AP461" s="50"/>
      <c r="AQ461" s="50"/>
      <c r="AR461" s="50"/>
      <c r="AS461" s="50"/>
      <c r="AT461" s="50"/>
      <c r="AU461" s="50"/>
      <c r="AV461" s="50"/>
      <c r="AW461" s="50"/>
      <c r="AX461" s="50"/>
      <c r="AY461" s="50"/>
      <c r="AZ461" s="50"/>
      <c r="BA461" s="50"/>
      <c r="BB461" s="50"/>
      <c r="BC461" s="50"/>
      <c r="BD461" s="50"/>
      <c r="BE461" s="50"/>
      <c r="BF461" s="50"/>
      <c r="BG461" s="50"/>
      <c r="BH461" s="50"/>
      <c r="BI461" s="50"/>
      <c r="BJ461" s="50"/>
      <c r="BK461" s="50"/>
      <c r="BL461" s="50"/>
      <c r="BM461" s="50"/>
      <c r="BN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168"/>
      <c r="Z462" s="50"/>
      <c r="AA462" s="50"/>
      <c r="AB462" s="50"/>
      <c r="AC462" s="168"/>
      <c r="AD462" s="168"/>
      <c r="AE462" s="168"/>
      <c r="AF462" s="50"/>
      <c r="AG462" s="50"/>
      <c r="AH462" s="50"/>
      <c r="AI462" s="50"/>
      <c r="AJ462" s="50"/>
      <c r="AK462" s="50"/>
      <c r="AL462" s="50"/>
      <c r="AM462" s="50"/>
      <c r="AN462" s="50"/>
      <c r="AO462" s="50"/>
      <c r="AP462" s="50"/>
      <c r="AQ462" s="50"/>
      <c r="AR462" s="50"/>
      <c r="AS462" s="50"/>
      <c r="AT462" s="50"/>
      <c r="AU462" s="50"/>
      <c r="AV462" s="50"/>
      <c r="AW462" s="50"/>
      <c r="AX462" s="50"/>
      <c r="AY462" s="50"/>
      <c r="AZ462" s="50"/>
      <c r="BA462" s="50"/>
      <c r="BB462" s="50"/>
      <c r="BC462" s="50"/>
      <c r="BD462" s="50"/>
      <c r="BE462" s="50"/>
      <c r="BF462" s="50"/>
      <c r="BG462" s="50"/>
      <c r="BH462" s="50"/>
      <c r="BI462" s="50"/>
      <c r="BJ462" s="50"/>
      <c r="BK462" s="50"/>
      <c r="BL462" s="50"/>
      <c r="BM462" s="50"/>
      <c r="BN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168"/>
      <c r="Z463" s="50"/>
      <c r="AA463" s="50"/>
      <c r="AB463" s="50"/>
      <c r="AC463" s="168"/>
      <c r="AD463" s="168"/>
      <c r="AE463" s="168"/>
      <c r="AF463" s="50"/>
      <c r="AG463" s="50"/>
      <c r="AH463" s="50"/>
      <c r="AI463" s="50"/>
      <c r="AJ463" s="50"/>
      <c r="AK463" s="50"/>
      <c r="AL463" s="50"/>
      <c r="AM463" s="50"/>
      <c r="AN463" s="50"/>
      <c r="AO463" s="50"/>
      <c r="AP463" s="50"/>
      <c r="AQ463" s="50"/>
      <c r="AR463" s="50"/>
      <c r="AS463" s="50"/>
      <c r="AT463" s="50"/>
      <c r="AU463" s="50"/>
      <c r="AV463" s="50"/>
      <c r="AW463" s="50"/>
      <c r="AX463" s="50"/>
      <c r="AY463" s="50"/>
      <c r="AZ463" s="50"/>
      <c r="BA463" s="50"/>
      <c r="BB463" s="50"/>
      <c r="BC463" s="50"/>
      <c r="BD463" s="50"/>
      <c r="BE463" s="50"/>
      <c r="BF463" s="50"/>
      <c r="BG463" s="50"/>
      <c r="BH463" s="50"/>
      <c r="BI463" s="50"/>
      <c r="BJ463" s="50"/>
      <c r="BK463" s="50"/>
      <c r="BL463" s="50"/>
      <c r="BM463" s="50"/>
      <c r="BN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168"/>
      <c r="Z464" s="50"/>
      <c r="AA464" s="50"/>
      <c r="AB464" s="50"/>
      <c r="AC464" s="168"/>
      <c r="AD464" s="168"/>
      <c r="AE464" s="168"/>
      <c r="AF464" s="50"/>
      <c r="AG464" s="50"/>
      <c r="AH464" s="50"/>
      <c r="AI464" s="50"/>
      <c r="AJ464" s="50"/>
      <c r="AK464" s="50"/>
      <c r="AL464" s="50"/>
      <c r="AM464" s="50"/>
      <c r="AN464" s="50"/>
      <c r="AO464" s="50"/>
      <c r="AP464" s="50"/>
      <c r="AQ464" s="50"/>
      <c r="AR464" s="50"/>
      <c r="AS464" s="50"/>
      <c r="AT464" s="50"/>
      <c r="AU464" s="50"/>
      <c r="AV464" s="50"/>
      <c r="AW464" s="50"/>
      <c r="AX464" s="50"/>
      <c r="AY464" s="50"/>
      <c r="AZ464" s="50"/>
      <c r="BA464" s="50"/>
      <c r="BB464" s="50"/>
      <c r="BC464" s="50"/>
      <c r="BD464" s="50"/>
      <c r="BE464" s="50"/>
      <c r="BF464" s="50"/>
      <c r="BG464" s="50"/>
      <c r="BH464" s="50"/>
      <c r="BI464" s="50"/>
      <c r="BJ464" s="50"/>
      <c r="BK464" s="50"/>
      <c r="BL464" s="50"/>
      <c r="BM464" s="50"/>
      <c r="BN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168"/>
      <c r="Z465" s="50"/>
      <c r="AA465" s="50"/>
      <c r="AB465" s="50"/>
      <c r="AC465" s="168"/>
      <c r="AD465" s="168"/>
      <c r="AE465" s="168"/>
      <c r="AF465" s="50"/>
      <c r="AG465" s="50"/>
      <c r="AH465" s="50"/>
      <c r="AI465" s="50"/>
      <c r="AJ465" s="50"/>
      <c r="AK465" s="50"/>
      <c r="AL465" s="50"/>
      <c r="AM465" s="50"/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168"/>
      <c r="Z466" s="50"/>
      <c r="AA466" s="50"/>
      <c r="AB466" s="50"/>
      <c r="AC466" s="168"/>
      <c r="AD466" s="168"/>
      <c r="AE466" s="168"/>
      <c r="AF466" s="50"/>
      <c r="AG466" s="50"/>
      <c r="AH466" s="50"/>
      <c r="AI466" s="50"/>
      <c r="AJ466" s="50"/>
      <c r="AK466" s="50"/>
      <c r="AL466" s="50"/>
      <c r="AM466" s="50"/>
      <c r="AN466" s="50"/>
      <c r="AO466" s="50"/>
      <c r="AP466" s="50"/>
      <c r="AQ466" s="50"/>
      <c r="AR466" s="50"/>
      <c r="AS466" s="50"/>
      <c r="AT466" s="50"/>
      <c r="AU466" s="50"/>
      <c r="AV466" s="50"/>
      <c r="AW466" s="50"/>
      <c r="AX466" s="50"/>
      <c r="AY466" s="50"/>
      <c r="AZ466" s="50"/>
      <c r="BA466" s="50"/>
      <c r="BB466" s="50"/>
      <c r="BC466" s="50"/>
      <c r="BD466" s="50"/>
      <c r="BE466" s="50"/>
      <c r="BF466" s="50"/>
      <c r="BG466" s="50"/>
      <c r="BH466" s="50"/>
      <c r="BI466" s="50"/>
      <c r="BJ466" s="50"/>
      <c r="BK466" s="50"/>
      <c r="BL466" s="50"/>
      <c r="BM466" s="50"/>
      <c r="BN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168"/>
      <c r="Z467" s="50"/>
      <c r="AA467" s="50"/>
      <c r="AB467" s="50"/>
      <c r="AC467" s="168"/>
      <c r="AD467" s="168"/>
      <c r="AE467" s="168"/>
      <c r="AF467" s="50"/>
      <c r="AG467" s="50"/>
      <c r="AH467" s="50"/>
      <c r="AI467" s="50"/>
      <c r="AJ467" s="50"/>
      <c r="AK467" s="50"/>
      <c r="AL467" s="50"/>
      <c r="AM467" s="50"/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/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168"/>
      <c r="Z468" s="50"/>
      <c r="AA468" s="50"/>
      <c r="AB468" s="50"/>
      <c r="AC468" s="168"/>
      <c r="AD468" s="168"/>
      <c r="AE468" s="168"/>
      <c r="AF468" s="50"/>
      <c r="AG468" s="50"/>
      <c r="AH468" s="50"/>
      <c r="AI468" s="50"/>
      <c r="AJ468" s="50"/>
      <c r="AK468" s="50"/>
      <c r="AL468" s="50"/>
      <c r="AM468" s="50"/>
      <c r="AN468" s="50"/>
      <c r="AO468" s="50"/>
      <c r="AP468" s="50"/>
      <c r="AQ468" s="50"/>
      <c r="AR468" s="50"/>
      <c r="AS468" s="50"/>
      <c r="AT468" s="50"/>
      <c r="AU468" s="50"/>
      <c r="AV468" s="50"/>
      <c r="AW468" s="50"/>
      <c r="AX468" s="50"/>
      <c r="AY468" s="50"/>
      <c r="AZ468" s="50"/>
      <c r="BA468" s="50"/>
      <c r="BB468" s="50"/>
      <c r="BC468" s="50"/>
      <c r="BD468" s="50"/>
      <c r="BE468" s="50"/>
      <c r="BF468" s="50"/>
      <c r="BG468" s="50"/>
      <c r="BH468" s="50"/>
      <c r="BI468" s="50"/>
      <c r="BJ468" s="50"/>
      <c r="BK468" s="50"/>
      <c r="BL468" s="50"/>
      <c r="BM468" s="50"/>
      <c r="BN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168"/>
      <c r="Z469" s="50"/>
      <c r="AA469" s="50"/>
      <c r="AB469" s="50"/>
      <c r="AC469" s="168"/>
      <c r="AD469" s="168"/>
      <c r="AE469" s="168"/>
      <c r="AF469" s="50"/>
      <c r="AG469" s="50"/>
      <c r="AH469" s="50"/>
      <c r="AI469" s="50"/>
      <c r="AJ469" s="50"/>
      <c r="AK469" s="50"/>
      <c r="AL469" s="50"/>
      <c r="AM469" s="50"/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/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168"/>
      <c r="Z470" s="50"/>
      <c r="AA470" s="50"/>
      <c r="AB470" s="50"/>
      <c r="AC470" s="168"/>
      <c r="AD470" s="168"/>
      <c r="AE470" s="168"/>
      <c r="AF470" s="50"/>
      <c r="AG470" s="50"/>
      <c r="AH470" s="50"/>
      <c r="AI470" s="50"/>
      <c r="AJ470" s="50"/>
      <c r="AK470" s="50"/>
      <c r="AL470" s="50"/>
      <c r="AM470" s="50"/>
      <c r="AN470" s="50"/>
      <c r="AO470" s="50"/>
      <c r="AP470" s="50"/>
      <c r="AQ470" s="50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50"/>
      <c r="BE470" s="50"/>
      <c r="BF470" s="50"/>
      <c r="BG470" s="50"/>
      <c r="BH470" s="50"/>
      <c r="BI470" s="50"/>
      <c r="BJ470" s="50"/>
      <c r="BK470" s="50"/>
      <c r="BL470" s="50"/>
      <c r="BM470" s="50"/>
      <c r="BN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168"/>
      <c r="Z471" s="50"/>
      <c r="AA471" s="50"/>
      <c r="AB471" s="50"/>
      <c r="AC471" s="168"/>
      <c r="AD471" s="168"/>
      <c r="AE471" s="168"/>
      <c r="AF471" s="50"/>
      <c r="AG471" s="50"/>
      <c r="AH471" s="50"/>
      <c r="AI471" s="50"/>
      <c r="AJ471" s="50"/>
      <c r="AK471" s="50"/>
      <c r="AL471" s="50"/>
      <c r="AM471" s="50"/>
      <c r="AN471" s="50"/>
      <c r="AO471" s="50"/>
      <c r="AP471" s="50"/>
      <c r="AQ471" s="50"/>
      <c r="AR471" s="50"/>
      <c r="AS471" s="50"/>
      <c r="AT471" s="50"/>
      <c r="AU471" s="50"/>
      <c r="AV471" s="50"/>
      <c r="AW471" s="50"/>
      <c r="AX471" s="50"/>
      <c r="AY471" s="50"/>
      <c r="AZ471" s="50"/>
      <c r="BA471" s="50"/>
      <c r="BB471" s="50"/>
      <c r="BC471" s="50"/>
      <c r="BD471" s="50"/>
      <c r="BE471" s="50"/>
      <c r="BF471" s="50"/>
      <c r="BG471" s="50"/>
      <c r="BH471" s="50"/>
      <c r="BI471" s="50"/>
      <c r="BJ471" s="50"/>
      <c r="BK471" s="50"/>
      <c r="BL471" s="50"/>
      <c r="BM471" s="50"/>
      <c r="BN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168"/>
      <c r="Z472" s="50"/>
      <c r="AA472" s="50"/>
      <c r="AB472" s="50"/>
      <c r="AC472" s="168"/>
      <c r="AD472" s="168"/>
      <c r="AE472" s="168"/>
      <c r="AF472" s="50"/>
      <c r="AG472" s="50"/>
      <c r="AH472" s="50"/>
      <c r="AI472" s="50"/>
      <c r="AJ472" s="50"/>
      <c r="AK472" s="50"/>
      <c r="AL472" s="50"/>
      <c r="AM472" s="50"/>
      <c r="AN472" s="50"/>
      <c r="AO472" s="50"/>
      <c r="AP472" s="50"/>
      <c r="AQ472" s="50"/>
      <c r="AR472" s="50"/>
      <c r="AS472" s="50"/>
      <c r="AT472" s="50"/>
      <c r="AU472" s="50"/>
      <c r="AV472" s="50"/>
      <c r="AW472" s="50"/>
      <c r="AX472" s="50"/>
      <c r="AY472" s="50"/>
      <c r="AZ472" s="50"/>
      <c r="BA472" s="50"/>
      <c r="BB472" s="50"/>
      <c r="BC472" s="50"/>
      <c r="BD472" s="50"/>
      <c r="BE472" s="50"/>
      <c r="BF472" s="50"/>
      <c r="BG472" s="50"/>
      <c r="BH472" s="50"/>
      <c r="BI472" s="50"/>
      <c r="BJ472" s="50"/>
      <c r="BK472" s="50"/>
      <c r="BL472" s="50"/>
      <c r="BM472" s="50"/>
      <c r="BN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168"/>
      <c r="Z473" s="50"/>
      <c r="AA473" s="50"/>
      <c r="AB473" s="50"/>
      <c r="AC473" s="168"/>
      <c r="AD473" s="168"/>
      <c r="AE473" s="168"/>
      <c r="AF473" s="50"/>
      <c r="AG473" s="50"/>
      <c r="AH473" s="50"/>
      <c r="AI473" s="50"/>
      <c r="AJ473" s="50"/>
      <c r="AK473" s="50"/>
      <c r="AL473" s="50"/>
      <c r="AM473" s="50"/>
      <c r="AN473" s="50"/>
      <c r="AO473" s="50"/>
      <c r="AP473" s="50"/>
      <c r="AQ473" s="50"/>
      <c r="AR473" s="50"/>
      <c r="AS473" s="50"/>
      <c r="AT473" s="50"/>
      <c r="AU473" s="50"/>
      <c r="AV473" s="50"/>
      <c r="AW473" s="50"/>
      <c r="AX473" s="50"/>
      <c r="AY473" s="50"/>
      <c r="AZ473" s="50"/>
      <c r="BA473" s="50"/>
      <c r="BB473" s="50"/>
      <c r="BC473" s="50"/>
      <c r="BD473" s="50"/>
      <c r="BE473" s="50"/>
      <c r="BF473" s="50"/>
      <c r="BG473" s="50"/>
      <c r="BH473" s="50"/>
      <c r="BI473" s="50"/>
      <c r="BJ473" s="50"/>
      <c r="BK473" s="50"/>
      <c r="BL473" s="50"/>
      <c r="BM473" s="50"/>
      <c r="BN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168"/>
      <c r="Z474" s="50"/>
      <c r="AA474" s="50"/>
      <c r="AB474" s="50"/>
      <c r="AC474" s="168"/>
      <c r="AD474" s="168"/>
      <c r="AE474" s="168"/>
      <c r="AF474" s="50"/>
      <c r="AG474" s="50"/>
      <c r="AH474" s="50"/>
      <c r="AI474" s="50"/>
      <c r="AJ474" s="50"/>
      <c r="AK474" s="50"/>
      <c r="AL474" s="50"/>
      <c r="AM474" s="50"/>
      <c r="AN474" s="50"/>
      <c r="AO474" s="50"/>
      <c r="AP474" s="50"/>
      <c r="AQ474" s="50"/>
      <c r="AR474" s="50"/>
      <c r="AS474" s="50"/>
      <c r="AT474" s="50"/>
      <c r="AU474" s="50"/>
      <c r="AV474" s="50"/>
      <c r="AW474" s="50"/>
      <c r="AX474" s="50"/>
      <c r="AY474" s="50"/>
      <c r="AZ474" s="50"/>
      <c r="BA474" s="50"/>
      <c r="BB474" s="50"/>
      <c r="BC474" s="50"/>
      <c r="BD474" s="50"/>
      <c r="BE474" s="50"/>
      <c r="BF474" s="50"/>
      <c r="BG474" s="50"/>
      <c r="BH474" s="50"/>
      <c r="BI474" s="50"/>
      <c r="BJ474" s="50"/>
      <c r="BK474" s="50"/>
      <c r="BL474" s="50"/>
      <c r="BM474" s="50"/>
      <c r="BN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168"/>
      <c r="Z475" s="50"/>
      <c r="AA475" s="50"/>
      <c r="AB475" s="50"/>
      <c r="AC475" s="168"/>
      <c r="AD475" s="168"/>
      <c r="AE475" s="168"/>
      <c r="AF475" s="50"/>
      <c r="AG475" s="50"/>
      <c r="AH475" s="50"/>
      <c r="AI475" s="50"/>
      <c r="AJ475" s="50"/>
      <c r="AK475" s="50"/>
      <c r="AL475" s="50"/>
      <c r="AM475" s="50"/>
      <c r="AN475" s="50"/>
      <c r="AO475" s="50"/>
      <c r="AP475" s="50"/>
      <c r="AQ475" s="50"/>
      <c r="AR475" s="50"/>
      <c r="AS475" s="50"/>
      <c r="AT475" s="50"/>
      <c r="AU475" s="50"/>
      <c r="AV475" s="50"/>
      <c r="AW475" s="50"/>
      <c r="AX475" s="50"/>
      <c r="AY475" s="50"/>
      <c r="AZ475" s="50"/>
      <c r="BA475" s="50"/>
      <c r="BB475" s="50"/>
      <c r="BC475" s="50"/>
      <c r="BD475" s="50"/>
      <c r="BE475" s="50"/>
      <c r="BF475" s="50"/>
      <c r="BG475" s="50"/>
      <c r="BH475" s="50"/>
      <c r="BI475" s="50"/>
      <c r="BJ475" s="50"/>
      <c r="BK475" s="50"/>
      <c r="BL475" s="50"/>
      <c r="BM475" s="50"/>
      <c r="BN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168"/>
      <c r="Z476" s="50"/>
      <c r="AA476" s="50"/>
      <c r="AB476" s="50"/>
      <c r="AC476" s="168"/>
      <c r="AD476" s="168"/>
      <c r="AE476" s="168"/>
      <c r="AF476" s="50"/>
      <c r="AG476" s="50"/>
      <c r="AH476" s="50"/>
      <c r="AI476" s="50"/>
      <c r="AJ476" s="50"/>
      <c r="AK476" s="50"/>
      <c r="AL476" s="50"/>
      <c r="AM476" s="50"/>
      <c r="AN476" s="50"/>
      <c r="AO476" s="50"/>
      <c r="AP476" s="50"/>
      <c r="AQ476" s="50"/>
      <c r="AR476" s="50"/>
      <c r="AS476" s="50"/>
      <c r="AT476" s="50"/>
      <c r="AU476" s="50"/>
      <c r="AV476" s="50"/>
      <c r="AW476" s="50"/>
      <c r="AX476" s="50"/>
      <c r="AY476" s="50"/>
      <c r="AZ476" s="50"/>
      <c r="BA476" s="50"/>
      <c r="BB476" s="50"/>
      <c r="BC476" s="50"/>
      <c r="BD476" s="50"/>
      <c r="BE476" s="50"/>
      <c r="BF476" s="50"/>
      <c r="BG476" s="50"/>
      <c r="BH476" s="50"/>
      <c r="BI476" s="50"/>
      <c r="BJ476" s="50"/>
      <c r="BK476" s="50"/>
      <c r="BL476" s="50"/>
      <c r="BM476" s="50"/>
      <c r="BN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168"/>
      <c r="Z477" s="50"/>
      <c r="AA477" s="50"/>
      <c r="AB477" s="50"/>
      <c r="AC477" s="168"/>
      <c r="AD477" s="168"/>
      <c r="AE477" s="168"/>
      <c r="AF477" s="50"/>
      <c r="AG477" s="50"/>
      <c r="AH477" s="50"/>
      <c r="AI477" s="50"/>
      <c r="AJ477" s="50"/>
      <c r="AK477" s="50"/>
      <c r="AL477" s="50"/>
      <c r="AM477" s="50"/>
      <c r="AN477" s="50"/>
      <c r="AO477" s="50"/>
      <c r="AP477" s="50"/>
      <c r="AQ477" s="50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50"/>
      <c r="BE477" s="50"/>
      <c r="BF477" s="50"/>
      <c r="BG477" s="50"/>
      <c r="BH477" s="50"/>
      <c r="BI477" s="50"/>
      <c r="BJ477" s="50"/>
      <c r="BK477" s="50"/>
      <c r="BL477" s="50"/>
      <c r="BM477" s="50"/>
      <c r="BN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168"/>
      <c r="Z478" s="50"/>
      <c r="AA478" s="50"/>
      <c r="AB478" s="50"/>
      <c r="AC478" s="168"/>
      <c r="AD478" s="168"/>
      <c r="AE478" s="168"/>
      <c r="AF478" s="50"/>
      <c r="AG478" s="50"/>
      <c r="AH478" s="50"/>
      <c r="AI478" s="50"/>
      <c r="AJ478" s="50"/>
      <c r="AK478" s="50"/>
      <c r="AL478" s="50"/>
      <c r="AM478" s="50"/>
      <c r="AN478" s="50"/>
      <c r="AO478" s="50"/>
      <c r="AP478" s="50"/>
      <c r="AQ478" s="50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50"/>
      <c r="BE478" s="50"/>
      <c r="BF478" s="50"/>
      <c r="BG478" s="50"/>
      <c r="BH478" s="50"/>
      <c r="BI478" s="50"/>
      <c r="BJ478" s="50"/>
      <c r="BK478" s="50"/>
      <c r="BL478" s="50"/>
      <c r="BM478" s="50"/>
      <c r="BN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168"/>
      <c r="Z479" s="50"/>
      <c r="AA479" s="50"/>
      <c r="AB479" s="50"/>
      <c r="AC479" s="168"/>
      <c r="AD479" s="168"/>
      <c r="AE479" s="168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50"/>
      <c r="AR479" s="50"/>
      <c r="AS479" s="50"/>
      <c r="AT479" s="50"/>
      <c r="AU479" s="50"/>
      <c r="AV479" s="50"/>
      <c r="AW479" s="50"/>
      <c r="AX479" s="50"/>
      <c r="AY479" s="50"/>
      <c r="AZ479" s="50"/>
      <c r="BA479" s="50"/>
      <c r="BB479" s="50"/>
      <c r="BC479" s="50"/>
      <c r="BD479" s="50"/>
      <c r="BE479" s="50"/>
      <c r="BF479" s="50"/>
      <c r="BG479" s="50"/>
      <c r="BH479" s="50"/>
      <c r="BI479" s="50"/>
      <c r="BJ479" s="50"/>
      <c r="BK479" s="50"/>
      <c r="BL479" s="50"/>
      <c r="BM479" s="50"/>
      <c r="BN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168"/>
      <c r="Z480" s="50"/>
      <c r="AA480" s="50"/>
      <c r="AB480" s="50"/>
      <c r="AC480" s="168"/>
      <c r="AD480" s="168"/>
      <c r="AE480" s="168"/>
      <c r="AF480" s="50"/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  <c r="AQ480" s="50"/>
      <c r="AR480" s="50"/>
      <c r="AS480" s="50"/>
      <c r="AT480" s="50"/>
      <c r="AU480" s="50"/>
      <c r="AV480" s="50"/>
      <c r="AW480" s="50"/>
      <c r="AX480" s="50"/>
      <c r="AY480" s="50"/>
      <c r="AZ480" s="50"/>
      <c r="BA480" s="50"/>
      <c r="BB480" s="50"/>
      <c r="BC480" s="50"/>
      <c r="BD480" s="50"/>
      <c r="BE480" s="50"/>
      <c r="BF480" s="50"/>
      <c r="BG480" s="50"/>
      <c r="BH480" s="50"/>
      <c r="BI480" s="50"/>
      <c r="BJ480" s="50"/>
      <c r="BK480" s="50"/>
      <c r="BL480" s="50"/>
      <c r="BM480" s="50"/>
      <c r="BN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168"/>
      <c r="Z481" s="50"/>
      <c r="AA481" s="50"/>
      <c r="AB481" s="50"/>
      <c r="AC481" s="168"/>
      <c r="AD481" s="168"/>
      <c r="AE481" s="168"/>
      <c r="AF481" s="50"/>
      <c r="AG481" s="50"/>
      <c r="AH481" s="50"/>
      <c r="AI481" s="50"/>
      <c r="AJ481" s="50"/>
      <c r="AK481" s="50"/>
      <c r="AL481" s="50"/>
      <c r="AM481" s="50"/>
      <c r="AN481" s="50"/>
      <c r="AO481" s="50"/>
      <c r="AP481" s="50"/>
      <c r="AQ481" s="50"/>
      <c r="AR481" s="50"/>
      <c r="AS481" s="50"/>
      <c r="AT481" s="50"/>
      <c r="AU481" s="50"/>
      <c r="AV481" s="50"/>
      <c r="AW481" s="50"/>
      <c r="AX481" s="50"/>
      <c r="AY481" s="50"/>
      <c r="AZ481" s="50"/>
      <c r="BA481" s="50"/>
      <c r="BB481" s="50"/>
      <c r="BC481" s="50"/>
      <c r="BD481" s="50"/>
      <c r="BE481" s="50"/>
      <c r="BF481" s="50"/>
      <c r="BG481" s="50"/>
      <c r="BH481" s="50"/>
      <c r="BI481" s="50"/>
      <c r="BJ481" s="50"/>
      <c r="BK481" s="50"/>
      <c r="BL481" s="50"/>
      <c r="BM481" s="50"/>
      <c r="BN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168"/>
      <c r="Z482" s="50"/>
      <c r="AA482" s="50"/>
      <c r="AB482" s="50"/>
      <c r="AC482" s="168"/>
      <c r="AD482" s="168"/>
      <c r="AE482" s="168"/>
      <c r="AF482" s="50"/>
      <c r="AG482" s="50"/>
      <c r="AH482" s="50"/>
      <c r="AI482" s="50"/>
      <c r="AJ482" s="50"/>
      <c r="AK482" s="50"/>
      <c r="AL482" s="50"/>
      <c r="AM482" s="50"/>
      <c r="AN482" s="50"/>
      <c r="AO482" s="50"/>
      <c r="AP482" s="50"/>
      <c r="AQ482" s="50"/>
      <c r="AR482" s="50"/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50"/>
      <c r="BE482" s="50"/>
      <c r="BF482" s="50"/>
      <c r="BG482" s="50"/>
      <c r="BH482" s="50"/>
      <c r="BI482" s="50"/>
      <c r="BJ482" s="50"/>
      <c r="BK482" s="50"/>
      <c r="BL482" s="50"/>
      <c r="BM482" s="50"/>
      <c r="BN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168"/>
      <c r="Z483" s="50"/>
      <c r="AA483" s="50"/>
      <c r="AB483" s="50"/>
      <c r="AC483" s="168"/>
      <c r="AD483" s="168"/>
      <c r="AE483" s="168"/>
      <c r="AF483" s="50"/>
      <c r="AG483" s="50"/>
      <c r="AH483" s="50"/>
      <c r="AI483" s="50"/>
      <c r="AJ483" s="50"/>
      <c r="AK483" s="50"/>
      <c r="AL483" s="50"/>
      <c r="AM483" s="50"/>
      <c r="AN483" s="50"/>
      <c r="AO483" s="50"/>
      <c r="AP483" s="50"/>
      <c r="AQ483" s="50"/>
      <c r="AR483" s="50"/>
      <c r="AS483" s="50"/>
      <c r="AT483" s="50"/>
      <c r="AU483" s="50"/>
      <c r="AV483" s="50"/>
      <c r="AW483" s="50"/>
      <c r="AX483" s="50"/>
      <c r="AY483" s="50"/>
      <c r="AZ483" s="50"/>
      <c r="BA483" s="50"/>
      <c r="BB483" s="50"/>
      <c r="BC483" s="50"/>
      <c r="BD483" s="50"/>
      <c r="BE483" s="50"/>
      <c r="BF483" s="50"/>
      <c r="BG483" s="50"/>
      <c r="BH483" s="50"/>
      <c r="BI483" s="50"/>
      <c r="BJ483" s="50"/>
      <c r="BK483" s="50"/>
      <c r="BL483" s="50"/>
      <c r="BM483" s="50"/>
      <c r="BN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168"/>
      <c r="Z484" s="50"/>
      <c r="AA484" s="50"/>
      <c r="AB484" s="50"/>
      <c r="AC484" s="168"/>
      <c r="AD484" s="168"/>
      <c r="AE484" s="168"/>
      <c r="AF484" s="50"/>
      <c r="AG484" s="50"/>
      <c r="AH484" s="50"/>
      <c r="AI484" s="50"/>
      <c r="AJ484" s="50"/>
      <c r="AK484" s="50"/>
      <c r="AL484" s="50"/>
      <c r="AM484" s="50"/>
      <c r="AN484" s="50"/>
      <c r="AO484" s="50"/>
      <c r="AP484" s="50"/>
      <c r="AQ484" s="50"/>
      <c r="AR484" s="50"/>
      <c r="AS484" s="50"/>
      <c r="AT484" s="50"/>
      <c r="AU484" s="50"/>
      <c r="AV484" s="50"/>
      <c r="AW484" s="50"/>
      <c r="AX484" s="50"/>
      <c r="AY484" s="50"/>
      <c r="AZ484" s="50"/>
      <c r="BA484" s="50"/>
      <c r="BB484" s="50"/>
      <c r="BC484" s="50"/>
      <c r="BD484" s="50"/>
      <c r="BE484" s="50"/>
      <c r="BF484" s="50"/>
      <c r="BG484" s="50"/>
      <c r="BH484" s="50"/>
      <c r="BI484" s="50"/>
      <c r="BJ484" s="50"/>
      <c r="BK484" s="50"/>
      <c r="BL484" s="50"/>
      <c r="BM484" s="50"/>
      <c r="BN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168"/>
      <c r="Z485" s="50"/>
      <c r="AA485" s="50"/>
      <c r="AB485" s="50"/>
      <c r="AC485" s="168"/>
      <c r="AD485" s="168"/>
      <c r="AE485" s="168"/>
      <c r="AF485" s="50"/>
      <c r="AG485" s="50"/>
      <c r="AH485" s="50"/>
      <c r="AI485" s="50"/>
      <c r="AJ485" s="50"/>
      <c r="AK485" s="50"/>
      <c r="AL485" s="50"/>
      <c r="AM485" s="50"/>
      <c r="AN485" s="50"/>
      <c r="AO485" s="50"/>
      <c r="AP485" s="50"/>
      <c r="AQ485" s="50"/>
      <c r="AR485" s="50"/>
      <c r="AS485" s="50"/>
      <c r="AT485" s="50"/>
      <c r="AU485" s="50"/>
      <c r="AV485" s="50"/>
      <c r="AW485" s="50"/>
      <c r="AX485" s="50"/>
      <c r="AY485" s="50"/>
      <c r="AZ485" s="50"/>
      <c r="BA485" s="50"/>
      <c r="BB485" s="50"/>
      <c r="BC485" s="50"/>
      <c r="BD485" s="50"/>
      <c r="BE485" s="50"/>
      <c r="BF485" s="50"/>
      <c r="BG485" s="50"/>
      <c r="BH485" s="50"/>
      <c r="BI485" s="50"/>
      <c r="BJ485" s="50"/>
      <c r="BK485" s="50"/>
      <c r="BL485" s="50"/>
      <c r="BM485" s="50"/>
      <c r="BN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168"/>
      <c r="Z486" s="50"/>
      <c r="AA486" s="50"/>
      <c r="AB486" s="50"/>
      <c r="AC486" s="168"/>
      <c r="AD486" s="168"/>
      <c r="AE486" s="168"/>
      <c r="AF486" s="50"/>
      <c r="AG486" s="50"/>
      <c r="AH486" s="50"/>
      <c r="AI486" s="50"/>
      <c r="AJ486" s="50"/>
      <c r="AK486" s="50"/>
      <c r="AL486" s="50"/>
      <c r="AM486" s="50"/>
      <c r="AN486" s="50"/>
      <c r="AO486" s="50"/>
      <c r="AP486" s="50"/>
      <c r="AQ486" s="50"/>
      <c r="AR486" s="50"/>
      <c r="AS486" s="50"/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50"/>
      <c r="BE486" s="50"/>
      <c r="BF486" s="50"/>
      <c r="BG486" s="50"/>
      <c r="BH486" s="50"/>
      <c r="BI486" s="50"/>
      <c r="BJ486" s="50"/>
      <c r="BK486" s="50"/>
      <c r="BL486" s="50"/>
      <c r="BM486" s="50"/>
      <c r="BN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168"/>
      <c r="Z487" s="50"/>
      <c r="AA487" s="50"/>
      <c r="AB487" s="50"/>
      <c r="AC487" s="168"/>
      <c r="AD487" s="168"/>
      <c r="AE487" s="168"/>
      <c r="AF487" s="50"/>
      <c r="AG487" s="50"/>
      <c r="AH487" s="50"/>
      <c r="AI487" s="50"/>
      <c r="AJ487" s="50"/>
      <c r="AK487" s="50"/>
      <c r="AL487" s="50"/>
      <c r="AM487" s="50"/>
      <c r="AN487" s="50"/>
      <c r="AO487" s="50"/>
      <c r="AP487" s="50"/>
      <c r="AQ487" s="50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0"/>
      <c r="BC487" s="50"/>
      <c r="BD487" s="50"/>
      <c r="BE487" s="50"/>
      <c r="BF487" s="50"/>
      <c r="BG487" s="50"/>
      <c r="BH487" s="50"/>
      <c r="BI487" s="50"/>
      <c r="BJ487" s="50"/>
      <c r="BK487" s="50"/>
      <c r="BL487" s="50"/>
      <c r="BM487" s="50"/>
      <c r="BN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168"/>
      <c r="Z488" s="50"/>
      <c r="AA488" s="50"/>
      <c r="AB488" s="50"/>
      <c r="AC488" s="168"/>
      <c r="AD488" s="168"/>
      <c r="AE488" s="168"/>
      <c r="AF488" s="50"/>
      <c r="AG488" s="50"/>
      <c r="AH488" s="50"/>
      <c r="AI488" s="50"/>
      <c r="AJ488" s="50"/>
      <c r="AK488" s="50"/>
      <c r="AL488" s="50"/>
      <c r="AM488" s="50"/>
      <c r="AN488" s="50"/>
      <c r="AO488" s="50"/>
      <c r="AP488" s="50"/>
      <c r="AQ488" s="50"/>
      <c r="AR488" s="50"/>
      <c r="AS488" s="50"/>
      <c r="AT488" s="50"/>
      <c r="AU488" s="50"/>
      <c r="AV488" s="50"/>
      <c r="AW488" s="50"/>
      <c r="AX488" s="50"/>
      <c r="AY488" s="50"/>
      <c r="AZ488" s="50"/>
      <c r="BA488" s="50"/>
      <c r="BB488" s="50"/>
      <c r="BC488" s="50"/>
      <c r="BD488" s="50"/>
      <c r="BE488" s="50"/>
      <c r="BF488" s="50"/>
      <c r="BG488" s="50"/>
      <c r="BH488" s="50"/>
      <c r="BI488" s="50"/>
      <c r="BJ488" s="50"/>
      <c r="BK488" s="50"/>
      <c r="BL488" s="50"/>
      <c r="BM488" s="50"/>
      <c r="BN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168"/>
      <c r="Z489" s="50"/>
      <c r="AA489" s="50"/>
      <c r="AB489" s="50"/>
      <c r="AC489" s="168"/>
      <c r="AD489" s="168"/>
      <c r="AE489" s="168"/>
      <c r="AF489" s="50"/>
      <c r="AG489" s="50"/>
      <c r="AH489" s="50"/>
      <c r="AI489" s="50"/>
      <c r="AJ489" s="50"/>
      <c r="AK489" s="50"/>
      <c r="AL489" s="50"/>
      <c r="AM489" s="50"/>
      <c r="AN489" s="50"/>
      <c r="AO489" s="50"/>
      <c r="AP489" s="50"/>
      <c r="AQ489" s="50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0"/>
      <c r="BC489" s="50"/>
      <c r="BD489" s="50"/>
      <c r="BE489" s="50"/>
      <c r="BF489" s="50"/>
      <c r="BG489" s="50"/>
      <c r="BH489" s="50"/>
      <c r="BI489" s="50"/>
      <c r="BJ489" s="50"/>
      <c r="BK489" s="50"/>
      <c r="BL489" s="50"/>
      <c r="BM489" s="50"/>
      <c r="BN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168"/>
      <c r="Z490" s="50"/>
      <c r="AA490" s="50"/>
      <c r="AB490" s="50"/>
      <c r="AC490" s="168"/>
      <c r="AD490" s="168"/>
      <c r="AE490" s="168"/>
      <c r="AF490" s="50"/>
      <c r="AG490" s="50"/>
      <c r="AH490" s="50"/>
      <c r="AI490" s="50"/>
      <c r="AJ490" s="50"/>
      <c r="AK490" s="50"/>
      <c r="AL490" s="50"/>
      <c r="AM490" s="50"/>
      <c r="AN490" s="50"/>
      <c r="AO490" s="50"/>
      <c r="AP490" s="50"/>
      <c r="AQ490" s="50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50"/>
      <c r="BE490" s="50"/>
      <c r="BF490" s="50"/>
      <c r="BG490" s="50"/>
      <c r="BH490" s="50"/>
      <c r="BI490" s="50"/>
      <c r="BJ490" s="50"/>
      <c r="BK490" s="50"/>
      <c r="BL490" s="50"/>
      <c r="BM490" s="50"/>
      <c r="BN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168"/>
      <c r="Z491" s="50"/>
      <c r="AA491" s="50"/>
      <c r="AB491" s="50"/>
      <c r="AC491" s="168"/>
      <c r="AD491" s="168"/>
      <c r="AE491" s="168"/>
      <c r="AF491" s="50"/>
      <c r="AG491" s="50"/>
      <c r="AH491" s="50"/>
      <c r="AI491" s="50"/>
      <c r="AJ491" s="50"/>
      <c r="AK491" s="50"/>
      <c r="AL491" s="50"/>
      <c r="AM491" s="50"/>
      <c r="AN491" s="50"/>
      <c r="AO491" s="50"/>
      <c r="AP491" s="50"/>
      <c r="AQ491" s="50"/>
      <c r="AR491" s="50"/>
      <c r="AS491" s="50"/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50"/>
      <c r="BE491" s="50"/>
      <c r="BF491" s="50"/>
      <c r="BG491" s="50"/>
      <c r="BH491" s="50"/>
      <c r="BI491" s="50"/>
      <c r="BJ491" s="50"/>
      <c r="BK491" s="50"/>
      <c r="BL491" s="50"/>
      <c r="BM491" s="50"/>
      <c r="BN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168"/>
      <c r="Z492" s="50"/>
      <c r="AA492" s="50"/>
      <c r="AB492" s="50"/>
      <c r="AC492" s="168"/>
      <c r="AD492" s="168"/>
      <c r="AE492" s="168"/>
      <c r="AF492" s="50"/>
      <c r="AG492" s="50"/>
      <c r="AH492" s="50"/>
      <c r="AI492" s="50"/>
      <c r="AJ492" s="50"/>
      <c r="AK492" s="50"/>
      <c r="AL492" s="50"/>
      <c r="AM492" s="50"/>
      <c r="AN492" s="50"/>
      <c r="AO492" s="50"/>
      <c r="AP492" s="50"/>
      <c r="AQ492" s="50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0"/>
      <c r="BC492" s="50"/>
      <c r="BD492" s="50"/>
      <c r="BE492" s="50"/>
      <c r="BF492" s="50"/>
      <c r="BG492" s="50"/>
      <c r="BH492" s="50"/>
      <c r="BI492" s="50"/>
      <c r="BJ492" s="50"/>
      <c r="BK492" s="50"/>
      <c r="BL492" s="50"/>
      <c r="BM492" s="50"/>
      <c r="BN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168"/>
      <c r="Z493" s="50"/>
      <c r="AA493" s="50"/>
      <c r="AB493" s="50"/>
      <c r="AC493" s="168"/>
      <c r="AD493" s="168"/>
      <c r="AE493" s="168"/>
      <c r="AF493" s="50"/>
      <c r="AG493" s="50"/>
      <c r="AH493" s="50"/>
      <c r="AI493" s="50"/>
      <c r="AJ493" s="50"/>
      <c r="AK493" s="50"/>
      <c r="AL493" s="50"/>
      <c r="AM493" s="50"/>
      <c r="AN493" s="50"/>
      <c r="AO493" s="50"/>
      <c r="AP493" s="50"/>
      <c r="AQ493" s="50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0"/>
      <c r="BC493" s="50"/>
      <c r="BD493" s="50"/>
      <c r="BE493" s="50"/>
      <c r="BF493" s="50"/>
      <c r="BG493" s="50"/>
      <c r="BH493" s="50"/>
      <c r="BI493" s="50"/>
      <c r="BJ493" s="50"/>
      <c r="BK493" s="50"/>
      <c r="BL493" s="50"/>
      <c r="BM493" s="50"/>
      <c r="BN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168"/>
      <c r="Z494" s="50"/>
      <c r="AA494" s="50"/>
      <c r="AB494" s="50"/>
      <c r="AC494" s="168"/>
      <c r="AD494" s="168"/>
      <c r="AE494" s="168"/>
      <c r="AF494" s="50"/>
      <c r="AG494" s="50"/>
      <c r="AH494" s="50"/>
      <c r="AI494" s="50"/>
      <c r="AJ494" s="50"/>
      <c r="AK494" s="50"/>
      <c r="AL494" s="50"/>
      <c r="AM494" s="50"/>
      <c r="AN494" s="50"/>
      <c r="AO494" s="50"/>
      <c r="AP494" s="50"/>
      <c r="AQ494" s="50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50"/>
      <c r="BE494" s="50"/>
      <c r="BF494" s="50"/>
      <c r="BG494" s="50"/>
      <c r="BH494" s="50"/>
      <c r="BI494" s="50"/>
      <c r="BJ494" s="50"/>
      <c r="BK494" s="50"/>
      <c r="BL494" s="50"/>
      <c r="BM494" s="50"/>
      <c r="BN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168"/>
      <c r="Z495" s="50"/>
      <c r="AA495" s="50"/>
      <c r="AB495" s="50"/>
      <c r="AC495" s="168"/>
      <c r="AD495" s="168"/>
      <c r="AE495" s="168"/>
      <c r="AF495" s="50"/>
      <c r="AG495" s="50"/>
      <c r="AH495" s="50"/>
      <c r="AI495" s="50"/>
      <c r="AJ495" s="50"/>
      <c r="AK495" s="50"/>
      <c r="AL495" s="50"/>
      <c r="AM495" s="50"/>
      <c r="AN495" s="50"/>
      <c r="AO495" s="50"/>
      <c r="AP495" s="50"/>
      <c r="AQ495" s="50"/>
      <c r="AR495" s="50"/>
      <c r="AS495" s="50"/>
      <c r="AT495" s="50"/>
      <c r="AU495" s="50"/>
      <c r="AV495" s="50"/>
      <c r="AW495" s="50"/>
      <c r="AX495" s="50"/>
      <c r="AY495" s="50"/>
      <c r="AZ495" s="50"/>
      <c r="BA495" s="50"/>
      <c r="BB495" s="50"/>
      <c r="BC495" s="50"/>
      <c r="BD495" s="50"/>
      <c r="BE495" s="50"/>
      <c r="BF495" s="50"/>
      <c r="BG495" s="50"/>
      <c r="BH495" s="50"/>
      <c r="BI495" s="50"/>
      <c r="BJ495" s="50"/>
      <c r="BK495" s="50"/>
      <c r="BL495" s="50"/>
      <c r="BM495" s="50"/>
      <c r="BN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168"/>
      <c r="Z496" s="50"/>
      <c r="AA496" s="50"/>
      <c r="AB496" s="50"/>
      <c r="AC496" s="168"/>
      <c r="AD496" s="168"/>
      <c r="AE496" s="168"/>
      <c r="AF496" s="50"/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50"/>
      <c r="AR496" s="50"/>
      <c r="AS496" s="50"/>
      <c r="AT496" s="50"/>
      <c r="AU496" s="50"/>
      <c r="AV496" s="50"/>
      <c r="AW496" s="50"/>
      <c r="AX496" s="50"/>
      <c r="AY496" s="50"/>
      <c r="AZ496" s="50"/>
      <c r="BA496" s="50"/>
      <c r="BB496" s="50"/>
      <c r="BC496" s="50"/>
      <c r="BD496" s="50"/>
      <c r="BE496" s="50"/>
      <c r="BF496" s="50"/>
      <c r="BG496" s="50"/>
      <c r="BH496" s="50"/>
      <c r="BI496" s="50"/>
      <c r="BJ496" s="50"/>
      <c r="BK496" s="50"/>
      <c r="BL496" s="50"/>
      <c r="BM496" s="50"/>
      <c r="BN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168"/>
      <c r="Z497" s="50"/>
      <c r="AA497" s="50"/>
      <c r="AB497" s="50"/>
      <c r="AC497" s="168"/>
      <c r="AD497" s="168"/>
      <c r="AE497" s="168"/>
      <c r="AF497" s="50"/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  <c r="AQ497" s="50"/>
      <c r="AR497" s="50"/>
      <c r="AS497" s="50"/>
      <c r="AT497" s="50"/>
      <c r="AU497" s="50"/>
      <c r="AV497" s="50"/>
      <c r="AW497" s="50"/>
      <c r="AX497" s="50"/>
      <c r="AY497" s="50"/>
      <c r="AZ497" s="50"/>
      <c r="BA497" s="50"/>
      <c r="BB497" s="50"/>
      <c r="BC497" s="50"/>
      <c r="BD497" s="50"/>
      <c r="BE497" s="50"/>
      <c r="BF497" s="50"/>
      <c r="BG497" s="50"/>
      <c r="BH497" s="50"/>
      <c r="BI497" s="50"/>
      <c r="BJ497" s="50"/>
      <c r="BK497" s="50"/>
      <c r="BL497" s="50"/>
      <c r="BM497" s="50"/>
      <c r="BN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168"/>
      <c r="Z498" s="50"/>
      <c r="AA498" s="50"/>
      <c r="AB498" s="50"/>
      <c r="AC498" s="168"/>
      <c r="AD498" s="168"/>
      <c r="AE498" s="168"/>
      <c r="AF498" s="50"/>
      <c r="AG498" s="50"/>
      <c r="AH498" s="50"/>
      <c r="AI498" s="50"/>
      <c r="AJ498" s="50"/>
      <c r="AK498" s="50"/>
      <c r="AL498" s="50"/>
      <c r="AM498" s="50"/>
      <c r="AN498" s="50"/>
      <c r="AO498" s="50"/>
      <c r="AP498" s="50"/>
      <c r="AQ498" s="50"/>
      <c r="AR498" s="50"/>
      <c r="AS498" s="50"/>
      <c r="AT498" s="50"/>
      <c r="AU498" s="50"/>
      <c r="AV498" s="50"/>
      <c r="AW498" s="50"/>
      <c r="AX498" s="50"/>
      <c r="AY498" s="50"/>
      <c r="AZ498" s="50"/>
      <c r="BA498" s="50"/>
      <c r="BB498" s="50"/>
      <c r="BC498" s="50"/>
      <c r="BD498" s="50"/>
      <c r="BE498" s="50"/>
      <c r="BF498" s="50"/>
      <c r="BG498" s="50"/>
      <c r="BH498" s="50"/>
      <c r="BI498" s="50"/>
      <c r="BJ498" s="50"/>
      <c r="BK498" s="50"/>
      <c r="BL498" s="50"/>
      <c r="BM498" s="50"/>
      <c r="BN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168"/>
      <c r="Z499" s="50"/>
      <c r="AA499" s="50"/>
      <c r="AB499" s="50"/>
      <c r="AC499" s="168"/>
      <c r="AD499" s="168"/>
      <c r="AE499" s="168"/>
      <c r="AF499" s="50"/>
      <c r="AG499" s="50"/>
      <c r="AH499" s="50"/>
      <c r="AI499" s="50"/>
      <c r="AJ499" s="50"/>
      <c r="AK499" s="50"/>
      <c r="AL499" s="50"/>
      <c r="AM499" s="50"/>
      <c r="AN499" s="50"/>
      <c r="AO499" s="50"/>
      <c r="AP499" s="50"/>
      <c r="AQ499" s="50"/>
      <c r="AR499" s="50"/>
      <c r="AS499" s="50"/>
      <c r="AT499" s="50"/>
      <c r="AU499" s="50"/>
      <c r="AV499" s="50"/>
      <c r="AW499" s="50"/>
      <c r="AX499" s="50"/>
      <c r="AY499" s="50"/>
      <c r="AZ499" s="50"/>
      <c r="BA499" s="50"/>
      <c r="BB499" s="50"/>
      <c r="BC499" s="50"/>
      <c r="BD499" s="50"/>
      <c r="BE499" s="50"/>
      <c r="BF499" s="50"/>
      <c r="BG499" s="50"/>
      <c r="BH499" s="50"/>
      <c r="BI499" s="50"/>
      <c r="BJ499" s="50"/>
      <c r="BK499" s="50"/>
      <c r="BL499" s="50"/>
      <c r="BM499" s="50"/>
      <c r="BN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168"/>
      <c r="Z500" s="50"/>
      <c r="AA500" s="50"/>
      <c r="AB500" s="50"/>
      <c r="AC500" s="168"/>
      <c r="AD500" s="168"/>
      <c r="AE500" s="168"/>
      <c r="AF500" s="50"/>
      <c r="AG500" s="50"/>
      <c r="AH500" s="50"/>
      <c r="AI500" s="50"/>
      <c r="AJ500" s="50"/>
      <c r="AK500" s="50"/>
      <c r="AL500" s="50"/>
      <c r="AM500" s="50"/>
      <c r="AN500" s="50"/>
      <c r="AO500" s="50"/>
      <c r="AP500" s="50"/>
      <c r="AQ500" s="50"/>
      <c r="AR500" s="50"/>
      <c r="AS500" s="50"/>
      <c r="AT500" s="50"/>
      <c r="AU500" s="50"/>
      <c r="AV500" s="50"/>
      <c r="AW500" s="50"/>
      <c r="AX500" s="50"/>
      <c r="AY500" s="50"/>
      <c r="AZ500" s="50"/>
      <c r="BA500" s="50"/>
      <c r="BB500" s="50"/>
      <c r="BC500" s="50"/>
      <c r="BD500" s="50"/>
      <c r="BE500" s="50"/>
      <c r="BF500" s="50"/>
      <c r="BG500" s="50"/>
      <c r="BH500" s="50"/>
      <c r="BI500" s="50"/>
      <c r="BJ500" s="50"/>
      <c r="BK500" s="50"/>
      <c r="BL500" s="50"/>
      <c r="BM500" s="50"/>
      <c r="BN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168"/>
      <c r="Z501" s="50"/>
      <c r="AA501" s="50"/>
      <c r="AB501" s="50"/>
      <c r="AC501" s="168"/>
      <c r="AD501" s="168"/>
      <c r="AE501" s="168"/>
      <c r="AF501" s="50"/>
      <c r="AG501" s="50"/>
      <c r="AH501" s="50"/>
      <c r="AI501" s="50"/>
      <c r="AJ501" s="50"/>
      <c r="AK501" s="50"/>
      <c r="AL501" s="50"/>
      <c r="AM501" s="50"/>
      <c r="AN501" s="50"/>
      <c r="AO501" s="50"/>
      <c r="AP501" s="50"/>
      <c r="AQ501" s="50"/>
      <c r="AR501" s="50"/>
      <c r="AS501" s="50"/>
      <c r="AT501" s="50"/>
      <c r="AU501" s="50"/>
      <c r="AV501" s="50"/>
      <c r="AW501" s="50"/>
      <c r="AX501" s="50"/>
      <c r="AY501" s="50"/>
      <c r="AZ501" s="50"/>
      <c r="BA501" s="50"/>
      <c r="BB501" s="50"/>
      <c r="BC501" s="50"/>
      <c r="BD501" s="50"/>
      <c r="BE501" s="50"/>
      <c r="BF501" s="50"/>
      <c r="BG501" s="50"/>
      <c r="BH501" s="50"/>
      <c r="BI501" s="50"/>
      <c r="BJ501" s="50"/>
      <c r="BK501" s="50"/>
      <c r="BL501" s="50"/>
      <c r="BM501" s="50"/>
      <c r="BN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168"/>
      <c r="Z502" s="50"/>
      <c r="AA502" s="50"/>
      <c r="AB502" s="50"/>
      <c r="AC502" s="168"/>
      <c r="AD502" s="168"/>
      <c r="AE502" s="168"/>
      <c r="AF502" s="50"/>
      <c r="AG502" s="50"/>
      <c r="AH502" s="50"/>
      <c r="AI502" s="50"/>
      <c r="AJ502" s="50"/>
      <c r="AK502" s="50"/>
      <c r="AL502" s="50"/>
      <c r="AM502" s="50"/>
      <c r="AN502" s="50"/>
      <c r="AO502" s="50"/>
      <c r="AP502" s="50"/>
      <c r="AQ502" s="50"/>
      <c r="AR502" s="50"/>
      <c r="AS502" s="50"/>
      <c r="AT502" s="50"/>
      <c r="AU502" s="50"/>
      <c r="AV502" s="50"/>
      <c r="AW502" s="50"/>
      <c r="AX502" s="50"/>
      <c r="AY502" s="50"/>
      <c r="AZ502" s="50"/>
      <c r="BA502" s="50"/>
      <c r="BB502" s="50"/>
      <c r="BC502" s="50"/>
      <c r="BD502" s="50"/>
      <c r="BE502" s="50"/>
      <c r="BF502" s="50"/>
      <c r="BG502" s="50"/>
      <c r="BH502" s="50"/>
      <c r="BI502" s="50"/>
      <c r="BJ502" s="50"/>
      <c r="BK502" s="50"/>
      <c r="BL502" s="50"/>
      <c r="BM502" s="50"/>
      <c r="BN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168"/>
      <c r="Z503" s="50"/>
      <c r="AA503" s="50"/>
      <c r="AB503" s="50"/>
      <c r="AC503" s="168"/>
      <c r="AD503" s="168"/>
      <c r="AE503" s="168"/>
      <c r="AF503" s="50"/>
      <c r="AG503" s="50"/>
      <c r="AH503" s="50"/>
      <c r="AI503" s="50"/>
      <c r="AJ503" s="50"/>
      <c r="AK503" s="50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  <c r="AV503" s="50"/>
      <c r="AW503" s="50"/>
      <c r="AX503" s="50"/>
      <c r="AY503" s="50"/>
      <c r="AZ503" s="50"/>
      <c r="BA503" s="50"/>
      <c r="BB503" s="50"/>
      <c r="BC503" s="50"/>
      <c r="BD503" s="50"/>
      <c r="BE503" s="50"/>
      <c r="BF503" s="50"/>
      <c r="BG503" s="50"/>
      <c r="BH503" s="50"/>
      <c r="BI503" s="50"/>
      <c r="BJ503" s="50"/>
      <c r="BK503" s="50"/>
      <c r="BL503" s="50"/>
      <c r="BM503" s="50"/>
      <c r="BN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168"/>
      <c r="Z504" s="50"/>
      <c r="AA504" s="50"/>
      <c r="AB504" s="50"/>
      <c r="AC504" s="168"/>
      <c r="AD504" s="168"/>
      <c r="AE504" s="168"/>
      <c r="AF504" s="50"/>
      <c r="AG504" s="50"/>
      <c r="AH504" s="50"/>
      <c r="AI504" s="50"/>
      <c r="AJ504" s="50"/>
      <c r="AK504" s="50"/>
      <c r="AL504" s="50"/>
      <c r="AM504" s="50"/>
      <c r="AN504" s="50"/>
      <c r="AO504" s="50"/>
      <c r="AP504" s="50"/>
      <c r="AQ504" s="50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0"/>
      <c r="BC504" s="50"/>
      <c r="BD504" s="50"/>
      <c r="BE504" s="50"/>
      <c r="BF504" s="50"/>
      <c r="BG504" s="50"/>
      <c r="BH504" s="50"/>
      <c r="BI504" s="50"/>
      <c r="BJ504" s="50"/>
      <c r="BK504" s="50"/>
      <c r="BL504" s="50"/>
      <c r="BM504" s="50"/>
      <c r="BN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168"/>
      <c r="Z505" s="50"/>
      <c r="AA505" s="50"/>
      <c r="AB505" s="50"/>
      <c r="AC505" s="168"/>
      <c r="AD505" s="168"/>
      <c r="AE505" s="168"/>
      <c r="AF505" s="50"/>
      <c r="AG505" s="50"/>
      <c r="AH505" s="50"/>
      <c r="AI505" s="50"/>
      <c r="AJ505" s="50"/>
      <c r="AK505" s="50"/>
      <c r="AL505" s="50"/>
      <c r="AM505" s="50"/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/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168"/>
      <c r="Z506" s="50"/>
      <c r="AA506" s="50"/>
      <c r="AB506" s="50"/>
      <c r="AC506" s="168"/>
      <c r="AD506" s="168"/>
      <c r="AE506" s="168"/>
      <c r="AF506" s="50"/>
      <c r="AG506" s="50"/>
      <c r="AH506" s="50"/>
      <c r="AI506" s="50"/>
      <c r="AJ506" s="50"/>
      <c r="AK506" s="50"/>
      <c r="AL506" s="50"/>
      <c r="AM506" s="50"/>
      <c r="AN506" s="50"/>
      <c r="AO506" s="50"/>
      <c r="AP506" s="50"/>
      <c r="AQ506" s="50"/>
      <c r="AR506" s="50"/>
      <c r="AS506" s="50"/>
      <c r="AT506" s="50"/>
      <c r="AU506" s="50"/>
      <c r="AV506" s="50"/>
      <c r="AW506" s="50"/>
      <c r="AX506" s="50"/>
      <c r="AY506" s="50"/>
      <c r="AZ506" s="50"/>
      <c r="BA506" s="50"/>
      <c r="BB506" s="50"/>
      <c r="BC506" s="50"/>
      <c r="BD506" s="50"/>
      <c r="BE506" s="50"/>
      <c r="BF506" s="50"/>
      <c r="BG506" s="50"/>
      <c r="BH506" s="50"/>
      <c r="BI506" s="50"/>
      <c r="BJ506" s="50"/>
      <c r="BK506" s="50"/>
      <c r="BL506" s="50"/>
      <c r="BM506" s="50"/>
      <c r="BN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168"/>
      <c r="Z507" s="50"/>
      <c r="AA507" s="50"/>
      <c r="AB507" s="50"/>
      <c r="AC507" s="168"/>
      <c r="AD507" s="168"/>
      <c r="AE507" s="168"/>
      <c r="AF507" s="50"/>
      <c r="AG507" s="50"/>
      <c r="AH507" s="50"/>
      <c r="AI507" s="50"/>
      <c r="AJ507" s="50"/>
      <c r="AK507" s="50"/>
      <c r="AL507" s="50"/>
      <c r="AM507" s="50"/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/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168"/>
      <c r="Z508" s="50"/>
      <c r="AA508" s="50"/>
      <c r="AB508" s="50"/>
      <c r="AC508" s="168"/>
      <c r="AD508" s="168"/>
      <c r="AE508" s="168"/>
      <c r="AF508" s="50"/>
      <c r="AG508" s="50"/>
      <c r="AH508" s="50"/>
      <c r="AI508" s="50"/>
      <c r="AJ508" s="50"/>
      <c r="AK508" s="50"/>
      <c r="AL508" s="50"/>
      <c r="AM508" s="50"/>
      <c r="AN508" s="50"/>
      <c r="AO508" s="50"/>
      <c r="AP508" s="50"/>
      <c r="AQ508" s="50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0"/>
      <c r="BC508" s="50"/>
      <c r="BD508" s="50"/>
      <c r="BE508" s="50"/>
      <c r="BF508" s="50"/>
      <c r="BG508" s="50"/>
      <c r="BH508" s="50"/>
      <c r="BI508" s="50"/>
      <c r="BJ508" s="50"/>
      <c r="BK508" s="50"/>
      <c r="BL508" s="50"/>
      <c r="BM508" s="50"/>
      <c r="BN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168"/>
      <c r="Z509" s="50"/>
      <c r="AA509" s="50"/>
      <c r="AB509" s="50"/>
      <c r="AC509" s="168"/>
      <c r="AD509" s="168"/>
      <c r="AE509" s="168"/>
      <c r="AF509" s="50"/>
      <c r="AG509" s="50"/>
      <c r="AH509" s="50"/>
      <c r="AI509" s="50"/>
      <c r="AJ509" s="50"/>
      <c r="AK509" s="50"/>
      <c r="AL509" s="50"/>
      <c r="AM509" s="50"/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/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168"/>
      <c r="Z510" s="50"/>
      <c r="AA510" s="50"/>
      <c r="AB510" s="50"/>
      <c r="AC510" s="168"/>
      <c r="AD510" s="168"/>
      <c r="AE510" s="168"/>
      <c r="AF510" s="50"/>
      <c r="AG510" s="50"/>
      <c r="AH510" s="50"/>
      <c r="AI510" s="50"/>
      <c r="AJ510" s="50"/>
      <c r="AK510" s="50"/>
      <c r="AL510" s="50"/>
      <c r="AM510" s="50"/>
      <c r="AN510" s="50"/>
      <c r="AO510" s="50"/>
      <c r="AP510" s="50"/>
      <c r="AQ510" s="50"/>
      <c r="AR510" s="50"/>
      <c r="AS510" s="50"/>
      <c r="AT510" s="50"/>
      <c r="AU510" s="50"/>
      <c r="AV510" s="50"/>
      <c r="AW510" s="50"/>
      <c r="AX510" s="50"/>
      <c r="AY510" s="50"/>
      <c r="AZ510" s="50"/>
      <c r="BA510" s="50"/>
      <c r="BB510" s="50"/>
      <c r="BC510" s="50"/>
      <c r="BD510" s="50"/>
      <c r="BE510" s="50"/>
      <c r="BF510" s="50"/>
      <c r="BG510" s="50"/>
      <c r="BH510" s="50"/>
      <c r="BI510" s="50"/>
      <c r="BJ510" s="50"/>
      <c r="BK510" s="50"/>
      <c r="BL510" s="50"/>
      <c r="BM510" s="50"/>
      <c r="BN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168"/>
      <c r="Z511" s="50"/>
      <c r="AA511" s="50"/>
      <c r="AB511" s="50"/>
      <c r="AC511" s="168"/>
      <c r="AD511" s="168"/>
      <c r="AE511" s="168"/>
      <c r="AF511" s="50"/>
      <c r="AG511" s="50"/>
      <c r="AH511" s="50"/>
      <c r="AI511" s="50"/>
      <c r="AJ511" s="50"/>
      <c r="AK511" s="50"/>
      <c r="AL511" s="50"/>
      <c r="AM511" s="50"/>
      <c r="AN511" s="50"/>
      <c r="AO511" s="50"/>
      <c r="AP511" s="50"/>
      <c r="AQ511" s="50"/>
      <c r="AR511" s="50"/>
      <c r="AS511" s="50"/>
      <c r="AT511" s="50"/>
      <c r="AU511" s="50"/>
      <c r="AV511" s="50"/>
      <c r="AW511" s="50"/>
      <c r="AX511" s="50"/>
      <c r="AY511" s="50"/>
      <c r="AZ511" s="50"/>
      <c r="BA511" s="50"/>
      <c r="BB511" s="50"/>
      <c r="BC511" s="50"/>
      <c r="BD511" s="50"/>
      <c r="BE511" s="50"/>
      <c r="BF511" s="50"/>
      <c r="BG511" s="50"/>
      <c r="BH511" s="50"/>
      <c r="BI511" s="50"/>
      <c r="BJ511" s="50"/>
      <c r="BK511" s="50"/>
      <c r="BL511" s="50"/>
      <c r="BM511" s="50"/>
      <c r="BN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168"/>
      <c r="Z512" s="50"/>
      <c r="AA512" s="50"/>
      <c r="AB512" s="50"/>
      <c r="AC512" s="168"/>
      <c r="AD512" s="168"/>
      <c r="AE512" s="168"/>
      <c r="AF512" s="50"/>
      <c r="AG512" s="50"/>
      <c r="AH512" s="50"/>
      <c r="AI512" s="50"/>
      <c r="AJ512" s="50"/>
      <c r="AK512" s="50"/>
      <c r="AL512" s="50"/>
      <c r="AM512" s="50"/>
      <c r="AN512" s="50"/>
      <c r="AO512" s="50"/>
      <c r="AP512" s="50"/>
      <c r="AQ512" s="50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0"/>
      <c r="BC512" s="50"/>
      <c r="BD512" s="50"/>
      <c r="BE512" s="50"/>
      <c r="BF512" s="50"/>
      <c r="BG512" s="50"/>
      <c r="BH512" s="50"/>
      <c r="BI512" s="50"/>
      <c r="BJ512" s="50"/>
      <c r="BK512" s="50"/>
      <c r="BL512" s="50"/>
      <c r="BM512" s="50"/>
      <c r="BN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168"/>
      <c r="Z513" s="50"/>
      <c r="AA513" s="50"/>
      <c r="AB513" s="50"/>
      <c r="AC513" s="168"/>
      <c r="AD513" s="168"/>
      <c r="AE513" s="168"/>
      <c r="AF513" s="50"/>
      <c r="AG513" s="50"/>
      <c r="AH513" s="50"/>
      <c r="AI513" s="50"/>
      <c r="AJ513" s="50"/>
      <c r="AK513" s="50"/>
      <c r="AL513" s="50"/>
      <c r="AM513" s="50"/>
      <c r="AN513" s="50"/>
      <c r="AO513" s="50"/>
      <c r="AP513" s="50"/>
      <c r="AQ513" s="50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50"/>
      <c r="BE513" s="50"/>
      <c r="BF513" s="50"/>
      <c r="BG513" s="50"/>
      <c r="BH513" s="50"/>
      <c r="BI513" s="50"/>
      <c r="BJ513" s="50"/>
      <c r="BK513" s="50"/>
      <c r="BL513" s="50"/>
      <c r="BM513" s="50"/>
      <c r="BN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168"/>
      <c r="Z514" s="50"/>
      <c r="AA514" s="50"/>
      <c r="AB514" s="50"/>
      <c r="AC514" s="168"/>
      <c r="AD514" s="168"/>
      <c r="AE514" s="168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50"/>
      <c r="BE514" s="50"/>
      <c r="BF514" s="50"/>
      <c r="BG514" s="50"/>
      <c r="BH514" s="50"/>
      <c r="BI514" s="50"/>
      <c r="BJ514" s="50"/>
      <c r="BK514" s="50"/>
      <c r="BL514" s="50"/>
      <c r="BM514" s="50"/>
      <c r="BN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168"/>
      <c r="Z515" s="50"/>
      <c r="AA515" s="50"/>
      <c r="AB515" s="50"/>
      <c r="AC515" s="168"/>
      <c r="AD515" s="168"/>
      <c r="AE515" s="168"/>
      <c r="AF515" s="50"/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  <c r="AQ515" s="50"/>
      <c r="AR515" s="50"/>
      <c r="AS515" s="50"/>
      <c r="AT515" s="50"/>
      <c r="AU515" s="50"/>
      <c r="AV515" s="50"/>
      <c r="AW515" s="50"/>
      <c r="AX515" s="50"/>
      <c r="AY515" s="50"/>
      <c r="AZ515" s="50"/>
      <c r="BA515" s="50"/>
      <c r="BB515" s="50"/>
      <c r="BC515" s="50"/>
      <c r="BD515" s="50"/>
      <c r="BE515" s="50"/>
      <c r="BF515" s="50"/>
      <c r="BG515" s="50"/>
      <c r="BH515" s="50"/>
      <c r="BI515" s="50"/>
      <c r="BJ515" s="50"/>
      <c r="BK515" s="50"/>
      <c r="BL515" s="50"/>
      <c r="BM515" s="50"/>
      <c r="BN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168"/>
      <c r="Z516" s="50"/>
      <c r="AA516" s="50"/>
      <c r="AB516" s="50"/>
      <c r="AC516" s="168"/>
      <c r="AD516" s="168"/>
      <c r="AE516" s="168"/>
      <c r="AF516" s="50"/>
      <c r="AG516" s="50"/>
      <c r="AH516" s="50"/>
      <c r="AI516" s="50"/>
      <c r="AJ516" s="50"/>
      <c r="AK516" s="50"/>
      <c r="AL516" s="50"/>
      <c r="AM516" s="50"/>
      <c r="AN516" s="50"/>
      <c r="AO516" s="50"/>
      <c r="AP516" s="50"/>
      <c r="AQ516" s="50"/>
      <c r="AR516" s="50"/>
      <c r="AS516" s="50"/>
      <c r="AT516" s="50"/>
      <c r="AU516" s="50"/>
      <c r="AV516" s="50"/>
      <c r="AW516" s="50"/>
      <c r="AX516" s="50"/>
      <c r="AY516" s="50"/>
      <c r="AZ516" s="50"/>
      <c r="BA516" s="50"/>
      <c r="BB516" s="50"/>
      <c r="BC516" s="50"/>
      <c r="BD516" s="50"/>
      <c r="BE516" s="50"/>
      <c r="BF516" s="50"/>
      <c r="BG516" s="50"/>
      <c r="BH516" s="50"/>
      <c r="BI516" s="50"/>
      <c r="BJ516" s="50"/>
      <c r="BK516" s="50"/>
      <c r="BL516" s="50"/>
      <c r="BM516" s="50"/>
      <c r="BN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168"/>
      <c r="Z517" s="50"/>
      <c r="AA517" s="50"/>
      <c r="AB517" s="50"/>
      <c r="AC517" s="168"/>
      <c r="AD517" s="168"/>
      <c r="AE517" s="168"/>
      <c r="AF517" s="50"/>
      <c r="AG517" s="50"/>
      <c r="AH517" s="50"/>
      <c r="AI517" s="50"/>
      <c r="AJ517" s="50"/>
      <c r="AK517" s="50"/>
      <c r="AL517" s="50"/>
      <c r="AM517" s="50"/>
      <c r="AN517" s="50"/>
      <c r="AO517" s="50"/>
      <c r="AP517" s="50"/>
      <c r="AQ517" s="50"/>
      <c r="AR517" s="50"/>
      <c r="AS517" s="50"/>
      <c r="AT517" s="50"/>
      <c r="AU517" s="50"/>
      <c r="AV517" s="50"/>
      <c r="AW517" s="50"/>
      <c r="AX517" s="50"/>
      <c r="AY517" s="50"/>
      <c r="AZ517" s="50"/>
      <c r="BA517" s="50"/>
      <c r="BB517" s="50"/>
      <c r="BC517" s="50"/>
      <c r="BD517" s="50"/>
      <c r="BE517" s="50"/>
      <c r="BF517" s="50"/>
      <c r="BG517" s="50"/>
      <c r="BH517" s="50"/>
      <c r="BI517" s="50"/>
      <c r="BJ517" s="50"/>
      <c r="BK517" s="50"/>
      <c r="BL517" s="50"/>
      <c r="BM517" s="50"/>
      <c r="BN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168"/>
      <c r="Z518" s="50"/>
      <c r="AA518" s="50"/>
      <c r="AB518" s="50"/>
      <c r="AC518" s="168"/>
      <c r="AD518" s="168"/>
      <c r="AE518" s="168"/>
      <c r="AF518" s="50"/>
      <c r="AG518" s="50"/>
      <c r="AH518" s="50"/>
      <c r="AI518" s="50"/>
      <c r="AJ518" s="50"/>
      <c r="AK518" s="50"/>
      <c r="AL518" s="50"/>
      <c r="AM518" s="50"/>
      <c r="AN518" s="50"/>
      <c r="AO518" s="50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0"/>
      <c r="BE518" s="50"/>
      <c r="BF518" s="50"/>
      <c r="BG518" s="50"/>
      <c r="BH518" s="50"/>
      <c r="BI518" s="50"/>
      <c r="BJ518" s="50"/>
      <c r="BK518" s="50"/>
      <c r="BL518" s="50"/>
      <c r="BM518" s="50"/>
      <c r="BN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168"/>
      <c r="Z519" s="50"/>
      <c r="AA519" s="50"/>
      <c r="AB519" s="50"/>
      <c r="AC519" s="168"/>
      <c r="AD519" s="168"/>
      <c r="AE519" s="168"/>
      <c r="AF519" s="50"/>
      <c r="AG519" s="50"/>
      <c r="AH519" s="50"/>
      <c r="AI519" s="50"/>
      <c r="AJ519" s="50"/>
      <c r="AK519" s="50"/>
      <c r="AL519" s="50"/>
      <c r="AM519" s="50"/>
      <c r="AN519" s="50"/>
      <c r="AO519" s="50"/>
      <c r="AP519" s="50"/>
      <c r="AQ519" s="50"/>
      <c r="AR519" s="50"/>
      <c r="AS519" s="50"/>
      <c r="AT519" s="50"/>
      <c r="AU519" s="50"/>
      <c r="AV519" s="50"/>
      <c r="AW519" s="50"/>
      <c r="AX519" s="50"/>
      <c r="AY519" s="50"/>
      <c r="AZ519" s="50"/>
      <c r="BA519" s="50"/>
      <c r="BB519" s="50"/>
      <c r="BC519" s="50"/>
      <c r="BD519" s="50"/>
      <c r="BE519" s="50"/>
      <c r="BF519" s="50"/>
      <c r="BG519" s="50"/>
      <c r="BH519" s="50"/>
      <c r="BI519" s="50"/>
      <c r="BJ519" s="50"/>
      <c r="BK519" s="50"/>
      <c r="BL519" s="50"/>
      <c r="BM519" s="50"/>
      <c r="BN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168"/>
      <c r="Z520" s="50"/>
      <c r="AA520" s="50"/>
      <c r="AB520" s="50"/>
      <c r="AC520" s="168"/>
      <c r="AD520" s="168"/>
      <c r="AE520" s="168"/>
      <c r="AF520" s="50"/>
      <c r="AG520" s="50"/>
      <c r="AH520" s="50"/>
      <c r="AI520" s="50"/>
      <c r="AJ520" s="50"/>
      <c r="AK520" s="50"/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  <c r="AV520" s="50"/>
      <c r="AW520" s="50"/>
      <c r="AX520" s="50"/>
      <c r="AY520" s="50"/>
      <c r="AZ520" s="50"/>
      <c r="BA520" s="50"/>
      <c r="BB520" s="50"/>
      <c r="BC520" s="50"/>
      <c r="BD520" s="50"/>
      <c r="BE520" s="50"/>
      <c r="BF520" s="50"/>
      <c r="BG520" s="50"/>
      <c r="BH520" s="50"/>
      <c r="BI520" s="50"/>
      <c r="BJ520" s="50"/>
      <c r="BK520" s="50"/>
      <c r="BL520" s="50"/>
      <c r="BM520" s="50"/>
      <c r="BN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168"/>
      <c r="Z521" s="50"/>
      <c r="AA521" s="50"/>
      <c r="AB521" s="50"/>
      <c r="AC521" s="168"/>
      <c r="AD521" s="168"/>
      <c r="AE521" s="168"/>
      <c r="AF521" s="50"/>
      <c r="AG521" s="50"/>
      <c r="AH521" s="50"/>
      <c r="AI521" s="50"/>
      <c r="AJ521" s="50"/>
      <c r="AK521" s="50"/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  <c r="AV521" s="50"/>
      <c r="AW521" s="50"/>
      <c r="AX521" s="50"/>
      <c r="AY521" s="50"/>
      <c r="AZ521" s="50"/>
      <c r="BA521" s="50"/>
      <c r="BB521" s="50"/>
      <c r="BC521" s="50"/>
      <c r="BD521" s="50"/>
      <c r="BE521" s="50"/>
      <c r="BF521" s="50"/>
      <c r="BG521" s="50"/>
      <c r="BH521" s="50"/>
      <c r="BI521" s="50"/>
      <c r="BJ521" s="50"/>
      <c r="BK521" s="50"/>
      <c r="BL521" s="50"/>
      <c r="BM521" s="50"/>
      <c r="BN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168"/>
      <c r="Z522" s="50"/>
      <c r="AA522" s="50"/>
      <c r="AB522" s="50"/>
      <c r="AC522" s="168"/>
      <c r="AD522" s="168"/>
      <c r="AE522" s="168"/>
      <c r="AF522" s="50"/>
      <c r="AG522" s="50"/>
      <c r="AH522" s="50"/>
      <c r="AI522" s="50"/>
      <c r="AJ522" s="50"/>
      <c r="AK522" s="50"/>
      <c r="AL522" s="50"/>
      <c r="AM522" s="50"/>
      <c r="AN522" s="50"/>
      <c r="AO522" s="50"/>
      <c r="AP522" s="50"/>
      <c r="AQ522" s="50"/>
      <c r="AR522" s="50"/>
      <c r="AS522" s="50"/>
      <c r="AT522" s="50"/>
      <c r="AU522" s="50"/>
      <c r="AV522" s="50"/>
      <c r="AW522" s="50"/>
      <c r="AX522" s="50"/>
      <c r="AY522" s="50"/>
      <c r="AZ522" s="50"/>
      <c r="BA522" s="50"/>
      <c r="BB522" s="50"/>
      <c r="BC522" s="50"/>
      <c r="BD522" s="50"/>
      <c r="BE522" s="50"/>
      <c r="BF522" s="50"/>
      <c r="BG522" s="50"/>
      <c r="BH522" s="50"/>
      <c r="BI522" s="50"/>
      <c r="BJ522" s="50"/>
      <c r="BK522" s="50"/>
      <c r="BL522" s="50"/>
      <c r="BM522" s="50"/>
      <c r="BN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168"/>
      <c r="Z523" s="50"/>
      <c r="AA523" s="50"/>
      <c r="AB523" s="50"/>
      <c r="AC523" s="168"/>
      <c r="AD523" s="168"/>
      <c r="AE523" s="168"/>
      <c r="AF523" s="50"/>
      <c r="AG523" s="50"/>
      <c r="AH523" s="50"/>
      <c r="AI523" s="50"/>
      <c r="AJ523" s="50"/>
      <c r="AK523" s="50"/>
      <c r="AL523" s="50"/>
      <c r="AM523" s="50"/>
      <c r="AN523" s="50"/>
      <c r="AO523" s="50"/>
      <c r="AP523" s="50"/>
      <c r="AQ523" s="50"/>
      <c r="AR523" s="50"/>
      <c r="AS523" s="50"/>
      <c r="AT523" s="50"/>
      <c r="AU523" s="50"/>
      <c r="AV523" s="50"/>
      <c r="AW523" s="50"/>
      <c r="AX523" s="50"/>
      <c r="AY523" s="50"/>
      <c r="AZ523" s="50"/>
      <c r="BA523" s="50"/>
      <c r="BB523" s="50"/>
      <c r="BC523" s="50"/>
      <c r="BD523" s="50"/>
      <c r="BE523" s="50"/>
      <c r="BF523" s="50"/>
      <c r="BG523" s="50"/>
      <c r="BH523" s="50"/>
      <c r="BI523" s="50"/>
      <c r="BJ523" s="50"/>
      <c r="BK523" s="50"/>
      <c r="BL523" s="50"/>
      <c r="BM523" s="50"/>
      <c r="BN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168"/>
      <c r="Z524" s="50"/>
      <c r="AA524" s="50"/>
      <c r="AB524" s="50"/>
      <c r="AC524" s="168"/>
      <c r="AD524" s="168"/>
      <c r="AE524" s="168"/>
      <c r="AF524" s="50"/>
      <c r="AG524" s="50"/>
      <c r="AH524" s="50"/>
      <c r="AI524" s="50"/>
      <c r="AJ524" s="50"/>
      <c r="AK524" s="50"/>
      <c r="AL524" s="50"/>
      <c r="AM524" s="50"/>
      <c r="AN524" s="50"/>
      <c r="AO524" s="50"/>
      <c r="AP524" s="50"/>
      <c r="AQ524" s="50"/>
      <c r="AR524" s="50"/>
      <c r="AS524" s="50"/>
      <c r="AT524" s="50"/>
      <c r="AU524" s="50"/>
      <c r="AV524" s="50"/>
      <c r="AW524" s="50"/>
      <c r="AX524" s="50"/>
      <c r="AY524" s="50"/>
      <c r="AZ524" s="50"/>
      <c r="BA524" s="50"/>
      <c r="BB524" s="50"/>
      <c r="BC524" s="50"/>
      <c r="BD524" s="50"/>
      <c r="BE524" s="50"/>
      <c r="BF524" s="50"/>
      <c r="BG524" s="50"/>
      <c r="BH524" s="50"/>
      <c r="BI524" s="50"/>
      <c r="BJ524" s="50"/>
      <c r="BK524" s="50"/>
      <c r="BL524" s="50"/>
      <c r="BM524" s="50"/>
      <c r="BN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168"/>
      <c r="Z525" s="50"/>
      <c r="AA525" s="50"/>
      <c r="AB525" s="50"/>
      <c r="AC525" s="168"/>
      <c r="AD525" s="168"/>
      <c r="AE525" s="168"/>
      <c r="AF525" s="50"/>
      <c r="AG525" s="50"/>
      <c r="AH525" s="50"/>
      <c r="AI525" s="50"/>
      <c r="AJ525" s="50"/>
      <c r="AK525" s="50"/>
      <c r="AL525" s="50"/>
      <c r="AM525" s="50"/>
      <c r="AN525" s="50"/>
      <c r="AO525" s="50"/>
      <c r="AP525" s="50"/>
      <c r="AQ525" s="50"/>
      <c r="AR525" s="50"/>
      <c r="AS525" s="50"/>
      <c r="AT525" s="50"/>
      <c r="AU525" s="50"/>
      <c r="AV525" s="50"/>
      <c r="AW525" s="50"/>
      <c r="AX525" s="50"/>
      <c r="AY525" s="50"/>
      <c r="AZ525" s="50"/>
      <c r="BA525" s="50"/>
      <c r="BB525" s="50"/>
      <c r="BC525" s="50"/>
      <c r="BD525" s="50"/>
      <c r="BE525" s="50"/>
      <c r="BF525" s="50"/>
      <c r="BG525" s="50"/>
      <c r="BH525" s="50"/>
      <c r="BI525" s="50"/>
      <c r="BJ525" s="50"/>
      <c r="BK525" s="50"/>
      <c r="BL525" s="50"/>
      <c r="BM525" s="50"/>
      <c r="BN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168"/>
      <c r="Z526" s="50"/>
      <c r="AA526" s="50"/>
      <c r="AB526" s="50"/>
      <c r="AC526" s="168"/>
      <c r="AD526" s="168"/>
      <c r="AE526" s="168"/>
      <c r="AF526" s="50"/>
      <c r="AG526" s="50"/>
      <c r="AH526" s="50"/>
      <c r="AI526" s="50"/>
      <c r="AJ526" s="50"/>
      <c r="AK526" s="50"/>
      <c r="AL526" s="50"/>
      <c r="AM526" s="50"/>
      <c r="AN526" s="50"/>
      <c r="AO526" s="50"/>
      <c r="AP526" s="50"/>
      <c r="AQ526" s="50"/>
      <c r="AR526" s="50"/>
      <c r="AS526" s="50"/>
      <c r="AT526" s="50"/>
      <c r="AU526" s="50"/>
      <c r="AV526" s="50"/>
      <c r="AW526" s="50"/>
      <c r="AX526" s="50"/>
      <c r="AY526" s="50"/>
      <c r="AZ526" s="50"/>
      <c r="BA526" s="50"/>
      <c r="BB526" s="50"/>
      <c r="BC526" s="50"/>
      <c r="BD526" s="50"/>
      <c r="BE526" s="50"/>
      <c r="BF526" s="50"/>
      <c r="BG526" s="50"/>
      <c r="BH526" s="50"/>
      <c r="BI526" s="50"/>
      <c r="BJ526" s="50"/>
      <c r="BK526" s="50"/>
      <c r="BL526" s="50"/>
      <c r="BM526" s="50"/>
      <c r="BN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168"/>
      <c r="Z527" s="50"/>
      <c r="AA527" s="50"/>
      <c r="AB527" s="50"/>
      <c r="AC527" s="168"/>
      <c r="AD527" s="168"/>
      <c r="AE527" s="168"/>
      <c r="AF527" s="50"/>
      <c r="AG527" s="50"/>
      <c r="AH527" s="50"/>
      <c r="AI527" s="50"/>
      <c r="AJ527" s="50"/>
      <c r="AK527" s="50"/>
      <c r="AL527" s="50"/>
      <c r="AM527" s="50"/>
      <c r="AN527" s="50"/>
      <c r="AO527" s="50"/>
      <c r="AP527" s="50"/>
      <c r="AQ527" s="50"/>
      <c r="AR527" s="50"/>
      <c r="AS527" s="50"/>
      <c r="AT527" s="50"/>
      <c r="AU527" s="50"/>
      <c r="AV527" s="50"/>
      <c r="AW527" s="50"/>
      <c r="AX527" s="50"/>
      <c r="AY527" s="50"/>
      <c r="AZ527" s="50"/>
      <c r="BA527" s="50"/>
      <c r="BB527" s="50"/>
      <c r="BC527" s="50"/>
      <c r="BD527" s="50"/>
      <c r="BE527" s="50"/>
      <c r="BF527" s="50"/>
      <c r="BG527" s="50"/>
      <c r="BH527" s="50"/>
      <c r="BI527" s="50"/>
      <c r="BJ527" s="50"/>
      <c r="BK527" s="50"/>
      <c r="BL527" s="50"/>
      <c r="BM527" s="50"/>
      <c r="BN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168"/>
      <c r="Z528" s="50"/>
      <c r="AA528" s="50"/>
      <c r="AB528" s="50"/>
      <c r="AC528" s="168"/>
      <c r="AD528" s="168"/>
      <c r="AE528" s="168"/>
      <c r="AF528" s="50"/>
      <c r="AG528" s="50"/>
      <c r="AH528" s="50"/>
      <c r="AI528" s="50"/>
      <c r="AJ528" s="50"/>
      <c r="AK528" s="50"/>
      <c r="AL528" s="50"/>
      <c r="AM528" s="50"/>
      <c r="AN528" s="50"/>
      <c r="AO528" s="50"/>
      <c r="AP528" s="50"/>
      <c r="AQ528" s="50"/>
      <c r="AR528" s="50"/>
      <c r="AS528" s="50"/>
      <c r="AT528" s="50"/>
      <c r="AU528" s="50"/>
      <c r="AV528" s="50"/>
      <c r="AW528" s="50"/>
      <c r="AX528" s="50"/>
      <c r="AY528" s="50"/>
      <c r="AZ528" s="50"/>
      <c r="BA528" s="50"/>
      <c r="BB528" s="50"/>
      <c r="BC528" s="50"/>
      <c r="BD528" s="50"/>
      <c r="BE528" s="50"/>
      <c r="BF528" s="50"/>
      <c r="BG528" s="50"/>
      <c r="BH528" s="50"/>
      <c r="BI528" s="50"/>
      <c r="BJ528" s="50"/>
      <c r="BK528" s="50"/>
      <c r="BL528" s="50"/>
      <c r="BM528" s="50"/>
      <c r="BN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168"/>
      <c r="Z529" s="50"/>
      <c r="AA529" s="50"/>
      <c r="AB529" s="50"/>
      <c r="AC529" s="168"/>
      <c r="AD529" s="168"/>
      <c r="AE529" s="168"/>
      <c r="AF529" s="50"/>
      <c r="AG529" s="50"/>
      <c r="AH529" s="50"/>
      <c r="AI529" s="50"/>
      <c r="AJ529" s="50"/>
      <c r="AK529" s="50"/>
      <c r="AL529" s="50"/>
      <c r="AM529" s="50"/>
      <c r="AN529" s="50"/>
      <c r="AO529" s="50"/>
      <c r="AP529" s="50"/>
      <c r="AQ529" s="50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0"/>
      <c r="BC529" s="50"/>
      <c r="BD529" s="50"/>
      <c r="BE529" s="50"/>
      <c r="BF529" s="50"/>
      <c r="BG529" s="50"/>
      <c r="BH529" s="50"/>
      <c r="BI529" s="50"/>
      <c r="BJ529" s="50"/>
      <c r="BK529" s="50"/>
      <c r="BL529" s="50"/>
      <c r="BM529" s="50"/>
      <c r="BN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168"/>
      <c r="Z530" s="50"/>
      <c r="AA530" s="50"/>
      <c r="AB530" s="50"/>
      <c r="AC530" s="168"/>
      <c r="AD530" s="168"/>
      <c r="AE530" s="168"/>
      <c r="AF530" s="50"/>
      <c r="AG530" s="50"/>
      <c r="AH530" s="50"/>
      <c r="AI530" s="50"/>
      <c r="AJ530" s="50"/>
      <c r="AK530" s="50"/>
      <c r="AL530" s="50"/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50"/>
      <c r="BE530" s="50"/>
      <c r="BF530" s="50"/>
      <c r="BG530" s="50"/>
      <c r="BH530" s="50"/>
      <c r="BI530" s="50"/>
      <c r="BJ530" s="50"/>
      <c r="BK530" s="50"/>
      <c r="BL530" s="50"/>
      <c r="BM530" s="50"/>
      <c r="BN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168"/>
      <c r="Z531" s="50"/>
      <c r="AA531" s="50"/>
      <c r="AB531" s="50"/>
      <c r="AC531" s="168"/>
      <c r="AD531" s="168"/>
      <c r="AE531" s="168"/>
      <c r="AF531" s="50"/>
      <c r="AG531" s="50"/>
      <c r="AH531" s="50"/>
      <c r="AI531" s="50"/>
      <c r="AJ531" s="50"/>
      <c r="AK531" s="50"/>
      <c r="AL531" s="50"/>
      <c r="AM531" s="50"/>
      <c r="AN531" s="50"/>
      <c r="AO531" s="50"/>
      <c r="AP531" s="50"/>
      <c r="AQ531" s="50"/>
      <c r="AR531" s="50"/>
      <c r="AS531" s="50"/>
      <c r="AT531" s="50"/>
      <c r="AU531" s="50"/>
      <c r="AV531" s="50"/>
      <c r="AW531" s="50"/>
      <c r="AX531" s="50"/>
      <c r="AY531" s="50"/>
      <c r="AZ531" s="50"/>
      <c r="BA531" s="50"/>
      <c r="BB531" s="50"/>
      <c r="BC531" s="50"/>
      <c r="BD531" s="50"/>
      <c r="BE531" s="50"/>
      <c r="BF531" s="50"/>
      <c r="BG531" s="50"/>
      <c r="BH531" s="50"/>
      <c r="BI531" s="50"/>
      <c r="BJ531" s="50"/>
      <c r="BK531" s="50"/>
      <c r="BL531" s="50"/>
      <c r="BM531" s="50"/>
      <c r="BN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168"/>
      <c r="Z532" s="50"/>
      <c r="AA532" s="50"/>
      <c r="AB532" s="50"/>
      <c r="AC532" s="168"/>
      <c r="AD532" s="168"/>
      <c r="AE532" s="168"/>
      <c r="AF532" s="50"/>
      <c r="AG532" s="50"/>
      <c r="AH532" s="50"/>
      <c r="AI532" s="50"/>
      <c r="AJ532" s="50"/>
      <c r="AK532" s="50"/>
      <c r="AL532" s="50"/>
      <c r="AM532" s="50"/>
      <c r="AN532" s="50"/>
      <c r="AO532" s="50"/>
      <c r="AP532" s="50"/>
      <c r="AQ532" s="50"/>
      <c r="AR532" s="50"/>
      <c r="AS532" s="50"/>
      <c r="AT532" s="50"/>
      <c r="AU532" s="50"/>
      <c r="AV532" s="50"/>
      <c r="AW532" s="50"/>
      <c r="AX532" s="50"/>
      <c r="AY532" s="50"/>
      <c r="AZ532" s="50"/>
      <c r="BA532" s="50"/>
      <c r="BB532" s="50"/>
      <c r="BC532" s="50"/>
      <c r="BD532" s="50"/>
      <c r="BE532" s="50"/>
      <c r="BF532" s="50"/>
      <c r="BG532" s="50"/>
      <c r="BH532" s="50"/>
      <c r="BI532" s="50"/>
      <c r="BJ532" s="50"/>
      <c r="BK532" s="50"/>
      <c r="BL532" s="50"/>
      <c r="BM532" s="50"/>
      <c r="BN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168"/>
      <c r="Z533" s="50"/>
      <c r="AA533" s="50"/>
      <c r="AB533" s="50"/>
      <c r="AC533" s="168"/>
      <c r="AD533" s="168"/>
      <c r="AE533" s="168"/>
      <c r="AF533" s="50"/>
      <c r="AG533" s="50"/>
      <c r="AH533" s="50"/>
      <c r="AI533" s="50"/>
      <c r="AJ533" s="50"/>
      <c r="AK533" s="50"/>
      <c r="AL533" s="50"/>
      <c r="AM533" s="50"/>
      <c r="AN533" s="50"/>
      <c r="AO533" s="50"/>
      <c r="AP533" s="50"/>
      <c r="AQ533" s="50"/>
      <c r="AR533" s="50"/>
      <c r="AS533" s="50"/>
      <c r="AT533" s="50"/>
      <c r="AU533" s="50"/>
      <c r="AV533" s="50"/>
      <c r="AW533" s="50"/>
      <c r="AX533" s="50"/>
      <c r="AY533" s="50"/>
      <c r="AZ533" s="50"/>
      <c r="BA533" s="50"/>
      <c r="BB533" s="50"/>
      <c r="BC533" s="50"/>
      <c r="BD533" s="50"/>
      <c r="BE533" s="50"/>
      <c r="BF533" s="50"/>
      <c r="BG533" s="50"/>
      <c r="BH533" s="50"/>
      <c r="BI533" s="50"/>
      <c r="BJ533" s="50"/>
      <c r="BK533" s="50"/>
      <c r="BL533" s="50"/>
      <c r="BM533" s="50"/>
      <c r="BN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168"/>
      <c r="Z534" s="50"/>
      <c r="AA534" s="50"/>
      <c r="AB534" s="50"/>
      <c r="AC534" s="168"/>
      <c r="AD534" s="168"/>
      <c r="AE534" s="168"/>
      <c r="AF534" s="50"/>
      <c r="AG534" s="50"/>
      <c r="AH534" s="50"/>
      <c r="AI534" s="50"/>
      <c r="AJ534" s="50"/>
      <c r="AK534" s="50"/>
      <c r="AL534" s="50"/>
      <c r="AM534" s="50"/>
      <c r="AN534" s="50"/>
      <c r="AO534" s="50"/>
      <c r="AP534" s="50"/>
      <c r="AQ534" s="50"/>
      <c r="AR534" s="50"/>
      <c r="AS534" s="50"/>
      <c r="AT534" s="50"/>
      <c r="AU534" s="50"/>
      <c r="AV534" s="50"/>
      <c r="AW534" s="50"/>
      <c r="AX534" s="50"/>
      <c r="AY534" s="50"/>
      <c r="AZ534" s="50"/>
      <c r="BA534" s="50"/>
      <c r="BB534" s="50"/>
      <c r="BC534" s="50"/>
      <c r="BD534" s="50"/>
      <c r="BE534" s="50"/>
      <c r="BF534" s="50"/>
      <c r="BG534" s="50"/>
      <c r="BH534" s="50"/>
      <c r="BI534" s="50"/>
      <c r="BJ534" s="50"/>
      <c r="BK534" s="50"/>
      <c r="BL534" s="50"/>
      <c r="BM534" s="50"/>
      <c r="BN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168"/>
      <c r="Z535" s="50"/>
      <c r="AA535" s="50"/>
      <c r="AB535" s="50"/>
      <c r="AC535" s="168"/>
      <c r="AD535" s="168"/>
      <c r="AE535" s="168"/>
      <c r="AF535" s="50"/>
      <c r="AG535" s="50"/>
      <c r="AH535" s="50"/>
      <c r="AI535" s="50"/>
      <c r="AJ535" s="50"/>
      <c r="AK535" s="50"/>
      <c r="AL535" s="50"/>
      <c r="AM535" s="50"/>
      <c r="AN535" s="50"/>
      <c r="AO535" s="50"/>
      <c r="AP535" s="50"/>
      <c r="AQ535" s="50"/>
      <c r="AR535" s="50"/>
      <c r="AS535" s="50"/>
      <c r="AT535" s="50"/>
      <c r="AU535" s="50"/>
      <c r="AV535" s="50"/>
      <c r="AW535" s="50"/>
      <c r="AX535" s="50"/>
      <c r="AY535" s="50"/>
      <c r="AZ535" s="50"/>
      <c r="BA535" s="50"/>
      <c r="BB535" s="50"/>
      <c r="BC535" s="50"/>
      <c r="BD535" s="50"/>
      <c r="BE535" s="50"/>
      <c r="BF535" s="50"/>
      <c r="BG535" s="50"/>
      <c r="BH535" s="50"/>
      <c r="BI535" s="50"/>
      <c r="BJ535" s="50"/>
      <c r="BK535" s="50"/>
      <c r="BL535" s="50"/>
      <c r="BM535" s="50"/>
      <c r="BN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168"/>
      <c r="Z536" s="50"/>
      <c r="AA536" s="50"/>
      <c r="AB536" s="50"/>
      <c r="AC536" s="168"/>
      <c r="AD536" s="168"/>
      <c r="AE536" s="168"/>
      <c r="AF536" s="50"/>
      <c r="AG536" s="50"/>
      <c r="AH536" s="50"/>
      <c r="AI536" s="50"/>
      <c r="AJ536" s="50"/>
      <c r="AK536" s="50"/>
      <c r="AL536" s="50"/>
      <c r="AM536" s="50"/>
      <c r="AN536" s="50"/>
      <c r="AO536" s="50"/>
      <c r="AP536" s="50"/>
      <c r="AQ536" s="50"/>
      <c r="AR536" s="50"/>
      <c r="AS536" s="50"/>
      <c r="AT536" s="50"/>
      <c r="AU536" s="50"/>
      <c r="AV536" s="50"/>
      <c r="AW536" s="50"/>
      <c r="AX536" s="50"/>
      <c r="AY536" s="50"/>
      <c r="AZ536" s="50"/>
      <c r="BA536" s="50"/>
      <c r="BB536" s="50"/>
      <c r="BC536" s="50"/>
      <c r="BD536" s="50"/>
      <c r="BE536" s="50"/>
      <c r="BF536" s="50"/>
      <c r="BG536" s="50"/>
      <c r="BH536" s="50"/>
      <c r="BI536" s="50"/>
      <c r="BJ536" s="50"/>
      <c r="BK536" s="50"/>
      <c r="BL536" s="50"/>
      <c r="BM536" s="50"/>
      <c r="BN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168"/>
      <c r="Z537" s="50"/>
      <c r="AA537" s="50"/>
      <c r="AB537" s="50"/>
      <c r="AC537" s="168"/>
      <c r="AD537" s="168"/>
      <c r="AE537" s="168"/>
      <c r="AF537" s="50"/>
      <c r="AG537" s="50"/>
      <c r="AH537" s="50"/>
      <c r="AI537" s="50"/>
      <c r="AJ537" s="50"/>
      <c r="AK537" s="50"/>
      <c r="AL537" s="50"/>
      <c r="AM537" s="50"/>
      <c r="AN537" s="50"/>
      <c r="AO537" s="50"/>
      <c r="AP537" s="50"/>
      <c r="AQ537" s="50"/>
      <c r="AR537" s="50"/>
      <c r="AS537" s="50"/>
      <c r="AT537" s="50"/>
      <c r="AU537" s="50"/>
      <c r="AV537" s="50"/>
      <c r="AW537" s="50"/>
      <c r="AX537" s="50"/>
      <c r="AY537" s="50"/>
      <c r="AZ537" s="50"/>
      <c r="BA537" s="50"/>
      <c r="BB537" s="50"/>
      <c r="BC537" s="50"/>
      <c r="BD537" s="50"/>
      <c r="BE537" s="50"/>
      <c r="BF537" s="50"/>
      <c r="BG537" s="50"/>
      <c r="BH537" s="50"/>
      <c r="BI537" s="50"/>
      <c r="BJ537" s="50"/>
      <c r="BK537" s="50"/>
      <c r="BL537" s="50"/>
      <c r="BM537" s="50"/>
      <c r="BN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168"/>
      <c r="Z538" s="50"/>
      <c r="AA538" s="50"/>
      <c r="AB538" s="50"/>
      <c r="AC538" s="168"/>
      <c r="AD538" s="168"/>
      <c r="AE538" s="168"/>
      <c r="AF538" s="50"/>
      <c r="AG538" s="50"/>
      <c r="AH538" s="50"/>
      <c r="AI538" s="50"/>
      <c r="AJ538" s="50"/>
      <c r="AK538" s="50"/>
      <c r="AL538" s="50"/>
      <c r="AM538" s="50"/>
      <c r="AN538" s="50"/>
      <c r="AO538" s="50"/>
      <c r="AP538" s="50"/>
      <c r="AQ538" s="50"/>
      <c r="AR538" s="50"/>
      <c r="AS538" s="50"/>
      <c r="AT538" s="50"/>
      <c r="AU538" s="50"/>
      <c r="AV538" s="50"/>
      <c r="AW538" s="50"/>
      <c r="AX538" s="50"/>
      <c r="AY538" s="50"/>
      <c r="AZ538" s="50"/>
      <c r="BA538" s="50"/>
      <c r="BB538" s="50"/>
      <c r="BC538" s="50"/>
      <c r="BD538" s="50"/>
      <c r="BE538" s="50"/>
      <c r="BF538" s="50"/>
      <c r="BG538" s="50"/>
      <c r="BH538" s="50"/>
      <c r="BI538" s="50"/>
      <c r="BJ538" s="50"/>
      <c r="BK538" s="50"/>
      <c r="BL538" s="50"/>
      <c r="BM538" s="50"/>
      <c r="BN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168"/>
      <c r="Z539" s="50"/>
      <c r="AA539" s="50"/>
      <c r="AB539" s="50"/>
      <c r="AC539" s="168"/>
      <c r="AD539" s="168"/>
      <c r="AE539" s="168"/>
      <c r="AF539" s="50"/>
      <c r="AG539" s="50"/>
      <c r="AH539" s="50"/>
      <c r="AI539" s="50"/>
      <c r="AJ539" s="50"/>
      <c r="AK539" s="50"/>
      <c r="AL539" s="50"/>
      <c r="AM539" s="50"/>
      <c r="AN539" s="50"/>
      <c r="AO539" s="50"/>
      <c r="AP539" s="50"/>
      <c r="AQ539" s="50"/>
      <c r="AR539" s="50"/>
      <c r="AS539" s="50"/>
      <c r="AT539" s="50"/>
      <c r="AU539" s="50"/>
      <c r="AV539" s="50"/>
      <c r="AW539" s="50"/>
      <c r="AX539" s="50"/>
      <c r="AY539" s="50"/>
      <c r="AZ539" s="50"/>
      <c r="BA539" s="50"/>
      <c r="BB539" s="50"/>
      <c r="BC539" s="50"/>
      <c r="BD539" s="50"/>
      <c r="BE539" s="50"/>
      <c r="BF539" s="50"/>
      <c r="BG539" s="50"/>
      <c r="BH539" s="50"/>
      <c r="BI539" s="50"/>
      <c r="BJ539" s="50"/>
      <c r="BK539" s="50"/>
      <c r="BL539" s="50"/>
      <c r="BM539" s="50"/>
      <c r="BN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168"/>
      <c r="Z540" s="50"/>
      <c r="AA540" s="50"/>
      <c r="AB540" s="50"/>
      <c r="AC540" s="168"/>
      <c r="AD540" s="168"/>
      <c r="AE540" s="168"/>
      <c r="AF540" s="50"/>
      <c r="AG540" s="50"/>
      <c r="AH540" s="50"/>
      <c r="AI540" s="50"/>
      <c r="AJ540" s="50"/>
      <c r="AK540" s="50"/>
      <c r="AL540" s="50"/>
      <c r="AM540" s="50"/>
      <c r="AN540" s="50"/>
      <c r="AO540" s="50"/>
      <c r="AP540" s="50"/>
      <c r="AQ540" s="50"/>
      <c r="AR540" s="50"/>
      <c r="AS540" s="50"/>
      <c r="AT540" s="50"/>
      <c r="AU540" s="50"/>
      <c r="AV540" s="50"/>
      <c r="AW540" s="50"/>
      <c r="AX540" s="50"/>
      <c r="AY540" s="50"/>
      <c r="AZ540" s="50"/>
      <c r="BA540" s="50"/>
      <c r="BB540" s="50"/>
      <c r="BC540" s="50"/>
      <c r="BD540" s="50"/>
      <c r="BE540" s="50"/>
      <c r="BF540" s="50"/>
      <c r="BG540" s="50"/>
      <c r="BH540" s="50"/>
      <c r="BI540" s="50"/>
      <c r="BJ540" s="50"/>
      <c r="BK540" s="50"/>
      <c r="BL540" s="50"/>
      <c r="BM540" s="50"/>
      <c r="BN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168"/>
      <c r="Z541" s="50"/>
      <c r="AA541" s="50"/>
      <c r="AB541" s="50"/>
      <c r="AC541" s="168"/>
      <c r="AD541" s="168"/>
      <c r="AE541" s="168"/>
      <c r="AF541" s="50"/>
      <c r="AG541" s="50"/>
      <c r="AH541" s="50"/>
      <c r="AI541" s="50"/>
      <c r="AJ541" s="50"/>
      <c r="AK541" s="50"/>
      <c r="AL541" s="50"/>
      <c r="AM541" s="50"/>
      <c r="AN541" s="50"/>
      <c r="AO541" s="50"/>
      <c r="AP541" s="50"/>
      <c r="AQ541" s="50"/>
      <c r="AR541" s="50"/>
      <c r="AS541" s="50"/>
      <c r="AT541" s="50"/>
      <c r="AU541" s="50"/>
      <c r="AV541" s="50"/>
      <c r="AW541" s="50"/>
      <c r="AX541" s="50"/>
      <c r="AY541" s="50"/>
      <c r="AZ541" s="50"/>
      <c r="BA541" s="50"/>
      <c r="BB541" s="50"/>
      <c r="BC541" s="50"/>
      <c r="BD541" s="50"/>
      <c r="BE541" s="50"/>
      <c r="BF541" s="50"/>
      <c r="BG541" s="50"/>
      <c r="BH541" s="50"/>
      <c r="BI541" s="50"/>
      <c r="BJ541" s="50"/>
      <c r="BK541" s="50"/>
      <c r="BL541" s="50"/>
      <c r="BM541" s="50"/>
      <c r="BN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168"/>
      <c r="Z542" s="50"/>
      <c r="AA542" s="50"/>
      <c r="AB542" s="50"/>
      <c r="AC542" s="168"/>
      <c r="AD542" s="168"/>
      <c r="AE542" s="168"/>
      <c r="AF542" s="50"/>
      <c r="AG542" s="50"/>
      <c r="AH542" s="50"/>
      <c r="AI542" s="50"/>
      <c r="AJ542" s="50"/>
      <c r="AK542" s="50"/>
      <c r="AL542" s="50"/>
      <c r="AM542" s="50"/>
      <c r="AN542" s="50"/>
      <c r="AO542" s="50"/>
      <c r="AP542" s="50"/>
      <c r="AQ542" s="50"/>
      <c r="AR542" s="50"/>
      <c r="AS542" s="50"/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0"/>
      <c r="BE542" s="50"/>
      <c r="BF542" s="50"/>
      <c r="BG542" s="50"/>
      <c r="BH542" s="50"/>
      <c r="BI542" s="50"/>
      <c r="BJ542" s="50"/>
      <c r="BK542" s="50"/>
      <c r="BL542" s="50"/>
      <c r="BM542" s="50"/>
      <c r="BN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168"/>
      <c r="Z543" s="50"/>
      <c r="AA543" s="50"/>
      <c r="AB543" s="50"/>
      <c r="AC543" s="168"/>
      <c r="AD543" s="168"/>
      <c r="AE543" s="168"/>
      <c r="AF543" s="50"/>
      <c r="AG543" s="50"/>
      <c r="AH543" s="50"/>
      <c r="AI543" s="50"/>
      <c r="AJ543" s="50"/>
      <c r="AK543" s="50"/>
      <c r="AL543" s="50"/>
      <c r="AM543" s="50"/>
      <c r="AN543" s="50"/>
      <c r="AO543" s="50"/>
      <c r="AP543" s="50"/>
      <c r="AQ543" s="50"/>
      <c r="AR543" s="50"/>
      <c r="AS543" s="50"/>
      <c r="AT543" s="50"/>
      <c r="AU543" s="50"/>
      <c r="AV543" s="50"/>
      <c r="AW543" s="50"/>
      <c r="AX543" s="50"/>
      <c r="AY543" s="50"/>
      <c r="AZ543" s="50"/>
      <c r="BA543" s="50"/>
      <c r="BB543" s="50"/>
      <c r="BC543" s="50"/>
      <c r="BD543" s="50"/>
      <c r="BE543" s="50"/>
      <c r="BF543" s="50"/>
      <c r="BG543" s="50"/>
      <c r="BH543" s="50"/>
      <c r="BI543" s="50"/>
      <c r="BJ543" s="50"/>
      <c r="BK543" s="50"/>
      <c r="BL543" s="50"/>
      <c r="BM543" s="50"/>
      <c r="BN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168"/>
      <c r="Z544" s="50"/>
      <c r="AA544" s="50"/>
      <c r="AB544" s="50"/>
      <c r="AC544" s="168"/>
      <c r="AD544" s="168"/>
      <c r="AE544" s="168"/>
      <c r="AF544" s="50"/>
      <c r="AG544" s="50"/>
      <c r="AH544" s="50"/>
      <c r="AI544" s="50"/>
      <c r="AJ544" s="50"/>
      <c r="AK544" s="50"/>
      <c r="AL544" s="50"/>
      <c r="AM544" s="50"/>
      <c r="AN544" s="50"/>
      <c r="AO544" s="50"/>
      <c r="AP544" s="50"/>
      <c r="AQ544" s="50"/>
      <c r="AR544" s="50"/>
      <c r="AS544" s="50"/>
      <c r="AT544" s="50"/>
      <c r="AU544" s="50"/>
      <c r="AV544" s="50"/>
      <c r="AW544" s="50"/>
      <c r="AX544" s="50"/>
      <c r="AY544" s="50"/>
      <c r="AZ544" s="50"/>
      <c r="BA544" s="50"/>
      <c r="BB544" s="50"/>
      <c r="BC544" s="50"/>
      <c r="BD544" s="50"/>
      <c r="BE544" s="50"/>
      <c r="BF544" s="50"/>
      <c r="BG544" s="50"/>
      <c r="BH544" s="50"/>
      <c r="BI544" s="50"/>
      <c r="BJ544" s="50"/>
      <c r="BK544" s="50"/>
      <c r="BL544" s="50"/>
      <c r="BM544" s="50"/>
      <c r="BN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168"/>
      <c r="Z545" s="50"/>
      <c r="AA545" s="50"/>
      <c r="AB545" s="50"/>
      <c r="AC545" s="168"/>
      <c r="AD545" s="168"/>
      <c r="AE545" s="168"/>
      <c r="AF545" s="50"/>
      <c r="AG545" s="50"/>
      <c r="AH545" s="50"/>
      <c r="AI545" s="50"/>
      <c r="AJ545" s="50"/>
      <c r="AK545" s="50"/>
      <c r="AL545" s="50"/>
      <c r="AM545" s="50"/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168"/>
      <c r="Z546" s="50"/>
      <c r="AA546" s="50"/>
      <c r="AB546" s="50"/>
      <c r="AC546" s="168"/>
      <c r="AD546" s="168"/>
      <c r="AE546" s="168"/>
      <c r="AF546" s="50"/>
      <c r="AG546" s="50"/>
      <c r="AH546" s="50"/>
      <c r="AI546" s="50"/>
      <c r="AJ546" s="50"/>
      <c r="AK546" s="50"/>
      <c r="AL546" s="50"/>
      <c r="AM546" s="50"/>
      <c r="AN546" s="50"/>
      <c r="AO546" s="50"/>
      <c r="AP546" s="50"/>
      <c r="AQ546" s="50"/>
      <c r="AR546" s="50"/>
      <c r="AS546" s="50"/>
      <c r="AT546" s="50"/>
      <c r="AU546" s="50"/>
      <c r="AV546" s="50"/>
      <c r="AW546" s="50"/>
      <c r="AX546" s="50"/>
      <c r="AY546" s="50"/>
      <c r="AZ546" s="50"/>
      <c r="BA546" s="50"/>
      <c r="BB546" s="50"/>
      <c r="BC546" s="50"/>
      <c r="BD546" s="50"/>
      <c r="BE546" s="50"/>
      <c r="BF546" s="50"/>
      <c r="BG546" s="50"/>
      <c r="BH546" s="50"/>
      <c r="BI546" s="50"/>
      <c r="BJ546" s="50"/>
      <c r="BK546" s="50"/>
      <c r="BL546" s="50"/>
      <c r="BM546" s="50"/>
      <c r="BN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168"/>
      <c r="Z547" s="50"/>
      <c r="AA547" s="50"/>
      <c r="AB547" s="50"/>
      <c r="AC547" s="168"/>
      <c r="AD547" s="168"/>
      <c r="AE547" s="168"/>
      <c r="AF547" s="50"/>
      <c r="AG547" s="50"/>
      <c r="AH547" s="50"/>
      <c r="AI547" s="50"/>
      <c r="AJ547" s="50"/>
      <c r="AK547" s="50"/>
      <c r="AL547" s="50"/>
      <c r="AM547" s="50"/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/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168"/>
      <c r="Z548" s="50"/>
      <c r="AA548" s="50"/>
      <c r="AB548" s="50"/>
      <c r="AC548" s="168"/>
      <c r="AD548" s="168"/>
      <c r="AE548" s="168"/>
      <c r="AF548" s="50"/>
      <c r="AG548" s="50"/>
      <c r="AH548" s="50"/>
      <c r="AI548" s="50"/>
      <c r="AJ548" s="50"/>
      <c r="AK548" s="50"/>
      <c r="AL548" s="50"/>
      <c r="AM548" s="50"/>
      <c r="AN548" s="50"/>
      <c r="AO548" s="50"/>
      <c r="AP548" s="50"/>
      <c r="AQ548" s="50"/>
      <c r="AR548" s="50"/>
      <c r="AS548" s="50"/>
      <c r="AT548" s="50"/>
      <c r="AU548" s="50"/>
      <c r="AV548" s="50"/>
      <c r="AW548" s="50"/>
      <c r="AX548" s="50"/>
      <c r="AY548" s="50"/>
      <c r="AZ548" s="50"/>
      <c r="BA548" s="50"/>
      <c r="BB548" s="50"/>
      <c r="BC548" s="50"/>
      <c r="BD548" s="50"/>
      <c r="BE548" s="50"/>
      <c r="BF548" s="50"/>
      <c r="BG548" s="50"/>
      <c r="BH548" s="50"/>
      <c r="BI548" s="50"/>
      <c r="BJ548" s="50"/>
      <c r="BK548" s="50"/>
      <c r="BL548" s="50"/>
      <c r="BM548" s="50"/>
      <c r="BN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168"/>
      <c r="Z549" s="50"/>
      <c r="AA549" s="50"/>
      <c r="AB549" s="50"/>
      <c r="AC549" s="168"/>
      <c r="AD549" s="168"/>
      <c r="AE549" s="168"/>
      <c r="AF549" s="50"/>
      <c r="AG549" s="50"/>
      <c r="AH549" s="50"/>
      <c r="AI549" s="50"/>
      <c r="AJ549" s="50"/>
      <c r="AK549" s="50"/>
      <c r="AL549" s="50"/>
      <c r="AM549" s="50"/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/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168"/>
      <c r="Z550" s="50"/>
      <c r="AA550" s="50"/>
      <c r="AB550" s="50"/>
      <c r="AC550" s="168"/>
      <c r="AD550" s="168"/>
      <c r="AE550" s="168"/>
      <c r="AF550" s="50"/>
      <c r="AG550" s="50"/>
      <c r="AH550" s="50"/>
      <c r="AI550" s="50"/>
      <c r="AJ550" s="50"/>
      <c r="AK550" s="50"/>
      <c r="AL550" s="50"/>
      <c r="AM550" s="50"/>
      <c r="AN550" s="50"/>
      <c r="AO550" s="50"/>
      <c r="AP550" s="50"/>
      <c r="AQ550" s="50"/>
      <c r="AR550" s="50"/>
      <c r="AS550" s="50"/>
      <c r="AT550" s="50"/>
      <c r="AU550" s="50"/>
      <c r="AV550" s="50"/>
      <c r="AW550" s="50"/>
      <c r="AX550" s="50"/>
      <c r="AY550" s="50"/>
      <c r="AZ550" s="50"/>
      <c r="BA550" s="50"/>
      <c r="BB550" s="50"/>
      <c r="BC550" s="50"/>
      <c r="BD550" s="50"/>
      <c r="BE550" s="50"/>
      <c r="BF550" s="50"/>
      <c r="BG550" s="50"/>
      <c r="BH550" s="50"/>
      <c r="BI550" s="50"/>
      <c r="BJ550" s="50"/>
      <c r="BK550" s="50"/>
      <c r="BL550" s="50"/>
      <c r="BM550" s="50"/>
      <c r="BN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168"/>
      <c r="Z551" s="50"/>
      <c r="AA551" s="50"/>
      <c r="AB551" s="50"/>
      <c r="AC551" s="168"/>
      <c r="AD551" s="168"/>
      <c r="AE551" s="168"/>
      <c r="AF551" s="50"/>
      <c r="AG551" s="50"/>
      <c r="AH551" s="50"/>
      <c r="AI551" s="50"/>
      <c r="AJ551" s="50"/>
      <c r="AK551" s="50"/>
      <c r="AL551" s="50"/>
      <c r="AM551" s="50"/>
      <c r="AN551" s="50"/>
      <c r="AO551" s="50"/>
      <c r="AP551" s="50"/>
      <c r="AQ551" s="50"/>
      <c r="AR551" s="50"/>
      <c r="AS551" s="50"/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50"/>
      <c r="BE551" s="50"/>
      <c r="BF551" s="50"/>
      <c r="BG551" s="50"/>
      <c r="BH551" s="50"/>
      <c r="BI551" s="50"/>
      <c r="BJ551" s="50"/>
      <c r="BK551" s="50"/>
      <c r="BL551" s="50"/>
      <c r="BM551" s="50"/>
      <c r="BN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168"/>
      <c r="Z552" s="50"/>
      <c r="AA552" s="50"/>
      <c r="AB552" s="50"/>
      <c r="AC552" s="168"/>
      <c r="AD552" s="168"/>
      <c r="AE552" s="168"/>
      <c r="AF552" s="50"/>
      <c r="AG552" s="50"/>
      <c r="AH552" s="50"/>
      <c r="AI552" s="50"/>
      <c r="AJ552" s="50"/>
      <c r="AK552" s="50"/>
      <c r="AL552" s="50"/>
      <c r="AM552" s="50"/>
      <c r="AN552" s="50"/>
      <c r="AO552" s="50"/>
      <c r="AP552" s="50"/>
      <c r="AQ552" s="50"/>
      <c r="AR552" s="50"/>
      <c r="AS552" s="50"/>
      <c r="AT552" s="50"/>
      <c r="AU552" s="50"/>
      <c r="AV552" s="50"/>
      <c r="AW552" s="50"/>
      <c r="AX552" s="50"/>
      <c r="AY552" s="50"/>
      <c r="AZ552" s="50"/>
      <c r="BA552" s="50"/>
      <c r="BB552" s="50"/>
      <c r="BC552" s="50"/>
      <c r="BD552" s="50"/>
      <c r="BE552" s="50"/>
      <c r="BF552" s="50"/>
      <c r="BG552" s="50"/>
      <c r="BH552" s="50"/>
      <c r="BI552" s="50"/>
      <c r="BJ552" s="50"/>
      <c r="BK552" s="50"/>
      <c r="BL552" s="50"/>
      <c r="BM552" s="50"/>
      <c r="BN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168"/>
      <c r="Z553" s="50"/>
      <c r="AA553" s="50"/>
      <c r="AB553" s="50"/>
      <c r="AC553" s="168"/>
      <c r="AD553" s="168"/>
      <c r="AE553" s="168"/>
      <c r="AF553" s="50"/>
      <c r="AG553" s="50"/>
      <c r="AH553" s="50"/>
      <c r="AI553" s="50"/>
      <c r="AJ553" s="50"/>
      <c r="AK553" s="50"/>
      <c r="AL553" s="50"/>
      <c r="AM553" s="50"/>
      <c r="AN553" s="50"/>
      <c r="AO553" s="50"/>
      <c r="AP553" s="50"/>
      <c r="AQ553" s="50"/>
      <c r="AR553" s="50"/>
      <c r="AS553" s="50"/>
      <c r="AT553" s="50"/>
      <c r="AU553" s="50"/>
      <c r="AV553" s="50"/>
      <c r="AW553" s="50"/>
      <c r="AX553" s="50"/>
      <c r="AY553" s="50"/>
      <c r="AZ553" s="50"/>
      <c r="BA553" s="50"/>
      <c r="BB553" s="50"/>
      <c r="BC553" s="50"/>
      <c r="BD553" s="50"/>
      <c r="BE553" s="50"/>
      <c r="BF553" s="50"/>
      <c r="BG553" s="50"/>
      <c r="BH553" s="50"/>
      <c r="BI553" s="50"/>
      <c r="BJ553" s="50"/>
      <c r="BK553" s="50"/>
      <c r="BL553" s="50"/>
      <c r="BM553" s="50"/>
      <c r="BN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168"/>
      <c r="Z554" s="50"/>
      <c r="AA554" s="50"/>
      <c r="AB554" s="50"/>
      <c r="AC554" s="168"/>
      <c r="AD554" s="168"/>
      <c r="AE554" s="168"/>
      <c r="AF554" s="50"/>
      <c r="AG554" s="50"/>
      <c r="AH554" s="50"/>
      <c r="AI554" s="50"/>
      <c r="AJ554" s="50"/>
      <c r="AK554" s="50"/>
      <c r="AL554" s="50"/>
      <c r="AM554" s="50"/>
      <c r="AN554" s="50"/>
      <c r="AO554" s="50"/>
      <c r="AP554" s="50"/>
      <c r="AQ554" s="50"/>
      <c r="AR554" s="50"/>
      <c r="AS554" s="50"/>
      <c r="AT554" s="50"/>
      <c r="AU554" s="50"/>
      <c r="AV554" s="50"/>
      <c r="AW554" s="50"/>
      <c r="AX554" s="50"/>
      <c r="AY554" s="50"/>
      <c r="AZ554" s="50"/>
      <c r="BA554" s="50"/>
      <c r="BB554" s="50"/>
      <c r="BC554" s="50"/>
      <c r="BD554" s="50"/>
      <c r="BE554" s="50"/>
      <c r="BF554" s="50"/>
      <c r="BG554" s="50"/>
      <c r="BH554" s="50"/>
      <c r="BI554" s="50"/>
      <c r="BJ554" s="50"/>
      <c r="BK554" s="50"/>
      <c r="BL554" s="50"/>
      <c r="BM554" s="50"/>
      <c r="BN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168"/>
      <c r="Z555" s="50"/>
      <c r="AA555" s="50"/>
      <c r="AB555" s="50"/>
      <c r="AC555" s="168"/>
      <c r="AD555" s="168"/>
      <c r="AE555" s="168"/>
      <c r="AF555" s="50"/>
      <c r="AG555" s="50"/>
      <c r="AH555" s="50"/>
      <c r="AI555" s="50"/>
      <c r="AJ555" s="50"/>
      <c r="AK555" s="50"/>
      <c r="AL555" s="50"/>
      <c r="AM555" s="50"/>
      <c r="AN555" s="50"/>
      <c r="AO555" s="50"/>
      <c r="AP555" s="50"/>
      <c r="AQ555" s="50"/>
      <c r="AR555" s="50"/>
      <c r="AS555" s="50"/>
      <c r="AT555" s="50"/>
      <c r="AU555" s="50"/>
      <c r="AV555" s="50"/>
      <c r="AW555" s="50"/>
      <c r="AX555" s="50"/>
      <c r="AY555" s="50"/>
      <c r="AZ555" s="50"/>
      <c r="BA555" s="50"/>
      <c r="BB555" s="50"/>
      <c r="BC555" s="50"/>
      <c r="BD555" s="50"/>
      <c r="BE555" s="50"/>
      <c r="BF555" s="50"/>
      <c r="BG555" s="50"/>
      <c r="BH555" s="50"/>
      <c r="BI555" s="50"/>
      <c r="BJ555" s="50"/>
      <c r="BK555" s="50"/>
      <c r="BL555" s="50"/>
      <c r="BM555" s="50"/>
      <c r="BN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168"/>
      <c r="Z556" s="50"/>
      <c r="AA556" s="50"/>
      <c r="AB556" s="50"/>
      <c r="AC556" s="168"/>
      <c r="AD556" s="168"/>
      <c r="AE556" s="168"/>
      <c r="AF556" s="50"/>
      <c r="AG556" s="50"/>
      <c r="AH556" s="50"/>
      <c r="AI556" s="50"/>
      <c r="AJ556" s="50"/>
      <c r="AK556" s="50"/>
      <c r="AL556" s="50"/>
      <c r="AM556" s="50"/>
      <c r="AN556" s="50"/>
      <c r="AO556" s="50"/>
      <c r="AP556" s="50"/>
      <c r="AQ556" s="50"/>
      <c r="AR556" s="50"/>
      <c r="AS556" s="50"/>
      <c r="AT556" s="50"/>
      <c r="AU556" s="50"/>
      <c r="AV556" s="50"/>
      <c r="AW556" s="50"/>
      <c r="AX556" s="50"/>
      <c r="AY556" s="50"/>
      <c r="AZ556" s="50"/>
      <c r="BA556" s="50"/>
      <c r="BB556" s="50"/>
      <c r="BC556" s="50"/>
      <c r="BD556" s="50"/>
      <c r="BE556" s="50"/>
      <c r="BF556" s="50"/>
      <c r="BG556" s="50"/>
      <c r="BH556" s="50"/>
      <c r="BI556" s="50"/>
      <c r="BJ556" s="50"/>
      <c r="BK556" s="50"/>
      <c r="BL556" s="50"/>
      <c r="BM556" s="50"/>
      <c r="BN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168"/>
      <c r="Z557" s="50"/>
      <c r="AA557" s="50"/>
      <c r="AB557" s="50"/>
      <c r="AC557" s="168"/>
      <c r="AD557" s="168"/>
      <c r="AE557" s="168"/>
      <c r="AF557" s="50"/>
      <c r="AG557" s="50"/>
      <c r="AH557" s="50"/>
      <c r="AI557" s="50"/>
      <c r="AJ557" s="50"/>
      <c r="AK557" s="50"/>
      <c r="AL557" s="50"/>
      <c r="AM557" s="50"/>
      <c r="AN557" s="50"/>
      <c r="AO557" s="50"/>
      <c r="AP557" s="50"/>
      <c r="AQ557" s="50"/>
      <c r="AR557" s="50"/>
      <c r="AS557" s="50"/>
      <c r="AT557" s="50"/>
      <c r="AU557" s="50"/>
      <c r="AV557" s="50"/>
      <c r="AW557" s="50"/>
      <c r="AX557" s="50"/>
      <c r="AY557" s="50"/>
      <c r="AZ557" s="50"/>
      <c r="BA557" s="50"/>
      <c r="BB557" s="50"/>
      <c r="BC557" s="50"/>
      <c r="BD557" s="50"/>
      <c r="BE557" s="50"/>
      <c r="BF557" s="50"/>
      <c r="BG557" s="50"/>
      <c r="BH557" s="50"/>
      <c r="BI557" s="50"/>
      <c r="BJ557" s="50"/>
      <c r="BK557" s="50"/>
      <c r="BL557" s="50"/>
      <c r="BM557" s="50"/>
      <c r="BN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168"/>
      <c r="Z558" s="50"/>
      <c r="AA558" s="50"/>
      <c r="AB558" s="50"/>
      <c r="AC558" s="168"/>
      <c r="AD558" s="168"/>
      <c r="AE558" s="168"/>
      <c r="AF558" s="50"/>
      <c r="AG558" s="50"/>
      <c r="AH558" s="50"/>
      <c r="AI558" s="50"/>
      <c r="AJ558" s="50"/>
      <c r="AK558" s="50"/>
      <c r="AL558" s="50"/>
      <c r="AM558" s="50"/>
      <c r="AN558" s="50"/>
      <c r="AO558" s="50"/>
      <c r="AP558" s="50"/>
      <c r="AQ558" s="50"/>
      <c r="AR558" s="50"/>
      <c r="AS558" s="50"/>
      <c r="AT558" s="50"/>
      <c r="AU558" s="50"/>
      <c r="AV558" s="50"/>
      <c r="AW558" s="50"/>
      <c r="AX558" s="50"/>
      <c r="AY558" s="50"/>
      <c r="AZ558" s="50"/>
      <c r="BA558" s="50"/>
      <c r="BB558" s="50"/>
      <c r="BC558" s="50"/>
      <c r="BD558" s="50"/>
      <c r="BE558" s="50"/>
      <c r="BF558" s="50"/>
      <c r="BG558" s="50"/>
      <c r="BH558" s="50"/>
      <c r="BI558" s="50"/>
      <c r="BJ558" s="50"/>
      <c r="BK558" s="50"/>
      <c r="BL558" s="50"/>
      <c r="BM558" s="50"/>
      <c r="BN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168"/>
      <c r="Z559" s="50"/>
      <c r="AA559" s="50"/>
      <c r="AB559" s="50"/>
      <c r="AC559" s="168"/>
      <c r="AD559" s="168"/>
      <c r="AE559" s="168"/>
      <c r="AF559" s="50"/>
      <c r="AG559" s="50"/>
      <c r="AH559" s="50"/>
      <c r="AI559" s="50"/>
      <c r="AJ559" s="50"/>
      <c r="AK559" s="50"/>
      <c r="AL559" s="50"/>
      <c r="AM559" s="50"/>
      <c r="AN559" s="50"/>
      <c r="AO559" s="50"/>
      <c r="AP559" s="50"/>
      <c r="AQ559" s="50"/>
      <c r="AR559" s="50"/>
      <c r="AS559" s="50"/>
      <c r="AT559" s="50"/>
      <c r="AU559" s="50"/>
      <c r="AV559" s="50"/>
      <c r="AW559" s="50"/>
      <c r="AX559" s="50"/>
      <c r="AY559" s="50"/>
      <c r="AZ559" s="50"/>
      <c r="BA559" s="50"/>
      <c r="BB559" s="50"/>
      <c r="BC559" s="50"/>
      <c r="BD559" s="50"/>
      <c r="BE559" s="50"/>
      <c r="BF559" s="50"/>
      <c r="BG559" s="50"/>
      <c r="BH559" s="50"/>
      <c r="BI559" s="50"/>
      <c r="BJ559" s="50"/>
      <c r="BK559" s="50"/>
      <c r="BL559" s="50"/>
      <c r="BM559" s="50"/>
      <c r="BN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168"/>
      <c r="Z560" s="50"/>
      <c r="AA560" s="50"/>
      <c r="AB560" s="50"/>
      <c r="AC560" s="168"/>
      <c r="AD560" s="168"/>
      <c r="AE560" s="168"/>
      <c r="AF560" s="50"/>
      <c r="AG560" s="50"/>
      <c r="AH560" s="50"/>
      <c r="AI560" s="50"/>
      <c r="AJ560" s="50"/>
      <c r="AK560" s="50"/>
      <c r="AL560" s="50"/>
      <c r="AM560" s="50"/>
      <c r="AN560" s="50"/>
      <c r="AO560" s="50"/>
      <c r="AP560" s="50"/>
      <c r="AQ560" s="50"/>
      <c r="AR560" s="50"/>
      <c r="AS560" s="50"/>
      <c r="AT560" s="50"/>
      <c r="AU560" s="50"/>
      <c r="AV560" s="50"/>
      <c r="AW560" s="50"/>
      <c r="AX560" s="50"/>
      <c r="AY560" s="50"/>
      <c r="AZ560" s="50"/>
      <c r="BA560" s="50"/>
      <c r="BB560" s="50"/>
      <c r="BC560" s="50"/>
      <c r="BD560" s="50"/>
      <c r="BE560" s="50"/>
      <c r="BF560" s="50"/>
      <c r="BG560" s="50"/>
      <c r="BH560" s="50"/>
      <c r="BI560" s="50"/>
      <c r="BJ560" s="50"/>
      <c r="BK560" s="50"/>
      <c r="BL560" s="50"/>
      <c r="BM560" s="50"/>
      <c r="BN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168"/>
      <c r="Z561" s="50"/>
      <c r="AA561" s="50"/>
      <c r="AB561" s="50"/>
      <c r="AC561" s="168"/>
      <c r="AD561" s="168"/>
      <c r="AE561" s="168"/>
      <c r="AF561" s="50"/>
      <c r="AG561" s="50"/>
      <c r="AH561" s="50"/>
      <c r="AI561" s="50"/>
      <c r="AJ561" s="50"/>
      <c r="AK561" s="50"/>
      <c r="AL561" s="50"/>
      <c r="AM561" s="50"/>
      <c r="AN561" s="50"/>
      <c r="AO561" s="50"/>
      <c r="AP561" s="50"/>
      <c r="AQ561" s="50"/>
      <c r="AR561" s="50"/>
      <c r="AS561" s="50"/>
      <c r="AT561" s="50"/>
      <c r="AU561" s="50"/>
      <c r="AV561" s="50"/>
      <c r="AW561" s="50"/>
      <c r="AX561" s="50"/>
      <c r="AY561" s="50"/>
      <c r="AZ561" s="50"/>
      <c r="BA561" s="50"/>
      <c r="BB561" s="50"/>
      <c r="BC561" s="50"/>
      <c r="BD561" s="50"/>
      <c r="BE561" s="50"/>
      <c r="BF561" s="50"/>
      <c r="BG561" s="50"/>
      <c r="BH561" s="50"/>
      <c r="BI561" s="50"/>
      <c r="BJ561" s="50"/>
      <c r="BK561" s="50"/>
      <c r="BL561" s="50"/>
      <c r="BM561" s="50"/>
      <c r="BN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168"/>
      <c r="Z562" s="50"/>
      <c r="AA562" s="50"/>
      <c r="AB562" s="50"/>
      <c r="AC562" s="168"/>
      <c r="AD562" s="168"/>
      <c r="AE562" s="168"/>
      <c r="AF562" s="50"/>
      <c r="AG562" s="50"/>
      <c r="AH562" s="50"/>
      <c r="AI562" s="50"/>
      <c r="AJ562" s="50"/>
      <c r="AK562" s="50"/>
      <c r="AL562" s="50"/>
      <c r="AM562" s="50"/>
      <c r="AN562" s="50"/>
      <c r="AO562" s="50"/>
      <c r="AP562" s="50"/>
      <c r="AQ562" s="50"/>
      <c r="AR562" s="50"/>
      <c r="AS562" s="50"/>
      <c r="AT562" s="50"/>
      <c r="AU562" s="50"/>
      <c r="AV562" s="50"/>
      <c r="AW562" s="50"/>
      <c r="AX562" s="50"/>
      <c r="AY562" s="50"/>
      <c r="AZ562" s="50"/>
      <c r="BA562" s="50"/>
      <c r="BB562" s="50"/>
      <c r="BC562" s="50"/>
      <c r="BD562" s="50"/>
      <c r="BE562" s="50"/>
      <c r="BF562" s="50"/>
      <c r="BG562" s="50"/>
      <c r="BH562" s="50"/>
      <c r="BI562" s="50"/>
      <c r="BJ562" s="50"/>
      <c r="BK562" s="50"/>
      <c r="BL562" s="50"/>
      <c r="BM562" s="50"/>
      <c r="BN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168"/>
      <c r="Z563" s="50"/>
      <c r="AA563" s="50"/>
      <c r="AB563" s="50"/>
      <c r="AC563" s="168"/>
      <c r="AD563" s="168"/>
      <c r="AE563" s="168"/>
      <c r="AF563" s="50"/>
      <c r="AG563" s="50"/>
      <c r="AH563" s="50"/>
      <c r="AI563" s="50"/>
      <c r="AJ563" s="50"/>
      <c r="AK563" s="50"/>
      <c r="AL563" s="50"/>
      <c r="AM563" s="50"/>
      <c r="AN563" s="50"/>
      <c r="AO563" s="50"/>
      <c r="AP563" s="50"/>
      <c r="AQ563" s="50"/>
      <c r="AR563" s="50"/>
      <c r="AS563" s="50"/>
      <c r="AT563" s="50"/>
      <c r="AU563" s="50"/>
      <c r="AV563" s="50"/>
      <c r="AW563" s="50"/>
      <c r="AX563" s="50"/>
      <c r="AY563" s="50"/>
      <c r="AZ563" s="50"/>
      <c r="BA563" s="50"/>
      <c r="BB563" s="50"/>
      <c r="BC563" s="50"/>
      <c r="BD563" s="50"/>
      <c r="BE563" s="50"/>
      <c r="BF563" s="50"/>
      <c r="BG563" s="50"/>
      <c r="BH563" s="50"/>
      <c r="BI563" s="50"/>
      <c r="BJ563" s="50"/>
      <c r="BK563" s="50"/>
      <c r="BL563" s="50"/>
      <c r="BM563" s="50"/>
      <c r="BN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168"/>
      <c r="Z564" s="50"/>
      <c r="AA564" s="50"/>
      <c r="AB564" s="50"/>
      <c r="AC564" s="168"/>
      <c r="AD564" s="168"/>
      <c r="AE564" s="168"/>
      <c r="AF564" s="50"/>
      <c r="AG564" s="50"/>
      <c r="AH564" s="50"/>
      <c r="AI564" s="50"/>
      <c r="AJ564" s="50"/>
      <c r="AK564" s="50"/>
      <c r="AL564" s="50"/>
      <c r="AM564" s="50"/>
      <c r="AN564" s="50"/>
      <c r="AO564" s="50"/>
      <c r="AP564" s="50"/>
      <c r="AQ564" s="50"/>
      <c r="AR564" s="50"/>
      <c r="AS564" s="50"/>
      <c r="AT564" s="50"/>
      <c r="AU564" s="50"/>
      <c r="AV564" s="50"/>
      <c r="AW564" s="50"/>
      <c r="AX564" s="50"/>
      <c r="AY564" s="50"/>
      <c r="AZ564" s="50"/>
      <c r="BA564" s="50"/>
      <c r="BB564" s="50"/>
      <c r="BC564" s="50"/>
      <c r="BD564" s="50"/>
      <c r="BE564" s="50"/>
      <c r="BF564" s="50"/>
      <c r="BG564" s="50"/>
      <c r="BH564" s="50"/>
      <c r="BI564" s="50"/>
      <c r="BJ564" s="50"/>
      <c r="BK564" s="50"/>
      <c r="BL564" s="50"/>
      <c r="BM564" s="50"/>
      <c r="BN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168"/>
      <c r="Z565" s="50"/>
      <c r="AA565" s="50"/>
      <c r="AB565" s="50"/>
      <c r="AC565" s="168"/>
      <c r="AD565" s="168"/>
      <c r="AE565" s="168"/>
      <c r="AF565" s="50"/>
      <c r="AG565" s="50"/>
      <c r="AH565" s="50"/>
      <c r="AI565" s="50"/>
      <c r="AJ565" s="50"/>
      <c r="AK565" s="50"/>
      <c r="AL565" s="50"/>
      <c r="AM565" s="50"/>
      <c r="AN565" s="50"/>
      <c r="AO565" s="50"/>
      <c r="AP565" s="50"/>
      <c r="AQ565" s="50"/>
      <c r="AR565" s="50"/>
      <c r="AS565" s="50"/>
      <c r="AT565" s="50"/>
      <c r="AU565" s="50"/>
      <c r="AV565" s="50"/>
      <c r="AW565" s="50"/>
      <c r="AX565" s="50"/>
      <c r="AY565" s="50"/>
      <c r="AZ565" s="50"/>
      <c r="BA565" s="50"/>
      <c r="BB565" s="50"/>
      <c r="BC565" s="50"/>
      <c r="BD565" s="50"/>
      <c r="BE565" s="50"/>
      <c r="BF565" s="50"/>
      <c r="BG565" s="50"/>
      <c r="BH565" s="50"/>
      <c r="BI565" s="50"/>
      <c r="BJ565" s="50"/>
      <c r="BK565" s="50"/>
      <c r="BL565" s="50"/>
      <c r="BM565" s="50"/>
      <c r="BN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168"/>
      <c r="Z566" s="50"/>
      <c r="AA566" s="50"/>
      <c r="AB566" s="50"/>
      <c r="AC566" s="168"/>
      <c r="AD566" s="168"/>
      <c r="AE566" s="168"/>
      <c r="AF566" s="50"/>
      <c r="AG566" s="50"/>
      <c r="AH566" s="50"/>
      <c r="AI566" s="50"/>
      <c r="AJ566" s="50"/>
      <c r="AK566" s="50"/>
      <c r="AL566" s="50"/>
      <c r="AM566" s="50"/>
      <c r="AN566" s="50"/>
      <c r="AO566" s="50"/>
      <c r="AP566" s="50"/>
      <c r="AQ566" s="50"/>
      <c r="AR566" s="50"/>
      <c r="AS566" s="50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/>
      <c r="BE566" s="50"/>
      <c r="BF566" s="50"/>
      <c r="BG566" s="50"/>
      <c r="BH566" s="50"/>
      <c r="BI566" s="50"/>
      <c r="BJ566" s="50"/>
      <c r="BK566" s="50"/>
      <c r="BL566" s="50"/>
      <c r="BM566" s="50"/>
      <c r="BN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168"/>
      <c r="Z567" s="50"/>
      <c r="AA567" s="50"/>
      <c r="AB567" s="50"/>
      <c r="AC567" s="168"/>
      <c r="AD567" s="168"/>
      <c r="AE567" s="168"/>
      <c r="AF567" s="50"/>
      <c r="AG567" s="50"/>
      <c r="AH567" s="50"/>
      <c r="AI567" s="50"/>
      <c r="AJ567" s="50"/>
      <c r="AK567" s="50"/>
      <c r="AL567" s="50"/>
      <c r="AM567" s="50"/>
      <c r="AN567" s="50"/>
      <c r="AO567" s="50"/>
      <c r="AP567" s="50"/>
      <c r="AQ567" s="50"/>
      <c r="AR567" s="50"/>
      <c r="AS567" s="50"/>
      <c r="AT567" s="50"/>
      <c r="AU567" s="50"/>
      <c r="AV567" s="50"/>
      <c r="AW567" s="50"/>
      <c r="AX567" s="50"/>
      <c r="AY567" s="50"/>
      <c r="AZ567" s="50"/>
      <c r="BA567" s="50"/>
      <c r="BB567" s="50"/>
      <c r="BC567" s="50"/>
      <c r="BD567" s="50"/>
      <c r="BE567" s="50"/>
      <c r="BF567" s="50"/>
      <c r="BG567" s="50"/>
      <c r="BH567" s="50"/>
      <c r="BI567" s="50"/>
      <c r="BJ567" s="50"/>
      <c r="BK567" s="50"/>
      <c r="BL567" s="50"/>
      <c r="BM567" s="50"/>
      <c r="BN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168"/>
      <c r="Z568" s="50"/>
      <c r="AA568" s="50"/>
      <c r="AB568" s="50"/>
      <c r="AC568" s="168"/>
      <c r="AD568" s="168"/>
      <c r="AE568" s="168"/>
      <c r="AF568" s="50"/>
      <c r="AG568" s="50"/>
      <c r="AH568" s="50"/>
      <c r="AI568" s="50"/>
      <c r="AJ568" s="50"/>
      <c r="AK568" s="50"/>
      <c r="AL568" s="50"/>
      <c r="AM568" s="50"/>
      <c r="AN568" s="50"/>
      <c r="AO568" s="50"/>
      <c r="AP568" s="50"/>
      <c r="AQ568" s="50"/>
      <c r="AR568" s="50"/>
      <c r="AS568" s="50"/>
      <c r="AT568" s="50"/>
      <c r="AU568" s="50"/>
      <c r="AV568" s="50"/>
      <c r="AW568" s="50"/>
      <c r="AX568" s="50"/>
      <c r="AY568" s="50"/>
      <c r="AZ568" s="50"/>
      <c r="BA568" s="50"/>
      <c r="BB568" s="50"/>
      <c r="BC568" s="50"/>
      <c r="BD568" s="50"/>
      <c r="BE568" s="50"/>
      <c r="BF568" s="50"/>
      <c r="BG568" s="50"/>
      <c r="BH568" s="50"/>
      <c r="BI568" s="50"/>
      <c r="BJ568" s="50"/>
      <c r="BK568" s="50"/>
      <c r="BL568" s="50"/>
      <c r="BM568" s="50"/>
      <c r="BN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168"/>
      <c r="Z569" s="50"/>
      <c r="AA569" s="50"/>
      <c r="AB569" s="50"/>
      <c r="AC569" s="168"/>
      <c r="AD569" s="168"/>
      <c r="AE569" s="168"/>
      <c r="AF569" s="50"/>
      <c r="AG569" s="50"/>
      <c r="AH569" s="50"/>
      <c r="AI569" s="50"/>
      <c r="AJ569" s="50"/>
      <c r="AK569" s="50"/>
      <c r="AL569" s="50"/>
      <c r="AM569" s="50"/>
      <c r="AN569" s="50"/>
      <c r="AO569" s="50"/>
      <c r="AP569" s="50"/>
      <c r="AQ569" s="50"/>
      <c r="AR569" s="50"/>
      <c r="AS569" s="50"/>
      <c r="AT569" s="50"/>
      <c r="AU569" s="50"/>
      <c r="AV569" s="50"/>
      <c r="AW569" s="50"/>
      <c r="AX569" s="50"/>
      <c r="AY569" s="50"/>
      <c r="AZ569" s="50"/>
      <c r="BA569" s="50"/>
      <c r="BB569" s="50"/>
      <c r="BC569" s="50"/>
      <c r="BD569" s="50"/>
      <c r="BE569" s="50"/>
      <c r="BF569" s="50"/>
      <c r="BG569" s="50"/>
      <c r="BH569" s="50"/>
      <c r="BI569" s="50"/>
      <c r="BJ569" s="50"/>
      <c r="BK569" s="50"/>
      <c r="BL569" s="50"/>
      <c r="BM569" s="50"/>
      <c r="BN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168"/>
      <c r="Z570" s="50"/>
      <c r="AA570" s="50"/>
      <c r="AB570" s="50"/>
      <c r="AC570" s="168"/>
      <c r="AD570" s="168"/>
      <c r="AE570" s="168"/>
      <c r="AF570" s="50"/>
      <c r="AG570" s="50"/>
      <c r="AH570" s="50"/>
      <c r="AI570" s="50"/>
      <c r="AJ570" s="50"/>
      <c r="AK570" s="50"/>
      <c r="AL570" s="50"/>
      <c r="AM570" s="50"/>
      <c r="AN570" s="50"/>
      <c r="AO570" s="50"/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0"/>
      <c r="BE570" s="50"/>
      <c r="BF570" s="50"/>
      <c r="BG570" s="50"/>
      <c r="BH570" s="50"/>
      <c r="BI570" s="50"/>
      <c r="BJ570" s="50"/>
      <c r="BK570" s="50"/>
      <c r="BL570" s="50"/>
      <c r="BM570" s="50"/>
      <c r="BN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168"/>
      <c r="Z571" s="50"/>
      <c r="AA571" s="50"/>
      <c r="AB571" s="50"/>
      <c r="AC571" s="168"/>
      <c r="AD571" s="168"/>
      <c r="AE571" s="168"/>
      <c r="AF571" s="50"/>
      <c r="AG571" s="50"/>
      <c r="AH571" s="50"/>
      <c r="AI571" s="50"/>
      <c r="AJ571" s="50"/>
      <c r="AK571" s="50"/>
      <c r="AL571" s="50"/>
      <c r="AM571" s="50"/>
      <c r="AN571" s="50"/>
      <c r="AO571" s="50"/>
      <c r="AP571" s="50"/>
      <c r="AQ571" s="50"/>
      <c r="AR571" s="50"/>
      <c r="AS571" s="50"/>
      <c r="AT571" s="50"/>
      <c r="AU571" s="50"/>
      <c r="AV571" s="50"/>
      <c r="AW571" s="50"/>
      <c r="AX571" s="50"/>
      <c r="AY571" s="50"/>
      <c r="AZ571" s="50"/>
      <c r="BA571" s="50"/>
      <c r="BB571" s="50"/>
      <c r="BC571" s="50"/>
      <c r="BD571" s="50"/>
      <c r="BE571" s="50"/>
      <c r="BF571" s="50"/>
      <c r="BG571" s="50"/>
      <c r="BH571" s="50"/>
      <c r="BI571" s="50"/>
      <c r="BJ571" s="50"/>
      <c r="BK571" s="50"/>
      <c r="BL571" s="50"/>
      <c r="BM571" s="50"/>
      <c r="BN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168"/>
      <c r="Z572" s="50"/>
      <c r="AA572" s="50"/>
      <c r="AB572" s="50"/>
      <c r="AC572" s="168"/>
      <c r="AD572" s="168"/>
      <c r="AE572" s="168"/>
      <c r="AF572" s="50"/>
      <c r="AG572" s="50"/>
      <c r="AH572" s="50"/>
      <c r="AI572" s="50"/>
      <c r="AJ572" s="50"/>
      <c r="AK572" s="50"/>
      <c r="AL572" s="50"/>
      <c r="AM572" s="50"/>
      <c r="AN572" s="50"/>
      <c r="AO572" s="50"/>
      <c r="AP572" s="50"/>
      <c r="AQ572" s="50"/>
      <c r="AR572" s="50"/>
      <c r="AS572" s="50"/>
      <c r="AT572" s="50"/>
      <c r="AU572" s="50"/>
      <c r="AV572" s="50"/>
      <c r="AW572" s="50"/>
      <c r="AX572" s="50"/>
      <c r="AY572" s="50"/>
      <c r="AZ572" s="50"/>
      <c r="BA572" s="50"/>
      <c r="BB572" s="50"/>
      <c r="BC572" s="50"/>
      <c r="BD572" s="50"/>
      <c r="BE572" s="50"/>
      <c r="BF572" s="50"/>
      <c r="BG572" s="50"/>
      <c r="BH572" s="50"/>
      <c r="BI572" s="50"/>
      <c r="BJ572" s="50"/>
      <c r="BK572" s="50"/>
      <c r="BL572" s="50"/>
      <c r="BM572" s="50"/>
      <c r="BN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168"/>
      <c r="Z573" s="50"/>
      <c r="AA573" s="50"/>
      <c r="AB573" s="50"/>
      <c r="AC573" s="168"/>
      <c r="AD573" s="168"/>
      <c r="AE573" s="168"/>
      <c r="AF573" s="50"/>
      <c r="AG573" s="50"/>
      <c r="AH573" s="50"/>
      <c r="AI573" s="50"/>
      <c r="AJ573" s="50"/>
      <c r="AK573" s="50"/>
      <c r="AL573" s="50"/>
      <c r="AM573" s="50"/>
      <c r="AN573" s="50"/>
      <c r="AO573" s="50"/>
      <c r="AP573" s="50"/>
      <c r="AQ573" s="50"/>
      <c r="AR573" s="50"/>
      <c r="AS573" s="50"/>
      <c r="AT573" s="50"/>
      <c r="AU573" s="50"/>
      <c r="AV573" s="50"/>
      <c r="AW573" s="50"/>
      <c r="AX573" s="50"/>
      <c r="AY573" s="50"/>
      <c r="AZ573" s="50"/>
      <c r="BA573" s="50"/>
      <c r="BB573" s="50"/>
      <c r="BC573" s="50"/>
      <c r="BD573" s="50"/>
      <c r="BE573" s="50"/>
      <c r="BF573" s="50"/>
      <c r="BG573" s="50"/>
      <c r="BH573" s="50"/>
      <c r="BI573" s="50"/>
      <c r="BJ573" s="50"/>
      <c r="BK573" s="50"/>
      <c r="BL573" s="50"/>
      <c r="BM573" s="50"/>
      <c r="BN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168"/>
      <c r="Z574" s="50"/>
      <c r="AA574" s="50"/>
      <c r="AB574" s="50"/>
      <c r="AC574" s="168"/>
      <c r="AD574" s="168"/>
      <c r="AE574" s="168"/>
      <c r="AF574" s="50"/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  <c r="AQ574" s="50"/>
      <c r="AR574" s="50"/>
      <c r="AS574" s="50"/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0"/>
      <c r="BE574" s="50"/>
      <c r="BF574" s="50"/>
      <c r="BG574" s="50"/>
      <c r="BH574" s="50"/>
      <c r="BI574" s="50"/>
      <c r="BJ574" s="50"/>
      <c r="BK574" s="50"/>
      <c r="BL574" s="50"/>
      <c r="BM574" s="50"/>
      <c r="BN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168"/>
      <c r="Z575" s="50"/>
      <c r="AA575" s="50"/>
      <c r="AB575" s="50"/>
      <c r="AC575" s="168"/>
      <c r="AD575" s="168"/>
      <c r="AE575" s="168"/>
      <c r="AF575" s="50"/>
      <c r="AG575" s="50"/>
      <c r="AH575" s="50"/>
      <c r="AI575" s="50"/>
      <c r="AJ575" s="50"/>
      <c r="AK575" s="50"/>
      <c r="AL575" s="50"/>
      <c r="AM575" s="50"/>
      <c r="AN575" s="50"/>
      <c r="AO575" s="50"/>
      <c r="AP575" s="50"/>
      <c r="AQ575" s="50"/>
      <c r="AR575" s="50"/>
      <c r="AS575" s="50"/>
      <c r="AT575" s="50"/>
      <c r="AU575" s="50"/>
      <c r="AV575" s="50"/>
      <c r="AW575" s="50"/>
      <c r="AX575" s="50"/>
      <c r="AY575" s="50"/>
      <c r="AZ575" s="50"/>
      <c r="BA575" s="50"/>
      <c r="BB575" s="50"/>
      <c r="BC575" s="50"/>
      <c r="BD575" s="50"/>
      <c r="BE575" s="50"/>
      <c r="BF575" s="50"/>
      <c r="BG575" s="50"/>
      <c r="BH575" s="50"/>
      <c r="BI575" s="50"/>
      <c r="BJ575" s="50"/>
      <c r="BK575" s="50"/>
      <c r="BL575" s="50"/>
      <c r="BM575" s="50"/>
      <c r="BN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168"/>
      <c r="Z576" s="50"/>
      <c r="AA576" s="50"/>
      <c r="AB576" s="50"/>
      <c r="AC576" s="168"/>
      <c r="AD576" s="168"/>
      <c r="AE576" s="168"/>
      <c r="AF576" s="50"/>
      <c r="AG576" s="50"/>
      <c r="AH576" s="50"/>
      <c r="AI576" s="50"/>
      <c r="AJ576" s="50"/>
      <c r="AK576" s="50"/>
      <c r="AL576" s="50"/>
      <c r="AM576" s="50"/>
      <c r="AN576" s="50"/>
      <c r="AO576" s="50"/>
      <c r="AP576" s="50"/>
      <c r="AQ576" s="50"/>
      <c r="AR576" s="50"/>
      <c r="AS576" s="50"/>
      <c r="AT576" s="50"/>
      <c r="AU576" s="50"/>
      <c r="AV576" s="50"/>
      <c r="AW576" s="50"/>
      <c r="AX576" s="50"/>
      <c r="AY576" s="50"/>
      <c r="AZ576" s="50"/>
      <c r="BA576" s="50"/>
      <c r="BB576" s="50"/>
      <c r="BC576" s="50"/>
      <c r="BD576" s="50"/>
      <c r="BE576" s="50"/>
      <c r="BF576" s="50"/>
      <c r="BG576" s="50"/>
      <c r="BH576" s="50"/>
      <c r="BI576" s="50"/>
      <c r="BJ576" s="50"/>
      <c r="BK576" s="50"/>
      <c r="BL576" s="50"/>
      <c r="BM576" s="50"/>
      <c r="BN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168"/>
      <c r="Z577" s="50"/>
      <c r="AA577" s="50"/>
      <c r="AB577" s="50"/>
      <c r="AC577" s="168"/>
      <c r="AD577" s="168"/>
      <c r="AE577" s="168"/>
      <c r="AF577" s="50"/>
      <c r="AG577" s="50"/>
      <c r="AH577" s="50"/>
      <c r="AI577" s="50"/>
      <c r="AJ577" s="50"/>
      <c r="AK577" s="50"/>
      <c r="AL577" s="50"/>
      <c r="AM577" s="50"/>
      <c r="AN577" s="50"/>
      <c r="AO577" s="50"/>
      <c r="AP577" s="50"/>
      <c r="AQ577" s="50"/>
      <c r="AR577" s="50"/>
      <c r="AS577" s="50"/>
      <c r="AT577" s="50"/>
      <c r="AU577" s="50"/>
      <c r="AV577" s="50"/>
      <c r="AW577" s="50"/>
      <c r="AX577" s="50"/>
      <c r="AY577" s="50"/>
      <c r="AZ577" s="50"/>
      <c r="BA577" s="50"/>
      <c r="BB577" s="50"/>
      <c r="BC577" s="50"/>
      <c r="BD577" s="50"/>
      <c r="BE577" s="50"/>
      <c r="BF577" s="50"/>
      <c r="BG577" s="50"/>
      <c r="BH577" s="50"/>
      <c r="BI577" s="50"/>
      <c r="BJ577" s="50"/>
      <c r="BK577" s="50"/>
      <c r="BL577" s="50"/>
      <c r="BM577" s="50"/>
      <c r="BN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168"/>
      <c r="Z578" s="50"/>
      <c r="AA578" s="50"/>
      <c r="AB578" s="50"/>
      <c r="AC578" s="168"/>
      <c r="AD578" s="168"/>
      <c r="AE578" s="168"/>
      <c r="AF578" s="50"/>
      <c r="AG578" s="50"/>
      <c r="AH578" s="50"/>
      <c r="AI578" s="50"/>
      <c r="AJ578" s="50"/>
      <c r="AK578" s="50"/>
      <c r="AL578" s="50"/>
      <c r="AM578" s="50"/>
      <c r="AN578" s="50"/>
      <c r="AO578" s="50"/>
      <c r="AP578" s="50"/>
      <c r="AQ578" s="50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/>
      <c r="BE578" s="50"/>
      <c r="BF578" s="50"/>
      <c r="BG578" s="50"/>
      <c r="BH578" s="50"/>
      <c r="BI578" s="50"/>
      <c r="BJ578" s="50"/>
      <c r="BK578" s="50"/>
      <c r="BL578" s="50"/>
      <c r="BM578" s="50"/>
      <c r="BN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168"/>
      <c r="Z579" s="50"/>
      <c r="AA579" s="50"/>
      <c r="AB579" s="50"/>
      <c r="AC579" s="168"/>
      <c r="AD579" s="168"/>
      <c r="AE579" s="168"/>
      <c r="AF579" s="50"/>
      <c r="AG579" s="50"/>
      <c r="AH579" s="50"/>
      <c r="AI579" s="50"/>
      <c r="AJ579" s="50"/>
      <c r="AK579" s="50"/>
      <c r="AL579" s="50"/>
      <c r="AM579" s="50"/>
      <c r="AN579" s="50"/>
      <c r="AO579" s="50"/>
      <c r="AP579" s="50"/>
      <c r="AQ579" s="50"/>
      <c r="AR579" s="50"/>
      <c r="AS579" s="50"/>
      <c r="AT579" s="50"/>
      <c r="AU579" s="50"/>
      <c r="AV579" s="50"/>
      <c r="AW579" s="50"/>
      <c r="AX579" s="50"/>
      <c r="AY579" s="50"/>
      <c r="AZ579" s="50"/>
      <c r="BA579" s="50"/>
      <c r="BB579" s="50"/>
      <c r="BC579" s="50"/>
      <c r="BD579" s="50"/>
      <c r="BE579" s="50"/>
      <c r="BF579" s="50"/>
      <c r="BG579" s="50"/>
      <c r="BH579" s="50"/>
      <c r="BI579" s="50"/>
      <c r="BJ579" s="50"/>
      <c r="BK579" s="50"/>
      <c r="BL579" s="50"/>
      <c r="BM579" s="50"/>
      <c r="BN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168"/>
      <c r="Z580" s="50"/>
      <c r="AA580" s="50"/>
      <c r="AB580" s="50"/>
      <c r="AC580" s="168"/>
      <c r="AD580" s="168"/>
      <c r="AE580" s="168"/>
      <c r="AF580" s="50"/>
      <c r="AG580" s="50"/>
      <c r="AH580" s="50"/>
      <c r="AI580" s="50"/>
      <c r="AJ580" s="50"/>
      <c r="AK580" s="50"/>
      <c r="AL580" s="50"/>
      <c r="AM580" s="50"/>
      <c r="AN580" s="50"/>
      <c r="AO580" s="50"/>
      <c r="AP580" s="50"/>
      <c r="AQ580" s="50"/>
      <c r="AR580" s="50"/>
      <c r="AS580" s="50"/>
      <c r="AT580" s="50"/>
      <c r="AU580" s="50"/>
      <c r="AV580" s="50"/>
      <c r="AW580" s="50"/>
      <c r="AX580" s="50"/>
      <c r="AY580" s="50"/>
      <c r="AZ580" s="50"/>
      <c r="BA580" s="50"/>
      <c r="BB580" s="50"/>
      <c r="BC580" s="50"/>
      <c r="BD580" s="50"/>
      <c r="BE580" s="50"/>
      <c r="BF580" s="50"/>
      <c r="BG580" s="50"/>
      <c r="BH580" s="50"/>
      <c r="BI580" s="50"/>
      <c r="BJ580" s="50"/>
      <c r="BK580" s="50"/>
      <c r="BL580" s="50"/>
      <c r="BM580" s="50"/>
      <c r="BN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168"/>
      <c r="Z581" s="50"/>
      <c r="AA581" s="50"/>
      <c r="AB581" s="50"/>
      <c r="AC581" s="168"/>
      <c r="AD581" s="168"/>
      <c r="AE581" s="168"/>
      <c r="AF581" s="50"/>
      <c r="AG581" s="50"/>
      <c r="AH581" s="50"/>
      <c r="AI581" s="50"/>
      <c r="AJ581" s="50"/>
      <c r="AK581" s="50"/>
      <c r="AL581" s="50"/>
      <c r="AM581" s="50"/>
      <c r="AN581" s="50"/>
      <c r="AO581" s="50"/>
      <c r="AP581" s="50"/>
      <c r="AQ581" s="50"/>
      <c r="AR581" s="50"/>
      <c r="AS581" s="50"/>
      <c r="AT581" s="50"/>
      <c r="AU581" s="50"/>
      <c r="AV581" s="50"/>
      <c r="AW581" s="50"/>
      <c r="AX581" s="50"/>
      <c r="AY581" s="50"/>
      <c r="AZ581" s="50"/>
      <c r="BA581" s="50"/>
      <c r="BB581" s="50"/>
      <c r="BC581" s="50"/>
      <c r="BD581" s="50"/>
      <c r="BE581" s="50"/>
      <c r="BF581" s="50"/>
      <c r="BG581" s="50"/>
      <c r="BH581" s="50"/>
      <c r="BI581" s="50"/>
      <c r="BJ581" s="50"/>
      <c r="BK581" s="50"/>
      <c r="BL581" s="50"/>
      <c r="BM581" s="50"/>
      <c r="BN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168"/>
      <c r="Z582" s="50"/>
      <c r="AA582" s="50"/>
      <c r="AB582" s="50"/>
      <c r="AC582" s="168"/>
      <c r="AD582" s="168"/>
      <c r="AE582" s="168"/>
      <c r="AF582" s="50"/>
      <c r="AG582" s="50"/>
      <c r="AH582" s="50"/>
      <c r="AI582" s="50"/>
      <c r="AJ582" s="50"/>
      <c r="AK582" s="50"/>
      <c r="AL582" s="50"/>
      <c r="AM582" s="50"/>
      <c r="AN582" s="50"/>
      <c r="AO582" s="50"/>
      <c r="AP582" s="50"/>
      <c r="AQ582" s="50"/>
      <c r="AR582" s="50"/>
      <c r="AS582" s="50"/>
      <c r="AT582" s="50"/>
      <c r="AU582" s="50"/>
      <c r="AV582" s="50"/>
      <c r="AW582" s="50"/>
      <c r="AX582" s="50"/>
      <c r="AY582" s="50"/>
      <c r="AZ582" s="50"/>
      <c r="BA582" s="50"/>
      <c r="BB582" s="50"/>
      <c r="BC582" s="50"/>
      <c r="BD582" s="50"/>
      <c r="BE582" s="50"/>
      <c r="BF582" s="50"/>
      <c r="BG582" s="50"/>
      <c r="BH582" s="50"/>
      <c r="BI582" s="50"/>
      <c r="BJ582" s="50"/>
      <c r="BK582" s="50"/>
      <c r="BL582" s="50"/>
      <c r="BM582" s="50"/>
      <c r="BN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168"/>
      <c r="Z583" s="50"/>
      <c r="AA583" s="50"/>
      <c r="AB583" s="50"/>
      <c r="AC583" s="168"/>
      <c r="AD583" s="168"/>
      <c r="AE583" s="168"/>
      <c r="AF583" s="50"/>
      <c r="AG583" s="50"/>
      <c r="AH583" s="50"/>
      <c r="AI583" s="50"/>
      <c r="AJ583" s="50"/>
      <c r="AK583" s="50"/>
      <c r="AL583" s="50"/>
      <c r="AM583" s="50"/>
      <c r="AN583" s="50"/>
      <c r="AO583" s="50"/>
      <c r="AP583" s="50"/>
      <c r="AQ583" s="50"/>
      <c r="AR583" s="50"/>
      <c r="AS583" s="50"/>
      <c r="AT583" s="50"/>
      <c r="AU583" s="50"/>
      <c r="AV583" s="50"/>
      <c r="AW583" s="50"/>
      <c r="AX583" s="50"/>
      <c r="AY583" s="50"/>
      <c r="AZ583" s="50"/>
      <c r="BA583" s="50"/>
      <c r="BB583" s="50"/>
      <c r="BC583" s="50"/>
      <c r="BD583" s="50"/>
      <c r="BE583" s="50"/>
      <c r="BF583" s="50"/>
      <c r="BG583" s="50"/>
      <c r="BH583" s="50"/>
      <c r="BI583" s="50"/>
      <c r="BJ583" s="50"/>
      <c r="BK583" s="50"/>
      <c r="BL583" s="50"/>
      <c r="BM583" s="50"/>
      <c r="BN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168"/>
      <c r="Z584" s="50"/>
      <c r="AA584" s="50"/>
      <c r="AB584" s="50"/>
      <c r="AC584" s="168"/>
      <c r="AD584" s="168"/>
      <c r="AE584" s="168"/>
      <c r="AF584" s="50"/>
      <c r="AG584" s="50"/>
      <c r="AH584" s="50"/>
      <c r="AI584" s="50"/>
      <c r="AJ584" s="50"/>
      <c r="AK584" s="50"/>
      <c r="AL584" s="50"/>
      <c r="AM584" s="50"/>
      <c r="AN584" s="50"/>
      <c r="AO584" s="50"/>
      <c r="AP584" s="50"/>
      <c r="AQ584" s="50"/>
      <c r="AR584" s="50"/>
      <c r="AS584" s="50"/>
      <c r="AT584" s="50"/>
      <c r="AU584" s="50"/>
      <c r="AV584" s="50"/>
      <c r="AW584" s="50"/>
      <c r="AX584" s="50"/>
      <c r="AY584" s="50"/>
      <c r="AZ584" s="50"/>
      <c r="BA584" s="50"/>
      <c r="BB584" s="50"/>
      <c r="BC584" s="50"/>
      <c r="BD584" s="50"/>
      <c r="BE584" s="50"/>
      <c r="BF584" s="50"/>
      <c r="BG584" s="50"/>
      <c r="BH584" s="50"/>
      <c r="BI584" s="50"/>
      <c r="BJ584" s="50"/>
      <c r="BK584" s="50"/>
      <c r="BL584" s="50"/>
      <c r="BM584" s="50"/>
      <c r="BN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168"/>
      <c r="Z585" s="50"/>
      <c r="AA585" s="50"/>
      <c r="AB585" s="50"/>
      <c r="AC585" s="168"/>
      <c r="AD585" s="168"/>
      <c r="AE585" s="168"/>
      <c r="AF585" s="50"/>
      <c r="AG585" s="50"/>
      <c r="AH585" s="50"/>
      <c r="AI585" s="50"/>
      <c r="AJ585" s="50"/>
      <c r="AK585" s="50"/>
      <c r="AL585" s="50"/>
      <c r="AM585" s="50"/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/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168"/>
      <c r="Z586" s="50"/>
      <c r="AA586" s="50"/>
      <c r="AB586" s="50"/>
      <c r="AC586" s="168"/>
      <c r="AD586" s="168"/>
      <c r="AE586" s="168"/>
      <c r="AF586" s="50"/>
      <c r="AG586" s="50"/>
      <c r="AH586" s="50"/>
      <c r="AI586" s="50"/>
      <c r="AJ586" s="50"/>
      <c r="AK586" s="50"/>
      <c r="AL586" s="50"/>
      <c r="AM586" s="50"/>
      <c r="AN586" s="50"/>
      <c r="AO586" s="50"/>
      <c r="AP586" s="50"/>
      <c r="AQ586" s="50"/>
      <c r="AR586" s="50"/>
      <c r="AS586" s="50"/>
      <c r="AT586" s="50"/>
      <c r="AU586" s="50"/>
      <c r="AV586" s="50"/>
      <c r="AW586" s="50"/>
      <c r="AX586" s="50"/>
      <c r="AY586" s="50"/>
      <c r="AZ586" s="50"/>
      <c r="BA586" s="50"/>
      <c r="BB586" s="50"/>
      <c r="BC586" s="50"/>
      <c r="BD586" s="50"/>
      <c r="BE586" s="50"/>
      <c r="BF586" s="50"/>
      <c r="BG586" s="50"/>
      <c r="BH586" s="50"/>
      <c r="BI586" s="50"/>
      <c r="BJ586" s="50"/>
      <c r="BK586" s="50"/>
      <c r="BL586" s="50"/>
      <c r="BM586" s="50"/>
      <c r="BN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168"/>
      <c r="Z587" s="50"/>
      <c r="AA587" s="50"/>
      <c r="AB587" s="50"/>
      <c r="AC587" s="168"/>
      <c r="AD587" s="168"/>
      <c r="AE587" s="168"/>
      <c r="AF587" s="50"/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/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168"/>
      <c r="Z588" s="50"/>
      <c r="AA588" s="50"/>
      <c r="AB588" s="50"/>
      <c r="AC588" s="168"/>
      <c r="AD588" s="168"/>
      <c r="AE588" s="168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50"/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0"/>
      <c r="BE588" s="50"/>
      <c r="BF588" s="50"/>
      <c r="BG588" s="50"/>
      <c r="BH588" s="50"/>
      <c r="BI588" s="50"/>
      <c r="BJ588" s="50"/>
      <c r="BK588" s="50"/>
      <c r="BL588" s="50"/>
      <c r="BM588" s="50"/>
      <c r="BN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168"/>
      <c r="Z589" s="50"/>
      <c r="AA589" s="50"/>
      <c r="AB589" s="50"/>
      <c r="AC589" s="168"/>
      <c r="AD589" s="168"/>
      <c r="AE589" s="168"/>
      <c r="AF589" s="50"/>
      <c r="AG589" s="50"/>
      <c r="AH589" s="50"/>
      <c r="AI589" s="50"/>
      <c r="AJ589" s="50"/>
      <c r="AK589" s="50"/>
      <c r="AL589" s="50"/>
      <c r="AM589" s="50"/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/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168"/>
      <c r="Z590" s="50"/>
      <c r="AA590" s="50"/>
      <c r="AB590" s="50"/>
      <c r="AC590" s="168"/>
      <c r="AD590" s="168"/>
      <c r="AE590" s="168"/>
      <c r="AF590" s="50"/>
      <c r="AG590" s="50"/>
      <c r="AH590" s="50"/>
      <c r="AI590" s="50"/>
      <c r="AJ590" s="50"/>
      <c r="AK590" s="50"/>
      <c r="AL590" s="50"/>
      <c r="AM590" s="50"/>
      <c r="AN590" s="50"/>
      <c r="AO590" s="50"/>
      <c r="AP590" s="50"/>
      <c r="AQ590" s="50"/>
      <c r="AR590" s="50"/>
      <c r="AS590" s="50"/>
      <c r="AT590" s="50"/>
      <c r="AU590" s="50"/>
      <c r="AV590" s="50"/>
      <c r="AW590" s="50"/>
      <c r="AX590" s="50"/>
      <c r="AY590" s="50"/>
      <c r="AZ590" s="50"/>
      <c r="BA590" s="50"/>
      <c r="BB590" s="50"/>
      <c r="BC590" s="50"/>
      <c r="BD590" s="50"/>
      <c r="BE590" s="50"/>
      <c r="BF590" s="50"/>
      <c r="BG590" s="50"/>
      <c r="BH590" s="50"/>
      <c r="BI590" s="50"/>
      <c r="BJ590" s="50"/>
      <c r="BK590" s="50"/>
      <c r="BL590" s="50"/>
      <c r="BM590" s="50"/>
      <c r="BN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168"/>
      <c r="Z591" s="50"/>
      <c r="AA591" s="50"/>
      <c r="AB591" s="50"/>
      <c r="AC591" s="168"/>
      <c r="AD591" s="168"/>
      <c r="AE591" s="168"/>
      <c r="AF591" s="50"/>
      <c r="AG591" s="50"/>
      <c r="AH591" s="50"/>
      <c r="AI591" s="50"/>
      <c r="AJ591" s="50"/>
      <c r="AK591" s="50"/>
      <c r="AL591" s="50"/>
      <c r="AM591" s="50"/>
      <c r="AN591" s="50"/>
      <c r="AO591" s="50"/>
      <c r="AP591" s="50"/>
      <c r="AQ591" s="50"/>
      <c r="AR591" s="50"/>
      <c r="AS591" s="50"/>
      <c r="AT591" s="50"/>
      <c r="AU591" s="50"/>
      <c r="AV591" s="50"/>
      <c r="AW591" s="50"/>
      <c r="AX591" s="50"/>
      <c r="AY591" s="50"/>
      <c r="AZ591" s="50"/>
      <c r="BA591" s="50"/>
      <c r="BB591" s="50"/>
      <c r="BC591" s="50"/>
      <c r="BD591" s="50"/>
      <c r="BE591" s="50"/>
      <c r="BF591" s="50"/>
      <c r="BG591" s="50"/>
      <c r="BH591" s="50"/>
      <c r="BI591" s="50"/>
      <c r="BJ591" s="50"/>
      <c r="BK591" s="50"/>
      <c r="BL591" s="50"/>
      <c r="BM591" s="50"/>
      <c r="BN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168"/>
      <c r="Z592" s="50"/>
      <c r="AA592" s="50"/>
      <c r="AB592" s="50"/>
      <c r="AC592" s="168"/>
      <c r="AD592" s="168"/>
      <c r="AE592" s="168"/>
      <c r="AF592" s="50"/>
      <c r="AG592" s="50"/>
      <c r="AH592" s="50"/>
      <c r="AI592" s="50"/>
      <c r="AJ592" s="50"/>
      <c r="AK592" s="50"/>
      <c r="AL592" s="50"/>
      <c r="AM592" s="50"/>
      <c r="AN592" s="50"/>
      <c r="AO592" s="50"/>
      <c r="AP592" s="50"/>
      <c r="AQ592" s="50"/>
      <c r="AR592" s="50"/>
      <c r="AS592" s="50"/>
      <c r="AT592" s="50"/>
      <c r="AU592" s="50"/>
      <c r="AV592" s="50"/>
      <c r="AW592" s="50"/>
      <c r="AX592" s="50"/>
      <c r="AY592" s="50"/>
      <c r="AZ592" s="50"/>
      <c r="BA592" s="50"/>
      <c r="BB592" s="50"/>
      <c r="BC592" s="50"/>
      <c r="BD592" s="50"/>
      <c r="BE592" s="50"/>
      <c r="BF592" s="50"/>
      <c r="BG592" s="50"/>
      <c r="BH592" s="50"/>
      <c r="BI592" s="50"/>
      <c r="BJ592" s="50"/>
      <c r="BK592" s="50"/>
      <c r="BL592" s="50"/>
      <c r="BM592" s="50"/>
      <c r="BN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168"/>
      <c r="Z593" s="50"/>
      <c r="AA593" s="50"/>
      <c r="AB593" s="50"/>
      <c r="AC593" s="168"/>
      <c r="AD593" s="168"/>
      <c r="AE593" s="168"/>
      <c r="AF593" s="50"/>
      <c r="AG593" s="50"/>
      <c r="AH593" s="50"/>
      <c r="AI593" s="50"/>
      <c r="AJ593" s="50"/>
      <c r="AK593" s="50"/>
      <c r="AL593" s="50"/>
      <c r="AM593" s="50"/>
      <c r="AN593" s="50"/>
      <c r="AO593" s="50"/>
      <c r="AP593" s="50"/>
      <c r="AQ593" s="50"/>
      <c r="AR593" s="50"/>
      <c r="AS593" s="50"/>
      <c r="AT593" s="50"/>
      <c r="AU593" s="50"/>
      <c r="AV593" s="50"/>
      <c r="AW593" s="50"/>
      <c r="AX593" s="50"/>
      <c r="AY593" s="50"/>
      <c r="AZ593" s="50"/>
      <c r="BA593" s="50"/>
      <c r="BB593" s="50"/>
      <c r="BC593" s="50"/>
      <c r="BD593" s="50"/>
      <c r="BE593" s="50"/>
      <c r="BF593" s="50"/>
      <c r="BG593" s="50"/>
      <c r="BH593" s="50"/>
      <c r="BI593" s="50"/>
      <c r="BJ593" s="50"/>
      <c r="BK593" s="50"/>
      <c r="BL593" s="50"/>
      <c r="BM593" s="50"/>
      <c r="BN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168"/>
      <c r="Z594" s="50"/>
      <c r="AA594" s="50"/>
      <c r="AB594" s="50"/>
      <c r="AC594" s="168"/>
      <c r="AD594" s="168"/>
      <c r="AE594" s="168"/>
      <c r="AF594" s="50"/>
      <c r="AG594" s="50"/>
      <c r="AH594" s="50"/>
      <c r="AI594" s="50"/>
      <c r="AJ594" s="50"/>
      <c r="AK594" s="50"/>
      <c r="AL594" s="50"/>
      <c r="AM594" s="50"/>
      <c r="AN594" s="50"/>
      <c r="AO594" s="50"/>
      <c r="AP594" s="50"/>
      <c r="AQ594" s="50"/>
      <c r="AR594" s="50"/>
      <c r="AS594" s="50"/>
      <c r="AT594" s="50"/>
      <c r="AU594" s="50"/>
      <c r="AV594" s="50"/>
      <c r="AW594" s="50"/>
      <c r="AX594" s="50"/>
      <c r="AY594" s="50"/>
      <c r="AZ594" s="50"/>
      <c r="BA594" s="50"/>
      <c r="BB594" s="50"/>
      <c r="BC594" s="50"/>
      <c r="BD594" s="50"/>
      <c r="BE594" s="50"/>
      <c r="BF594" s="50"/>
      <c r="BG594" s="50"/>
      <c r="BH594" s="50"/>
      <c r="BI594" s="50"/>
      <c r="BJ594" s="50"/>
      <c r="BK594" s="50"/>
      <c r="BL594" s="50"/>
      <c r="BM594" s="50"/>
      <c r="BN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168"/>
      <c r="Z595" s="50"/>
      <c r="AA595" s="50"/>
      <c r="AB595" s="50"/>
      <c r="AC595" s="168"/>
      <c r="AD595" s="168"/>
      <c r="AE595" s="168"/>
      <c r="AF595" s="50"/>
      <c r="AG595" s="50"/>
      <c r="AH595" s="50"/>
      <c r="AI595" s="50"/>
      <c r="AJ595" s="50"/>
      <c r="AK595" s="50"/>
      <c r="AL595" s="50"/>
      <c r="AM595" s="50"/>
      <c r="AN595" s="50"/>
      <c r="AO595" s="50"/>
      <c r="AP595" s="50"/>
      <c r="AQ595" s="50"/>
      <c r="AR595" s="50"/>
      <c r="AS595" s="50"/>
      <c r="AT595" s="50"/>
      <c r="AU595" s="50"/>
      <c r="AV595" s="50"/>
      <c r="AW595" s="50"/>
      <c r="AX595" s="50"/>
      <c r="AY595" s="50"/>
      <c r="AZ595" s="50"/>
      <c r="BA595" s="50"/>
      <c r="BB595" s="50"/>
      <c r="BC595" s="50"/>
      <c r="BD595" s="50"/>
      <c r="BE595" s="50"/>
      <c r="BF595" s="50"/>
      <c r="BG595" s="50"/>
      <c r="BH595" s="50"/>
      <c r="BI595" s="50"/>
      <c r="BJ595" s="50"/>
      <c r="BK595" s="50"/>
      <c r="BL595" s="50"/>
      <c r="BM595" s="50"/>
      <c r="BN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168"/>
      <c r="Z596" s="50"/>
      <c r="AA596" s="50"/>
      <c r="AB596" s="50"/>
      <c r="AC596" s="168"/>
      <c r="AD596" s="168"/>
      <c r="AE596" s="168"/>
      <c r="AF596" s="50"/>
      <c r="AG596" s="50"/>
      <c r="AH596" s="50"/>
      <c r="AI596" s="50"/>
      <c r="AJ596" s="50"/>
      <c r="AK596" s="50"/>
      <c r="AL596" s="50"/>
      <c r="AM596" s="50"/>
      <c r="AN596" s="50"/>
      <c r="AO596" s="50"/>
      <c r="AP596" s="50"/>
      <c r="AQ596" s="50"/>
      <c r="AR596" s="50"/>
      <c r="AS596" s="50"/>
      <c r="AT596" s="50"/>
      <c r="AU596" s="50"/>
      <c r="AV596" s="50"/>
      <c r="AW596" s="50"/>
      <c r="AX596" s="50"/>
      <c r="AY596" s="50"/>
      <c r="AZ596" s="50"/>
      <c r="BA596" s="50"/>
      <c r="BB596" s="50"/>
      <c r="BC596" s="50"/>
      <c r="BD596" s="50"/>
      <c r="BE596" s="50"/>
      <c r="BF596" s="50"/>
      <c r="BG596" s="50"/>
      <c r="BH596" s="50"/>
      <c r="BI596" s="50"/>
      <c r="BJ596" s="50"/>
      <c r="BK596" s="50"/>
      <c r="BL596" s="50"/>
      <c r="BM596" s="50"/>
      <c r="BN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168"/>
      <c r="Z597" s="50"/>
      <c r="AA597" s="50"/>
      <c r="AB597" s="50"/>
      <c r="AC597" s="168"/>
      <c r="AD597" s="168"/>
      <c r="AE597" s="168"/>
      <c r="AF597" s="50"/>
      <c r="AG597" s="50"/>
      <c r="AH597" s="50"/>
      <c r="AI597" s="50"/>
      <c r="AJ597" s="50"/>
      <c r="AK597" s="50"/>
      <c r="AL597" s="50"/>
      <c r="AM597" s="50"/>
      <c r="AN597" s="50"/>
      <c r="AO597" s="50"/>
      <c r="AP597" s="50"/>
      <c r="AQ597" s="50"/>
      <c r="AR597" s="50"/>
      <c r="AS597" s="50"/>
      <c r="AT597" s="50"/>
      <c r="AU597" s="50"/>
      <c r="AV597" s="50"/>
      <c r="AW597" s="50"/>
      <c r="AX597" s="50"/>
      <c r="AY597" s="50"/>
      <c r="AZ597" s="50"/>
      <c r="BA597" s="50"/>
      <c r="BB597" s="50"/>
      <c r="BC597" s="50"/>
      <c r="BD597" s="50"/>
      <c r="BE597" s="50"/>
      <c r="BF597" s="50"/>
      <c r="BG597" s="50"/>
      <c r="BH597" s="50"/>
      <c r="BI597" s="50"/>
      <c r="BJ597" s="50"/>
      <c r="BK597" s="50"/>
      <c r="BL597" s="50"/>
      <c r="BM597" s="50"/>
      <c r="BN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168"/>
      <c r="Z598" s="50"/>
      <c r="AA598" s="50"/>
      <c r="AB598" s="50"/>
      <c r="AC598" s="168"/>
      <c r="AD598" s="168"/>
      <c r="AE598" s="168"/>
      <c r="AF598" s="50"/>
      <c r="AG598" s="50"/>
      <c r="AH598" s="50"/>
      <c r="AI598" s="50"/>
      <c r="AJ598" s="50"/>
      <c r="AK598" s="50"/>
      <c r="AL598" s="50"/>
      <c r="AM598" s="50"/>
      <c r="AN598" s="50"/>
      <c r="AO598" s="50"/>
      <c r="AP598" s="50"/>
      <c r="AQ598" s="50"/>
      <c r="AR598" s="50"/>
      <c r="AS598" s="50"/>
      <c r="AT598" s="50"/>
      <c r="AU598" s="50"/>
      <c r="AV598" s="50"/>
      <c r="AW598" s="50"/>
      <c r="AX598" s="50"/>
      <c r="AY598" s="50"/>
      <c r="AZ598" s="50"/>
      <c r="BA598" s="50"/>
      <c r="BB598" s="50"/>
      <c r="BC598" s="50"/>
      <c r="BD598" s="50"/>
      <c r="BE598" s="50"/>
      <c r="BF598" s="50"/>
      <c r="BG598" s="50"/>
      <c r="BH598" s="50"/>
      <c r="BI598" s="50"/>
      <c r="BJ598" s="50"/>
      <c r="BK598" s="50"/>
      <c r="BL598" s="50"/>
      <c r="BM598" s="50"/>
      <c r="BN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168"/>
      <c r="Z599" s="50"/>
      <c r="AA599" s="50"/>
      <c r="AB599" s="50"/>
      <c r="AC599" s="168"/>
      <c r="AD599" s="168"/>
      <c r="AE599" s="168"/>
      <c r="AF599" s="50"/>
      <c r="AG599" s="50"/>
      <c r="AH599" s="50"/>
      <c r="AI599" s="50"/>
      <c r="AJ599" s="50"/>
      <c r="AK599" s="50"/>
      <c r="AL599" s="50"/>
      <c r="AM599" s="50"/>
      <c r="AN599" s="50"/>
      <c r="AO599" s="50"/>
      <c r="AP599" s="50"/>
      <c r="AQ599" s="50"/>
      <c r="AR599" s="50"/>
      <c r="AS599" s="50"/>
      <c r="AT599" s="50"/>
      <c r="AU599" s="50"/>
      <c r="AV599" s="50"/>
      <c r="AW599" s="50"/>
      <c r="AX599" s="50"/>
      <c r="AY599" s="50"/>
      <c r="AZ599" s="50"/>
      <c r="BA599" s="50"/>
      <c r="BB599" s="50"/>
      <c r="BC599" s="50"/>
      <c r="BD599" s="50"/>
      <c r="BE599" s="50"/>
      <c r="BF599" s="50"/>
      <c r="BG599" s="50"/>
      <c r="BH599" s="50"/>
      <c r="BI599" s="50"/>
      <c r="BJ599" s="50"/>
      <c r="BK599" s="50"/>
      <c r="BL599" s="50"/>
      <c r="BM599" s="50"/>
      <c r="BN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168"/>
      <c r="Z600" s="50"/>
      <c r="AA600" s="50"/>
      <c r="AB600" s="50"/>
      <c r="AC600" s="168"/>
      <c r="AD600" s="168"/>
      <c r="AE600" s="168"/>
      <c r="AF600" s="50"/>
      <c r="AG600" s="50"/>
      <c r="AH600" s="50"/>
      <c r="AI600" s="50"/>
      <c r="AJ600" s="50"/>
      <c r="AK600" s="50"/>
      <c r="AL600" s="50"/>
      <c r="AM600" s="50"/>
      <c r="AN600" s="50"/>
      <c r="AO600" s="50"/>
      <c r="AP600" s="50"/>
      <c r="AQ600" s="50"/>
      <c r="AR600" s="50"/>
      <c r="AS600" s="50"/>
      <c r="AT600" s="50"/>
      <c r="AU600" s="50"/>
      <c r="AV600" s="50"/>
      <c r="AW600" s="50"/>
      <c r="AX600" s="50"/>
      <c r="AY600" s="50"/>
      <c r="AZ600" s="50"/>
      <c r="BA600" s="50"/>
      <c r="BB600" s="50"/>
      <c r="BC600" s="50"/>
      <c r="BD600" s="50"/>
      <c r="BE600" s="50"/>
      <c r="BF600" s="50"/>
      <c r="BG600" s="50"/>
      <c r="BH600" s="50"/>
      <c r="BI600" s="50"/>
      <c r="BJ600" s="50"/>
      <c r="BK600" s="50"/>
      <c r="BL600" s="50"/>
      <c r="BM600" s="50"/>
      <c r="BN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168"/>
      <c r="Z601" s="50"/>
      <c r="AA601" s="50"/>
      <c r="AB601" s="50"/>
      <c r="AC601" s="168"/>
      <c r="AD601" s="168"/>
      <c r="AE601" s="168"/>
      <c r="AF601" s="50"/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/>
      <c r="AR601" s="50"/>
      <c r="AS601" s="50"/>
      <c r="AT601" s="50"/>
      <c r="AU601" s="50"/>
      <c r="AV601" s="50"/>
      <c r="AW601" s="50"/>
      <c r="AX601" s="50"/>
      <c r="AY601" s="50"/>
      <c r="AZ601" s="50"/>
      <c r="BA601" s="50"/>
      <c r="BB601" s="50"/>
      <c r="BC601" s="50"/>
      <c r="BD601" s="50"/>
      <c r="BE601" s="50"/>
      <c r="BF601" s="50"/>
      <c r="BG601" s="50"/>
      <c r="BH601" s="50"/>
      <c r="BI601" s="50"/>
      <c r="BJ601" s="50"/>
      <c r="BK601" s="50"/>
      <c r="BL601" s="50"/>
      <c r="BM601" s="50"/>
      <c r="BN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168"/>
      <c r="Z602" s="50"/>
      <c r="AA602" s="50"/>
      <c r="AB602" s="50"/>
      <c r="AC602" s="168"/>
      <c r="AD602" s="168"/>
      <c r="AE602" s="168"/>
      <c r="AF602" s="50"/>
      <c r="AG602" s="50"/>
      <c r="AH602" s="50"/>
      <c r="AI602" s="50"/>
      <c r="AJ602" s="50"/>
      <c r="AK602" s="50"/>
      <c r="AL602" s="50"/>
      <c r="AM602" s="50"/>
      <c r="AN602" s="50"/>
      <c r="AO602" s="50"/>
      <c r="AP602" s="50"/>
      <c r="AQ602" s="50"/>
      <c r="AR602" s="50"/>
      <c r="AS602" s="50"/>
      <c r="AT602" s="50"/>
      <c r="AU602" s="50"/>
      <c r="AV602" s="50"/>
      <c r="AW602" s="50"/>
      <c r="AX602" s="50"/>
      <c r="AY602" s="50"/>
      <c r="AZ602" s="50"/>
      <c r="BA602" s="50"/>
      <c r="BB602" s="50"/>
      <c r="BC602" s="50"/>
      <c r="BD602" s="50"/>
      <c r="BE602" s="50"/>
      <c r="BF602" s="50"/>
      <c r="BG602" s="50"/>
      <c r="BH602" s="50"/>
      <c r="BI602" s="50"/>
      <c r="BJ602" s="50"/>
      <c r="BK602" s="50"/>
      <c r="BL602" s="50"/>
      <c r="BM602" s="50"/>
      <c r="BN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168"/>
      <c r="Z603" s="50"/>
      <c r="AA603" s="50"/>
      <c r="AB603" s="50"/>
      <c r="AC603" s="168"/>
      <c r="AD603" s="168"/>
      <c r="AE603" s="168"/>
      <c r="AF603" s="50"/>
      <c r="AG603" s="50"/>
      <c r="AH603" s="50"/>
      <c r="AI603" s="50"/>
      <c r="AJ603" s="50"/>
      <c r="AK603" s="50"/>
      <c r="AL603" s="50"/>
      <c r="AM603" s="50"/>
      <c r="AN603" s="50"/>
      <c r="AO603" s="50"/>
      <c r="AP603" s="50"/>
      <c r="AQ603" s="50"/>
      <c r="AR603" s="50"/>
      <c r="AS603" s="50"/>
      <c r="AT603" s="50"/>
      <c r="AU603" s="50"/>
      <c r="AV603" s="50"/>
      <c r="AW603" s="50"/>
      <c r="AX603" s="50"/>
      <c r="AY603" s="50"/>
      <c r="AZ603" s="50"/>
      <c r="BA603" s="50"/>
      <c r="BB603" s="50"/>
      <c r="BC603" s="50"/>
      <c r="BD603" s="50"/>
      <c r="BE603" s="50"/>
      <c r="BF603" s="50"/>
      <c r="BG603" s="50"/>
      <c r="BH603" s="50"/>
      <c r="BI603" s="50"/>
      <c r="BJ603" s="50"/>
      <c r="BK603" s="50"/>
      <c r="BL603" s="50"/>
      <c r="BM603" s="50"/>
      <c r="BN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168"/>
      <c r="Z604" s="50"/>
      <c r="AA604" s="50"/>
      <c r="AB604" s="50"/>
      <c r="AC604" s="168"/>
      <c r="AD604" s="168"/>
      <c r="AE604" s="168"/>
      <c r="AF604" s="50"/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  <c r="AQ604" s="50"/>
      <c r="AR604" s="50"/>
      <c r="AS604" s="50"/>
      <c r="AT604" s="50"/>
      <c r="AU604" s="50"/>
      <c r="AV604" s="50"/>
      <c r="AW604" s="50"/>
      <c r="AX604" s="50"/>
      <c r="AY604" s="50"/>
      <c r="AZ604" s="50"/>
      <c r="BA604" s="50"/>
      <c r="BB604" s="50"/>
      <c r="BC604" s="50"/>
      <c r="BD604" s="50"/>
      <c r="BE604" s="50"/>
      <c r="BF604" s="50"/>
      <c r="BG604" s="50"/>
      <c r="BH604" s="50"/>
      <c r="BI604" s="50"/>
      <c r="BJ604" s="50"/>
      <c r="BK604" s="50"/>
      <c r="BL604" s="50"/>
      <c r="BM604" s="50"/>
      <c r="BN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168"/>
      <c r="Z605" s="50"/>
      <c r="AA605" s="50"/>
      <c r="AB605" s="50"/>
      <c r="AC605" s="168"/>
      <c r="AD605" s="168"/>
      <c r="AE605" s="168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50"/>
      <c r="AR605" s="50"/>
      <c r="AS605" s="50"/>
      <c r="AT605" s="50"/>
      <c r="AU605" s="50"/>
      <c r="AV605" s="50"/>
      <c r="AW605" s="50"/>
      <c r="AX605" s="50"/>
      <c r="AY605" s="50"/>
      <c r="AZ605" s="50"/>
      <c r="BA605" s="50"/>
      <c r="BB605" s="50"/>
      <c r="BC605" s="50"/>
      <c r="BD605" s="50"/>
      <c r="BE605" s="50"/>
      <c r="BF605" s="50"/>
      <c r="BG605" s="50"/>
      <c r="BH605" s="50"/>
      <c r="BI605" s="50"/>
      <c r="BJ605" s="50"/>
      <c r="BK605" s="50"/>
      <c r="BL605" s="50"/>
      <c r="BM605" s="50"/>
      <c r="BN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168"/>
      <c r="Z606" s="50"/>
      <c r="AA606" s="50"/>
      <c r="AB606" s="50"/>
      <c r="AC606" s="168"/>
      <c r="AD606" s="168"/>
      <c r="AE606" s="168"/>
      <c r="AF606" s="50"/>
      <c r="AG606" s="50"/>
      <c r="AH606" s="50"/>
      <c r="AI606" s="50"/>
      <c r="AJ606" s="50"/>
      <c r="AK606" s="50"/>
      <c r="AL606" s="50"/>
      <c r="AM606" s="50"/>
      <c r="AN606" s="50"/>
      <c r="AO606" s="50"/>
      <c r="AP606" s="50"/>
      <c r="AQ606" s="50"/>
      <c r="AR606" s="50"/>
      <c r="AS606" s="50"/>
      <c r="AT606" s="50"/>
      <c r="AU606" s="50"/>
      <c r="AV606" s="50"/>
      <c r="AW606" s="50"/>
      <c r="AX606" s="50"/>
      <c r="AY606" s="50"/>
      <c r="AZ606" s="50"/>
      <c r="BA606" s="50"/>
      <c r="BB606" s="50"/>
      <c r="BC606" s="50"/>
      <c r="BD606" s="50"/>
      <c r="BE606" s="50"/>
      <c r="BF606" s="50"/>
      <c r="BG606" s="50"/>
      <c r="BH606" s="50"/>
      <c r="BI606" s="50"/>
      <c r="BJ606" s="50"/>
      <c r="BK606" s="50"/>
      <c r="BL606" s="50"/>
      <c r="BM606" s="50"/>
      <c r="BN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168"/>
      <c r="Z607" s="50"/>
      <c r="AA607" s="50"/>
      <c r="AB607" s="50"/>
      <c r="AC607" s="168"/>
      <c r="AD607" s="168"/>
      <c r="AE607" s="168"/>
      <c r="AF607" s="50"/>
      <c r="AG607" s="50"/>
      <c r="AH607" s="50"/>
      <c r="AI607" s="50"/>
      <c r="AJ607" s="50"/>
      <c r="AK607" s="50"/>
      <c r="AL607" s="50"/>
      <c r="AM607" s="50"/>
      <c r="AN607" s="50"/>
      <c r="AO607" s="50"/>
      <c r="AP607" s="50"/>
      <c r="AQ607" s="50"/>
      <c r="AR607" s="50"/>
      <c r="AS607" s="50"/>
      <c r="AT607" s="50"/>
      <c r="AU607" s="50"/>
      <c r="AV607" s="50"/>
      <c r="AW607" s="50"/>
      <c r="AX607" s="50"/>
      <c r="AY607" s="50"/>
      <c r="AZ607" s="50"/>
      <c r="BA607" s="50"/>
      <c r="BB607" s="50"/>
      <c r="BC607" s="50"/>
      <c r="BD607" s="50"/>
      <c r="BE607" s="50"/>
      <c r="BF607" s="50"/>
      <c r="BG607" s="50"/>
      <c r="BH607" s="50"/>
      <c r="BI607" s="50"/>
      <c r="BJ607" s="50"/>
      <c r="BK607" s="50"/>
      <c r="BL607" s="50"/>
      <c r="BM607" s="50"/>
      <c r="BN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168"/>
      <c r="Z608" s="50"/>
      <c r="AA608" s="50"/>
      <c r="AB608" s="50"/>
      <c r="AC608" s="168"/>
      <c r="AD608" s="168"/>
      <c r="AE608" s="168"/>
      <c r="AF608" s="50"/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  <c r="AQ608" s="50"/>
      <c r="AR608" s="50"/>
      <c r="AS608" s="50"/>
      <c r="AT608" s="50"/>
      <c r="AU608" s="50"/>
      <c r="AV608" s="50"/>
      <c r="AW608" s="50"/>
      <c r="AX608" s="50"/>
      <c r="AY608" s="50"/>
      <c r="AZ608" s="50"/>
      <c r="BA608" s="50"/>
      <c r="BB608" s="50"/>
      <c r="BC608" s="50"/>
      <c r="BD608" s="50"/>
      <c r="BE608" s="50"/>
      <c r="BF608" s="50"/>
      <c r="BG608" s="50"/>
      <c r="BH608" s="50"/>
      <c r="BI608" s="50"/>
      <c r="BJ608" s="50"/>
      <c r="BK608" s="50"/>
      <c r="BL608" s="50"/>
      <c r="BM608" s="50"/>
      <c r="BN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168"/>
      <c r="Z609" s="50"/>
      <c r="AA609" s="50"/>
      <c r="AB609" s="50"/>
      <c r="AC609" s="168"/>
      <c r="AD609" s="168"/>
      <c r="AE609" s="168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50"/>
      <c r="AU609" s="50"/>
      <c r="AV609" s="50"/>
      <c r="AW609" s="50"/>
      <c r="AX609" s="50"/>
      <c r="AY609" s="50"/>
      <c r="AZ609" s="50"/>
      <c r="BA609" s="50"/>
      <c r="BB609" s="50"/>
      <c r="BC609" s="50"/>
      <c r="BD609" s="50"/>
      <c r="BE609" s="50"/>
      <c r="BF609" s="50"/>
      <c r="BG609" s="50"/>
      <c r="BH609" s="50"/>
      <c r="BI609" s="50"/>
      <c r="BJ609" s="50"/>
      <c r="BK609" s="50"/>
      <c r="BL609" s="50"/>
      <c r="BM609" s="50"/>
      <c r="BN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168"/>
      <c r="Z610" s="50"/>
      <c r="AA610" s="50"/>
      <c r="AB610" s="50"/>
      <c r="AC610" s="168"/>
      <c r="AD610" s="168"/>
      <c r="AE610" s="168"/>
      <c r="AF610" s="50"/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  <c r="AQ610" s="50"/>
      <c r="AR610" s="50"/>
      <c r="AS610" s="50"/>
      <c r="AT610" s="50"/>
      <c r="AU610" s="50"/>
      <c r="AV610" s="50"/>
      <c r="AW610" s="50"/>
      <c r="AX610" s="50"/>
      <c r="AY610" s="50"/>
      <c r="AZ610" s="50"/>
      <c r="BA610" s="50"/>
      <c r="BB610" s="50"/>
      <c r="BC610" s="50"/>
      <c r="BD610" s="50"/>
      <c r="BE610" s="50"/>
      <c r="BF610" s="50"/>
      <c r="BG610" s="50"/>
      <c r="BH610" s="50"/>
      <c r="BI610" s="50"/>
      <c r="BJ610" s="50"/>
      <c r="BK610" s="50"/>
      <c r="BL610" s="50"/>
      <c r="BM610" s="50"/>
      <c r="BN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168"/>
      <c r="Z611" s="50"/>
      <c r="AA611" s="50"/>
      <c r="AB611" s="50"/>
      <c r="AC611" s="168"/>
      <c r="AD611" s="168"/>
      <c r="AE611" s="168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50"/>
      <c r="AU611" s="50"/>
      <c r="AV611" s="50"/>
      <c r="AW611" s="50"/>
      <c r="AX611" s="50"/>
      <c r="AY611" s="50"/>
      <c r="AZ611" s="50"/>
      <c r="BA611" s="50"/>
      <c r="BB611" s="50"/>
      <c r="BC611" s="50"/>
      <c r="BD611" s="50"/>
      <c r="BE611" s="50"/>
      <c r="BF611" s="50"/>
      <c r="BG611" s="50"/>
      <c r="BH611" s="50"/>
      <c r="BI611" s="50"/>
      <c r="BJ611" s="50"/>
      <c r="BK611" s="50"/>
      <c r="BL611" s="50"/>
      <c r="BM611" s="50"/>
      <c r="BN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168"/>
      <c r="Z612" s="50"/>
      <c r="AA612" s="50"/>
      <c r="AB612" s="50"/>
      <c r="AC612" s="168"/>
      <c r="AD612" s="168"/>
      <c r="AE612" s="168"/>
      <c r="AF612" s="50"/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50"/>
      <c r="AR612" s="50"/>
      <c r="AS612" s="50"/>
      <c r="AT612" s="50"/>
      <c r="AU612" s="50"/>
      <c r="AV612" s="50"/>
      <c r="AW612" s="50"/>
      <c r="AX612" s="50"/>
      <c r="AY612" s="50"/>
      <c r="AZ612" s="50"/>
      <c r="BA612" s="50"/>
      <c r="BB612" s="50"/>
      <c r="BC612" s="50"/>
      <c r="BD612" s="50"/>
      <c r="BE612" s="50"/>
      <c r="BF612" s="50"/>
      <c r="BG612" s="50"/>
      <c r="BH612" s="50"/>
      <c r="BI612" s="50"/>
      <c r="BJ612" s="50"/>
      <c r="BK612" s="50"/>
      <c r="BL612" s="50"/>
      <c r="BM612" s="50"/>
      <c r="BN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168"/>
      <c r="Z613" s="50"/>
      <c r="AA613" s="50"/>
      <c r="AB613" s="50"/>
      <c r="AC613" s="168"/>
      <c r="AD613" s="168"/>
      <c r="AE613" s="168"/>
      <c r="AF613" s="50"/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  <c r="AQ613" s="50"/>
      <c r="AR613" s="50"/>
      <c r="AS613" s="50"/>
      <c r="AT613" s="50"/>
      <c r="AU613" s="50"/>
      <c r="AV613" s="50"/>
      <c r="AW613" s="50"/>
      <c r="AX613" s="50"/>
      <c r="AY613" s="50"/>
      <c r="AZ613" s="50"/>
      <c r="BA613" s="50"/>
      <c r="BB613" s="50"/>
      <c r="BC613" s="50"/>
      <c r="BD613" s="50"/>
      <c r="BE613" s="50"/>
      <c r="BF613" s="50"/>
      <c r="BG613" s="50"/>
      <c r="BH613" s="50"/>
      <c r="BI613" s="50"/>
      <c r="BJ613" s="50"/>
      <c r="BK613" s="50"/>
      <c r="BL613" s="50"/>
      <c r="BM613" s="50"/>
      <c r="BN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168"/>
      <c r="Z614" s="50"/>
      <c r="AA614" s="50"/>
      <c r="AB614" s="50"/>
      <c r="AC614" s="168"/>
      <c r="AD614" s="168"/>
      <c r="AE614" s="168"/>
      <c r="AF614" s="50"/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  <c r="AQ614" s="50"/>
      <c r="AR614" s="50"/>
      <c r="AS614" s="50"/>
      <c r="AT614" s="50"/>
      <c r="AU614" s="50"/>
      <c r="AV614" s="50"/>
      <c r="AW614" s="50"/>
      <c r="AX614" s="50"/>
      <c r="AY614" s="50"/>
      <c r="AZ614" s="50"/>
      <c r="BA614" s="50"/>
      <c r="BB614" s="50"/>
      <c r="BC614" s="50"/>
      <c r="BD614" s="50"/>
      <c r="BE614" s="50"/>
      <c r="BF614" s="50"/>
      <c r="BG614" s="50"/>
      <c r="BH614" s="50"/>
      <c r="BI614" s="50"/>
      <c r="BJ614" s="50"/>
      <c r="BK614" s="50"/>
      <c r="BL614" s="50"/>
      <c r="BM614" s="50"/>
      <c r="BN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168"/>
      <c r="Z615" s="50"/>
      <c r="AA615" s="50"/>
      <c r="AB615" s="50"/>
      <c r="AC615" s="168"/>
      <c r="AD615" s="168"/>
      <c r="AE615" s="168"/>
      <c r="AF615" s="50"/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  <c r="AQ615" s="50"/>
      <c r="AR615" s="50"/>
      <c r="AS615" s="50"/>
      <c r="AT615" s="50"/>
      <c r="AU615" s="50"/>
      <c r="AV615" s="50"/>
      <c r="AW615" s="50"/>
      <c r="AX615" s="50"/>
      <c r="AY615" s="50"/>
      <c r="AZ615" s="50"/>
      <c r="BA615" s="50"/>
      <c r="BB615" s="50"/>
      <c r="BC615" s="50"/>
      <c r="BD615" s="50"/>
      <c r="BE615" s="50"/>
      <c r="BF615" s="50"/>
      <c r="BG615" s="50"/>
      <c r="BH615" s="50"/>
      <c r="BI615" s="50"/>
      <c r="BJ615" s="50"/>
      <c r="BK615" s="50"/>
      <c r="BL615" s="50"/>
      <c r="BM615" s="50"/>
      <c r="BN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168"/>
      <c r="Z616" s="50"/>
      <c r="AA616" s="50"/>
      <c r="AB616" s="50"/>
      <c r="AC616" s="168"/>
      <c r="AD616" s="168"/>
      <c r="AE616" s="168"/>
      <c r="AF616" s="50"/>
      <c r="AG616" s="50"/>
      <c r="AH616" s="50"/>
      <c r="AI616" s="50"/>
      <c r="AJ616" s="50"/>
      <c r="AK616" s="50"/>
      <c r="AL616" s="50"/>
      <c r="AM616" s="50"/>
      <c r="AN616" s="50"/>
      <c r="AO616" s="50"/>
      <c r="AP616" s="50"/>
      <c r="AQ616" s="50"/>
      <c r="AR616" s="50"/>
      <c r="AS616" s="50"/>
      <c r="AT616" s="50"/>
      <c r="AU616" s="50"/>
      <c r="AV616" s="50"/>
      <c r="AW616" s="50"/>
      <c r="AX616" s="50"/>
      <c r="AY616" s="50"/>
      <c r="AZ616" s="50"/>
      <c r="BA616" s="50"/>
      <c r="BB616" s="50"/>
      <c r="BC616" s="50"/>
      <c r="BD616" s="50"/>
      <c r="BE616" s="50"/>
      <c r="BF616" s="50"/>
      <c r="BG616" s="50"/>
      <c r="BH616" s="50"/>
      <c r="BI616" s="50"/>
      <c r="BJ616" s="50"/>
      <c r="BK616" s="50"/>
      <c r="BL616" s="50"/>
      <c r="BM616" s="50"/>
      <c r="BN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168"/>
      <c r="Z617" s="50"/>
      <c r="AA617" s="50"/>
      <c r="AB617" s="50"/>
      <c r="AC617" s="168"/>
      <c r="AD617" s="168"/>
      <c r="AE617" s="168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/>
      <c r="AV617" s="50"/>
      <c r="AW617" s="50"/>
      <c r="AX617" s="50"/>
      <c r="AY617" s="50"/>
      <c r="AZ617" s="50"/>
      <c r="BA617" s="50"/>
      <c r="BB617" s="50"/>
      <c r="BC617" s="50"/>
      <c r="BD617" s="50"/>
      <c r="BE617" s="50"/>
      <c r="BF617" s="50"/>
      <c r="BG617" s="50"/>
      <c r="BH617" s="50"/>
      <c r="BI617" s="50"/>
      <c r="BJ617" s="50"/>
      <c r="BK617" s="50"/>
      <c r="BL617" s="50"/>
      <c r="BM617" s="50"/>
      <c r="BN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168"/>
      <c r="Z618" s="50"/>
      <c r="AA618" s="50"/>
      <c r="AB618" s="50"/>
      <c r="AC618" s="168"/>
      <c r="AD618" s="168"/>
      <c r="AE618" s="168"/>
      <c r="AF618" s="50"/>
      <c r="AG618" s="50"/>
      <c r="AH618" s="50"/>
      <c r="AI618" s="50"/>
      <c r="AJ618" s="50"/>
      <c r="AK618" s="50"/>
      <c r="AL618" s="50"/>
      <c r="AM618" s="50"/>
      <c r="AN618" s="50"/>
      <c r="AO618" s="50"/>
      <c r="AP618" s="50"/>
      <c r="AQ618" s="50"/>
      <c r="AR618" s="50"/>
      <c r="AS618" s="50"/>
      <c r="AT618" s="50"/>
      <c r="AU618" s="50"/>
      <c r="AV618" s="50"/>
      <c r="AW618" s="50"/>
      <c r="AX618" s="50"/>
      <c r="AY618" s="50"/>
      <c r="AZ618" s="50"/>
      <c r="BA618" s="50"/>
      <c r="BB618" s="50"/>
      <c r="BC618" s="50"/>
      <c r="BD618" s="50"/>
      <c r="BE618" s="50"/>
      <c r="BF618" s="50"/>
      <c r="BG618" s="50"/>
      <c r="BH618" s="50"/>
      <c r="BI618" s="50"/>
      <c r="BJ618" s="50"/>
      <c r="BK618" s="50"/>
      <c r="BL618" s="50"/>
      <c r="BM618" s="50"/>
      <c r="BN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168"/>
      <c r="Z619" s="50"/>
      <c r="AA619" s="50"/>
      <c r="AB619" s="50"/>
      <c r="AC619" s="168"/>
      <c r="AD619" s="168"/>
      <c r="AE619" s="168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50"/>
      <c r="AU619" s="50"/>
      <c r="AV619" s="50"/>
      <c r="AW619" s="50"/>
      <c r="AX619" s="50"/>
      <c r="AY619" s="50"/>
      <c r="AZ619" s="50"/>
      <c r="BA619" s="50"/>
      <c r="BB619" s="50"/>
      <c r="BC619" s="50"/>
      <c r="BD619" s="50"/>
      <c r="BE619" s="50"/>
      <c r="BF619" s="50"/>
      <c r="BG619" s="50"/>
      <c r="BH619" s="50"/>
      <c r="BI619" s="50"/>
      <c r="BJ619" s="50"/>
      <c r="BK619" s="50"/>
      <c r="BL619" s="50"/>
      <c r="BM619" s="50"/>
      <c r="BN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168"/>
      <c r="Z620" s="50"/>
      <c r="AA620" s="50"/>
      <c r="AB620" s="50"/>
      <c r="AC620" s="168"/>
      <c r="AD620" s="168"/>
      <c r="AE620" s="168"/>
      <c r="AF620" s="50"/>
      <c r="AG620" s="50"/>
      <c r="AH620" s="50"/>
      <c r="AI620" s="50"/>
      <c r="AJ620" s="50"/>
      <c r="AK620" s="50"/>
      <c r="AL620" s="50"/>
      <c r="AM620" s="50"/>
      <c r="AN620" s="50"/>
      <c r="AO620" s="50"/>
      <c r="AP620" s="50"/>
      <c r="AQ620" s="50"/>
      <c r="AR620" s="50"/>
      <c r="AS620" s="50"/>
      <c r="AT620" s="50"/>
      <c r="AU620" s="50"/>
      <c r="AV620" s="50"/>
      <c r="AW620" s="50"/>
      <c r="AX620" s="50"/>
      <c r="AY620" s="50"/>
      <c r="AZ620" s="50"/>
      <c r="BA620" s="50"/>
      <c r="BB620" s="50"/>
      <c r="BC620" s="50"/>
      <c r="BD620" s="50"/>
      <c r="BE620" s="50"/>
      <c r="BF620" s="50"/>
      <c r="BG620" s="50"/>
      <c r="BH620" s="50"/>
      <c r="BI620" s="50"/>
      <c r="BJ620" s="50"/>
      <c r="BK620" s="50"/>
      <c r="BL620" s="50"/>
      <c r="BM620" s="50"/>
      <c r="BN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168"/>
      <c r="Z621" s="50"/>
      <c r="AA621" s="50"/>
      <c r="AB621" s="50"/>
      <c r="AC621" s="168"/>
      <c r="AD621" s="168"/>
      <c r="AE621" s="168"/>
      <c r="AF621" s="50"/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  <c r="AQ621" s="50"/>
      <c r="AR621" s="50"/>
      <c r="AS621" s="50"/>
      <c r="AT621" s="50"/>
      <c r="AU621" s="50"/>
      <c r="AV621" s="50"/>
      <c r="AW621" s="50"/>
      <c r="AX621" s="50"/>
      <c r="AY621" s="50"/>
      <c r="AZ621" s="50"/>
      <c r="BA621" s="50"/>
      <c r="BB621" s="50"/>
      <c r="BC621" s="50"/>
      <c r="BD621" s="50"/>
      <c r="BE621" s="50"/>
      <c r="BF621" s="50"/>
      <c r="BG621" s="50"/>
      <c r="BH621" s="50"/>
      <c r="BI621" s="50"/>
      <c r="BJ621" s="50"/>
      <c r="BK621" s="50"/>
      <c r="BL621" s="50"/>
      <c r="BM621" s="50"/>
      <c r="BN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168"/>
      <c r="Z622" s="50"/>
      <c r="AA622" s="50"/>
      <c r="AB622" s="50"/>
      <c r="AC622" s="168"/>
      <c r="AD622" s="168"/>
      <c r="AE622" s="168"/>
      <c r="AF622" s="50"/>
      <c r="AG622" s="50"/>
      <c r="AH622" s="50"/>
      <c r="AI622" s="50"/>
      <c r="AJ622" s="50"/>
      <c r="AK622" s="50"/>
      <c r="AL622" s="50"/>
      <c r="AM622" s="50"/>
      <c r="AN622" s="50"/>
      <c r="AO622" s="50"/>
      <c r="AP622" s="50"/>
      <c r="AQ622" s="50"/>
      <c r="AR622" s="50"/>
      <c r="AS622" s="50"/>
      <c r="AT622" s="50"/>
      <c r="AU622" s="50"/>
      <c r="AV622" s="50"/>
      <c r="AW622" s="50"/>
      <c r="AX622" s="50"/>
      <c r="AY622" s="50"/>
      <c r="AZ622" s="50"/>
      <c r="BA622" s="50"/>
      <c r="BB622" s="50"/>
      <c r="BC622" s="50"/>
      <c r="BD622" s="50"/>
      <c r="BE622" s="50"/>
      <c r="BF622" s="50"/>
      <c r="BG622" s="50"/>
      <c r="BH622" s="50"/>
      <c r="BI622" s="50"/>
      <c r="BJ622" s="50"/>
      <c r="BK622" s="50"/>
      <c r="BL622" s="50"/>
      <c r="BM622" s="50"/>
      <c r="BN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168"/>
      <c r="Z623" s="50"/>
      <c r="AA623" s="50"/>
      <c r="AB623" s="50"/>
      <c r="AC623" s="168"/>
      <c r="AD623" s="168"/>
      <c r="AE623" s="168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  <c r="AV623" s="50"/>
      <c r="AW623" s="50"/>
      <c r="AX623" s="50"/>
      <c r="AY623" s="50"/>
      <c r="AZ623" s="50"/>
      <c r="BA623" s="50"/>
      <c r="BB623" s="50"/>
      <c r="BC623" s="50"/>
      <c r="BD623" s="50"/>
      <c r="BE623" s="50"/>
      <c r="BF623" s="50"/>
      <c r="BG623" s="50"/>
      <c r="BH623" s="50"/>
      <c r="BI623" s="50"/>
      <c r="BJ623" s="50"/>
      <c r="BK623" s="50"/>
      <c r="BL623" s="50"/>
      <c r="BM623" s="50"/>
      <c r="BN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168"/>
      <c r="Z624" s="50"/>
      <c r="AA624" s="50"/>
      <c r="AB624" s="50"/>
      <c r="AC624" s="168"/>
      <c r="AD624" s="168"/>
      <c r="AE624" s="168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/>
      <c r="AW624" s="50"/>
      <c r="AX624" s="50"/>
      <c r="AY624" s="50"/>
      <c r="AZ624" s="50"/>
      <c r="BA624" s="50"/>
      <c r="BB624" s="50"/>
      <c r="BC624" s="50"/>
      <c r="BD624" s="50"/>
      <c r="BE624" s="50"/>
      <c r="BF624" s="50"/>
      <c r="BG624" s="50"/>
      <c r="BH624" s="50"/>
      <c r="BI624" s="50"/>
      <c r="BJ624" s="50"/>
      <c r="BK624" s="50"/>
      <c r="BL624" s="50"/>
      <c r="BM624" s="50"/>
      <c r="BN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168"/>
      <c r="Z625" s="50"/>
      <c r="AA625" s="50"/>
      <c r="AB625" s="50"/>
      <c r="AC625" s="168"/>
      <c r="AD625" s="168"/>
      <c r="AE625" s="168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/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168"/>
      <c r="Z626" s="50"/>
      <c r="AA626" s="50"/>
      <c r="AB626" s="50"/>
      <c r="AC626" s="168"/>
      <c r="AD626" s="168"/>
      <c r="AE626" s="168"/>
      <c r="AF626" s="50"/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  <c r="AV626" s="50"/>
      <c r="AW626" s="50"/>
      <c r="AX626" s="50"/>
      <c r="AY626" s="50"/>
      <c r="AZ626" s="50"/>
      <c r="BA626" s="50"/>
      <c r="BB626" s="50"/>
      <c r="BC626" s="50"/>
      <c r="BD626" s="50"/>
      <c r="BE626" s="50"/>
      <c r="BF626" s="50"/>
      <c r="BG626" s="50"/>
      <c r="BH626" s="50"/>
      <c r="BI626" s="50"/>
      <c r="BJ626" s="50"/>
      <c r="BK626" s="50"/>
      <c r="BL626" s="50"/>
      <c r="BM626" s="50"/>
      <c r="BN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168"/>
      <c r="Z627" s="50"/>
      <c r="AA627" s="50"/>
      <c r="AB627" s="50"/>
      <c r="AC627" s="168"/>
      <c r="AD627" s="168"/>
      <c r="AE627" s="168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/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168"/>
      <c r="Z628" s="50"/>
      <c r="AA628" s="50"/>
      <c r="AB628" s="50"/>
      <c r="AC628" s="168"/>
      <c r="AD628" s="168"/>
      <c r="AE628" s="168"/>
      <c r="AF628" s="50"/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50"/>
      <c r="AR628" s="50"/>
      <c r="AS628" s="50"/>
      <c r="AT628" s="50"/>
      <c r="AU628" s="50"/>
      <c r="AV628" s="50"/>
      <c r="AW628" s="50"/>
      <c r="AX628" s="50"/>
      <c r="AY628" s="50"/>
      <c r="AZ628" s="50"/>
      <c r="BA628" s="50"/>
      <c r="BB628" s="50"/>
      <c r="BC628" s="50"/>
      <c r="BD628" s="50"/>
      <c r="BE628" s="50"/>
      <c r="BF628" s="50"/>
      <c r="BG628" s="50"/>
      <c r="BH628" s="50"/>
      <c r="BI628" s="50"/>
      <c r="BJ628" s="50"/>
      <c r="BK628" s="50"/>
      <c r="BL628" s="50"/>
      <c r="BM628" s="50"/>
      <c r="BN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168"/>
      <c r="Z629" s="50"/>
      <c r="AA629" s="50"/>
      <c r="AB629" s="50"/>
      <c r="AC629" s="168"/>
      <c r="AD629" s="168"/>
      <c r="AE629" s="168"/>
      <c r="AF629" s="50"/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/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168"/>
      <c r="Z630" s="50"/>
      <c r="AA630" s="50"/>
      <c r="AB630" s="50"/>
      <c r="AC630" s="168"/>
      <c r="AD630" s="168"/>
      <c r="AE630" s="168"/>
      <c r="AF630" s="50"/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  <c r="AV630" s="50"/>
      <c r="AW630" s="50"/>
      <c r="AX630" s="50"/>
      <c r="AY630" s="50"/>
      <c r="AZ630" s="50"/>
      <c r="BA630" s="50"/>
      <c r="BB630" s="50"/>
      <c r="BC630" s="50"/>
      <c r="BD630" s="50"/>
      <c r="BE630" s="50"/>
      <c r="BF630" s="50"/>
      <c r="BG630" s="50"/>
      <c r="BH630" s="50"/>
      <c r="BI630" s="50"/>
      <c r="BJ630" s="50"/>
      <c r="BK630" s="50"/>
      <c r="BL630" s="50"/>
      <c r="BM630" s="50"/>
      <c r="BN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168"/>
      <c r="Z631" s="50"/>
      <c r="AA631" s="50"/>
      <c r="AB631" s="50"/>
      <c r="AC631" s="168"/>
      <c r="AD631" s="168"/>
      <c r="AE631" s="168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50"/>
      <c r="AU631" s="50"/>
      <c r="AV631" s="50"/>
      <c r="AW631" s="50"/>
      <c r="AX631" s="50"/>
      <c r="AY631" s="50"/>
      <c r="AZ631" s="50"/>
      <c r="BA631" s="50"/>
      <c r="BB631" s="50"/>
      <c r="BC631" s="50"/>
      <c r="BD631" s="50"/>
      <c r="BE631" s="50"/>
      <c r="BF631" s="50"/>
      <c r="BG631" s="50"/>
      <c r="BH631" s="50"/>
      <c r="BI631" s="50"/>
      <c r="BJ631" s="50"/>
      <c r="BK631" s="50"/>
      <c r="BL631" s="50"/>
      <c r="BM631" s="50"/>
      <c r="BN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168"/>
      <c r="Z632" s="50"/>
      <c r="AA632" s="50"/>
      <c r="AB632" s="50"/>
      <c r="AC632" s="168"/>
      <c r="AD632" s="168"/>
      <c r="AE632" s="168"/>
      <c r="AF632" s="50"/>
      <c r="AG632" s="50"/>
      <c r="AH632" s="50"/>
      <c r="AI632" s="50"/>
      <c r="AJ632" s="50"/>
      <c r="AK632" s="50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  <c r="AV632" s="50"/>
      <c r="AW632" s="50"/>
      <c r="AX632" s="50"/>
      <c r="AY632" s="50"/>
      <c r="AZ632" s="50"/>
      <c r="BA632" s="50"/>
      <c r="BB632" s="50"/>
      <c r="BC632" s="50"/>
      <c r="BD632" s="50"/>
      <c r="BE632" s="50"/>
      <c r="BF632" s="50"/>
      <c r="BG632" s="50"/>
      <c r="BH632" s="50"/>
      <c r="BI632" s="50"/>
      <c r="BJ632" s="50"/>
      <c r="BK632" s="50"/>
      <c r="BL632" s="50"/>
      <c r="BM632" s="50"/>
      <c r="BN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168"/>
      <c r="Z633" s="50"/>
      <c r="AA633" s="50"/>
      <c r="AB633" s="50"/>
      <c r="AC633" s="168"/>
      <c r="AD633" s="168"/>
      <c r="AE633" s="168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50"/>
      <c r="AU633" s="50"/>
      <c r="AV633" s="50"/>
      <c r="AW633" s="50"/>
      <c r="AX633" s="50"/>
      <c r="AY633" s="50"/>
      <c r="AZ633" s="50"/>
      <c r="BA633" s="50"/>
      <c r="BB633" s="50"/>
      <c r="BC633" s="50"/>
      <c r="BD633" s="50"/>
      <c r="BE633" s="50"/>
      <c r="BF633" s="50"/>
      <c r="BG633" s="50"/>
      <c r="BH633" s="50"/>
      <c r="BI633" s="50"/>
      <c r="BJ633" s="50"/>
      <c r="BK633" s="50"/>
      <c r="BL633" s="50"/>
      <c r="BM633" s="50"/>
      <c r="BN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168"/>
      <c r="Z634" s="50"/>
      <c r="AA634" s="50"/>
      <c r="AB634" s="50"/>
      <c r="AC634" s="168"/>
      <c r="AD634" s="168"/>
      <c r="AE634" s="168"/>
      <c r="AF634" s="50"/>
      <c r="AG634" s="50"/>
      <c r="AH634" s="50"/>
      <c r="AI634" s="50"/>
      <c r="AJ634" s="50"/>
      <c r="AK634" s="50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  <c r="AV634" s="50"/>
      <c r="AW634" s="50"/>
      <c r="AX634" s="50"/>
      <c r="AY634" s="50"/>
      <c r="AZ634" s="50"/>
      <c r="BA634" s="50"/>
      <c r="BB634" s="50"/>
      <c r="BC634" s="50"/>
      <c r="BD634" s="50"/>
      <c r="BE634" s="50"/>
      <c r="BF634" s="50"/>
      <c r="BG634" s="50"/>
      <c r="BH634" s="50"/>
      <c r="BI634" s="50"/>
      <c r="BJ634" s="50"/>
      <c r="BK634" s="50"/>
      <c r="BL634" s="50"/>
      <c r="BM634" s="50"/>
      <c r="BN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168"/>
      <c r="Z635" s="50"/>
      <c r="AA635" s="50"/>
      <c r="AB635" s="50"/>
      <c r="AC635" s="168"/>
      <c r="AD635" s="168"/>
      <c r="AE635" s="168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/>
      <c r="AW635" s="50"/>
      <c r="AX635" s="50"/>
      <c r="AY635" s="50"/>
      <c r="AZ635" s="50"/>
      <c r="BA635" s="50"/>
      <c r="BB635" s="50"/>
      <c r="BC635" s="50"/>
      <c r="BD635" s="50"/>
      <c r="BE635" s="50"/>
      <c r="BF635" s="50"/>
      <c r="BG635" s="50"/>
      <c r="BH635" s="50"/>
      <c r="BI635" s="50"/>
      <c r="BJ635" s="50"/>
      <c r="BK635" s="50"/>
      <c r="BL635" s="50"/>
      <c r="BM635" s="50"/>
      <c r="BN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168"/>
      <c r="Z636" s="50"/>
      <c r="AA636" s="50"/>
      <c r="AB636" s="50"/>
      <c r="AC636" s="168"/>
      <c r="AD636" s="168"/>
      <c r="AE636" s="168"/>
      <c r="AF636" s="50"/>
      <c r="AG636" s="50"/>
      <c r="AH636" s="50"/>
      <c r="AI636" s="50"/>
      <c r="AJ636" s="50"/>
      <c r="AK636" s="50"/>
      <c r="AL636" s="50"/>
      <c r="AM636" s="50"/>
      <c r="AN636" s="50"/>
      <c r="AO636" s="50"/>
      <c r="AP636" s="50"/>
      <c r="AQ636" s="50"/>
      <c r="AR636" s="50"/>
      <c r="AS636" s="50"/>
      <c r="AT636" s="50"/>
      <c r="AU636" s="50"/>
      <c r="AV636" s="50"/>
      <c r="AW636" s="50"/>
      <c r="AX636" s="50"/>
      <c r="AY636" s="50"/>
      <c r="AZ636" s="50"/>
      <c r="BA636" s="50"/>
      <c r="BB636" s="50"/>
      <c r="BC636" s="50"/>
      <c r="BD636" s="50"/>
      <c r="BE636" s="50"/>
      <c r="BF636" s="50"/>
      <c r="BG636" s="50"/>
      <c r="BH636" s="50"/>
      <c r="BI636" s="50"/>
      <c r="BJ636" s="50"/>
      <c r="BK636" s="50"/>
      <c r="BL636" s="50"/>
      <c r="BM636" s="50"/>
      <c r="BN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168"/>
      <c r="Z637" s="50"/>
      <c r="AA637" s="50"/>
      <c r="AB637" s="50"/>
      <c r="AC637" s="168"/>
      <c r="AD637" s="168"/>
      <c r="AE637" s="168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/>
      <c r="AR637" s="50"/>
      <c r="AS637" s="50"/>
      <c r="AT637" s="50"/>
      <c r="AU637" s="50"/>
      <c r="AV637" s="50"/>
      <c r="AW637" s="50"/>
      <c r="AX637" s="50"/>
      <c r="AY637" s="50"/>
      <c r="AZ637" s="50"/>
      <c r="BA637" s="50"/>
      <c r="BB637" s="50"/>
      <c r="BC637" s="50"/>
      <c r="BD637" s="50"/>
      <c r="BE637" s="50"/>
      <c r="BF637" s="50"/>
      <c r="BG637" s="50"/>
      <c r="BH637" s="50"/>
      <c r="BI637" s="50"/>
      <c r="BJ637" s="50"/>
      <c r="BK637" s="50"/>
      <c r="BL637" s="50"/>
      <c r="BM637" s="50"/>
      <c r="BN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168"/>
      <c r="Z638" s="50"/>
      <c r="AA638" s="50"/>
      <c r="AB638" s="50"/>
      <c r="AC638" s="168"/>
      <c r="AD638" s="168"/>
      <c r="AE638" s="168"/>
      <c r="AF638" s="50"/>
      <c r="AG638" s="50"/>
      <c r="AH638" s="50"/>
      <c r="AI638" s="50"/>
      <c r="AJ638" s="50"/>
      <c r="AK638" s="50"/>
      <c r="AL638" s="50"/>
      <c r="AM638" s="50"/>
      <c r="AN638" s="50"/>
      <c r="AO638" s="50"/>
      <c r="AP638" s="50"/>
      <c r="AQ638" s="50"/>
      <c r="AR638" s="50"/>
      <c r="AS638" s="50"/>
      <c r="AT638" s="50"/>
      <c r="AU638" s="50"/>
      <c r="AV638" s="50"/>
      <c r="AW638" s="50"/>
      <c r="AX638" s="50"/>
      <c r="AY638" s="50"/>
      <c r="AZ638" s="50"/>
      <c r="BA638" s="50"/>
      <c r="BB638" s="50"/>
      <c r="BC638" s="50"/>
      <c r="BD638" s="50"/>
      <c r="BE638" s="50"/>
      <c r="BF638" s="50"/>
      <c r="BG638" s="50"/>
      <c r="BH638" s="50"/>
      <c r="BI638" s="50"/>
      <c r="BJ638" s="50"/>
      <c r="BK638" s="50"/>
      <c r="BL638" s="50"/>
      <c r="BM638" s="50"/>
      <c r="BN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168"/>
      <c r="Z639" s="50"/>
      <c r="AA639" s="50"/>
      <c r="AB639" s="50"/>
      <c r="AC639" s="168"/>
      <c r="AD639" s="168"/>
      <c r="AE639" s="168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50"/>
      <c r="AU639" s="50"/>
      <c r="AV639" s="50"/>
      <c r="AW639" s="50"/>
      <c r="AX639" s="50"/>
      <c r="AY639" s="50"/>
      <c r="AZ639" s="50"/>
      <c r="BA639" s="50"/>
      <c r="BB639" s="50"/>
      <c r="BC639" s="50"/>
      <c r="BD639" s="50"/>
      <c r="BE639" s="50"/>
      <c r="BF639" s="50"/>
      <c r="BG639" s="50"/>
      <c r="BH639" s="50"/>
      <c r="BI639" s="50"/>
      <c r="BJ639" s="50"/>
      <c r="BK639" s="50"/>
      <c r="BL639" s="50"/>
      <c r="BM639" s="50"/>
      <c r="BN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168"/>
      <c r="Z640" s="50"/>
      <c r="AA640" s="50"/>
      <c r="AB640" s="50"/>
      <c r="AC640" s="168"/>
      <c r="AD640" s="168"/>
      <c r="AE640" s="168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  <c r="AR640" s="50"/>
      <c r="AS640" s="50"/>
      <c r="AT640" s="50"/>
      <c r="AU640" s="50"/>
      <c r="AV640" s="50"/>
      <c r="AW640" s="50"/>
      <c r="AX640" s="50"/>
      <c r="AY640" s="50"/>
      <c r="AZ640" s="50"/>
      <c r="BA640" s="50"/>
      <c r="BB640" s="50"/>
      <c r="BC640" s="50"/>
      <c r="BD640" s="50"/>
      <c r="BE640" s="50"/>
      <c r="BF640" s="50"/>
      <c r="BG640" s="50"/>
      <c r="BH640" s="50"/>
      <c r="BI640" s="50"/>
      <c r="BJ640" s="50"/>
      <c r="BK640" s="50"/>
      <c r="BL640" s="50"/>
      <c r="BM640" s="50"/>
      <c r="BN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168"/>
      <c r="Z641" s="50"/>
      <c r="AA641" s="50"/>
      <c r="AB641" s="50"/>
      <c r="AC641" s="168"/>
      <c r="AD641" s="168"/>
      <c r="AE641" s="168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  <c r="AV641" s="50"/>
      <c r="AW641" s="50"/>
      <c r="AX641" s="50"/>
      <c r="AY641" s="50"/>
      <c r="AZ641" s="50"/>
      <c r="BA641" s="50"/>
      <c r="BB641" s="50"/>
      <c r="BC641" s="50"/>
      <c r="BD641" s="50"/>
      <c r="BE641" s="50"/>
      <c r="BF641" s="50"/>
      <c r="BG641" s="50"/>
      <c r="BH641" s="50"/>
      <c r="BI641" s="50"/>
      <c r="BJ641" s="50"/>
      <c r="BK641" s="50"/>
      <c r="BL641" s="50"/>
      <c r="BM641" s="50"/>
      <c r="BN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168"/>
      <c r="Z642" s="50"/>
      <c r="AA642" s="50"/>
      <c r="AB642" s="50"/>
      <c r="AC642" s="168"/>
      <c r="AD642" s="168"/>
      <c r="AE642" s="168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  <c r="AR642" s="50"/>
      <c r="AS642" s="50"/>
      <c r="AT642" s="50"/>
      <c r="AU642" s="50"/>
      <c r="AV642" s="50"/>
      <c r="AW642" s="50"/>
      <c r="AX642" s="50"/>
      <c r="AY642" s="50"/>
      <c r="AZ642" s="50"/>
      <c r="BA642" s="50"/>
      <c r="BB642" s="50"/>
      <c r="BC642" s="50"/>
      <c r="BD642" s="50"/>
      <c r="BE642" s="50"/>
      <c r="BF642" s="50"/>
      <c r="BG642" s="50"/>
      <c r="BH642" s="50"/>
      <c r="BI642" s="50"/>
      <c r="BJ642" s="50"/>
      <c r="BK642" s="50"/>
      <c r="BL642" s="50"/>
      <c r="BM642" s="50"/>
      <c r="BN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168"/>
      <c r="Z643" s="50"/>
      <c r="AA643" s="50"/>
      <c r="AB643" s="50"/>
      <c r="AC643" s="168"/>
      <c r="AD643" s="168"/>
      <c r="AE643" s="168"/>
      <c r="AF643" s="50"/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50"/>
      <c r="AR643" s="50"/>
      <c r="AS643" s="50"/>
      <c r="AT643" s="50"/>
      <c r="AU643" s="50"/>
      <c r="AV643" s="50"/>
      <c r="AW643" s="50"/>
      <c r="AX643" s="50"/>
      <c r="AY643" s="50"/>
      <c r="AZ643" s="50"/>
      <c r="BA643" s="50"/>
      <c r="BB643" s="50"/>
      <c r="BC643" s="50"/>
      <c r="BD643" s="50"/>
      <c r="BE643" s="50"/>
      <c r="BF643" s="50"/>
      <c r="BG643" s="50"/>
      <c r="BH643" s="50"/>
      <c r="BI643" s="50"/>
      <c r="BJ643" s="50"/>
      <c r="BK643" s="50"/>
      <c r="BL643" s="50"/>
      <c r="BM643" s="50"/>
      <c r="BN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168"/>
      <c r="Z644" s="50"/>
      <c r="AA644" s="50"/>
      <c r="AB644" s="50"/>
      <c r="AC644" s="168"/>
      <c r="AD644" s="168"/>
      <c r="AE644" s="168"/>
      <c r="AF644" s="50"/>
      <c r="AG644" s="50"/>
      <c r="AH644" s="50"/>
      <c r="AI644" s="50"/>
      <c r="AJ644" s="50"/>
      <c r="AK644" s="50"/>
      <c r="AL644" s="50"/>
      <c r="AM644" s="50"/>
      <c r="AN644" s="50"/>
      <c r="AO644" s="50"/>
      <c r="AP644" s="50"/>
      <c r="AQ644" s="50"/>
      <c r="AR644" s="50"/>
      <c r="AS644" s="50"/>
      <c r="AT644" s="50"/>
      <c r="AU644" s="50"/>
      <c r="AV644" s="50"/>
      <c r="AW644" s="50"/>
      <c r="AX644" s="50"/>
      <c r="AY644" s="50"/>
      <c r="AZ644" s="50"/>
      <c r="BA644" s="50"/>
      <c r="BB644" s="50"/>
      <c r="BC644" s="50"/>
      <c r="BD644" s="50"/>
      <c r="BE644" s="50"/>
      <c r="BF644" s="50"/>
      <c r="BG644" s="50"/>
      <c r="BH644" s="50"/>
      <c r="BI644" s="50"/>
      <c r="BJ644" s="50"/>
      <c r="BK644" s="50"/>
      <c r="BL644" s="50"/>
      <c r="BM644" s="50"/>
      <c r="BN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168"/>
      <c r="Z645" s="50"/>
      <c r="AA645" s="50"/>
      <c r="AB645" s="50"/>
      <c r="AC645" s="168"/>
      <c r="AD645" s="168"/>
      <c r="AE645" s="168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50"/>
      <c r="AR645" s="50"/>
      <c r="AS645" s="50"/>
      <c r="AT645" s="50"/>
      <c r="AU645" s="50"/>
      <c r="AV645" s="50"/>
      <c r="AW645" s="50"/>
      <c r="AX645" s="50"/>
      <c r="AY645" s="50"/>
      <c r="AZ645" s="50"/>
      <c r="BA645" s="50"/>
      <c r="BB645" s="50"/>
      <c r="BC645" s="50"/>
      <c r="BD645" s="50"/>
      <c r="BE645" s="50"/>
      <c r="BF645" s="50"/>
      <c r="BG645" s="50"/>
      <c r="BH645" s="50"/>
      <c r="BI645" s="50"/>
      <c r="BJ645" s="50"/>
      <c r="BK645" s="50"/>
      <c r="BL645" s="50"/>
      <c r="BM645" s="50"/>
      <c r="BN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168"/>
      <c r="Z646" s="50"/>
      <c r="AA646" s="50"/>
      <c r="AB646" s="50"/>
      <c r="AC646" s="168"/>
      <c r="AD646" s="168"/>
      <c r="AE646" s="168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50"/>
      <c r="AR646" s="50"/>
      <c r="AS646" s="50"/>
      <c r="AT646" s="50"/>
      <c r="AU646" s="50"/>
      <c r="AV646" s="50"/>
      <c r="AW646" s="50"/>
      <c r="AX646" s="50"/>
      <c r="AY646" s="50"/>
      <c r="AZ646" s="50"/>
      <c r="BA646" s="50"/>
      <c r="BB646" s="50"/>
      <c r="BC646" s="50"/>
      <c r="BD646" s="50"/>
      <c r="BE646" s="50"/>
      <c r="BF646" s="50"/>
      <c r="BG646" s="50"/>
      <c r="BH646" s="50"/>
      <c r="BI646" s="50"/>
      <c r="BJ646" s="50"/>
      <c r="BK646" s="50"/>
      <c r="BL646" s="50"/>
      <c r="BM646" s="50"/>
      <c r="BN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168"/>
      <c r="Z647" s="50"/>
      <c r="AA647" s="50"/>
      <c r="AB647" s="50"/>
      <c r="AC647" s="168"/>
      <c r="AD647" s="168"/>
      <c r="AE647" s="168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  <c r="AV647" s="50"/>
      <c r="AW647" s="50"/>
      <c r="AX647" s="50"/>
      <c r="AY647" s="50"/>
      <c r="AZ647" s="50"/>
      <c r="BA647" s="50"/>
      <c r="BB647" s="50"/>
      <c r="BC647" s="50"/>
      <c r="BD647" s="50"/>
      <c r="BE647" s="50"/>
      <c r="BF647" s="50"/>
      <c r="BG647" s="50"/>
      <c r="BH647" s="50"/>
      <c r="BI647" s="50"/>
      <c r="BJ647" s="50"/>
      <c r="BK647" s="50"/>
      <c r="BL647" s="50"/>
      <c r="BM647" s="50"/>
      <c r="BN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168"/>
      <c r="Z648" s="50"/>
      <c r="AA648" s="50"/>
      <c r="AB648" s="50"/>
      <c r="AC648" s="168"/>
      <c r="AD648" s="168"/>
      <c r="AE648" s="168"/>
      <c r="AF648" s="50"/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  <c r="AV648" s="50"/>
      <c r="AW648" s="50"/>
      <c r="AX648" s="50"/>
      <c r="AY648" s="50"/>
      <c r="AZ648" s="50"/>
      <c r="BA648" s="50"/>
      <c r="BB648" s="50"/>
      <c r="BC648" s="50"/>
      <c r="BD648" s="50"/>
      <c r="BE648" s="50"/>
      <c r="BF648" s="50"/>
      <c r="BG648" s="50"/>
      <c r="BH648" s="50"/>
      <c r="BI648" s="50"/>
      <c r="BJ648" s="50"/>
      <c r="BK648" s="50"/>
      <c r="BL648" s="50"/>
      <c r="BM648" s="50"/>
      <c r="BN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168"/>
      <c r="Z649" s="50"/>
      <c r="AA649" s="50"/>
      <c r="AB649" s="50"/>
      <c r="AC649" s="168"/>
      <c r="AD649" s="168"/>
      <c r="AE649" s="168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  <c r="AV649" s="50"/>
      <c r="AW649" s="50"/>
      <c r="AX649" s="50"/>
      <c r="AY649" s="50"/>
      <c r="AZ649" s="50"/>
      <c r="BA649" s="50"/>
      <c r="BB649" s="50"/>
      <c r="BC649" s="50"/>
      <c r="BD649" s="50"/>
      <c r="BE649" s="50"/>
      <c r="BF649" s="50"/>
      <c r="BG649" s="50"/>
      <c r="BH649" s="50"/>
      <c r="BI649" s="50"/>
      <c r="BJ649" s="50"/>
      <c r="BK649" s="50"/>
      <c r="BL649" s="50"/>
      <c r="BM649" s="50"/>
      <c r="BN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168"/>
      <c r="Z650" s="50"/>
      <c r="AA650" s="50"/>
      <c r="AB650" s="50"/>
      <c r="AC650" s="168"/>
      <c r="AD650" s="168"/>
      <c r="AE650" s="168"/>
      <c r="AF650" s="50"/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  <c r="AV650" s="50"/>
      <c r="AW650" s="50"/>
      <c r="AX650" s="50"/>
      <c r="AY650" s="50"/>
      <c r="AZ650" s="50"/>
      <c r="BA650" s="50"/>
      <c r="BB650" s="50"/>
      <c r="BC650" s="50"/>
      <c r="BD650" s="50"/>
      <c r="BE650" s="50"/>
      <c r="BF650" s="50"/>
      <c r="BG650" s="50"/>
      <c r="BH650" s="50"/>
      <c r="BI650" s="50"/>
      <c r="BJ650" s="50"/>
      <c r="BK650" s="50"/>
      <c r="BL650" s="50"/>
      <c r="BM650" s="50"/>
      <c r="BN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168"/>
      <c r="Z651" s="50"/>
      <c r="AA651" s="50"/>
      <c r="AB651" s="50"/>
      <c r="AC651" s="168"/>
      <c r="AD651" s="168"/>
      <c r="AE651" s="168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50"/>
      <c r="AU651" s="50"/>
      <c r="AV651" s="50"/>
      <c r="AW651" s="50"/>
      <c r="AX651" s="50"/>
      <c r="AY651" s="50"/>
      <c r="AZ651" s="50"/>
      <c r="BA651" s="50"/>
      <c r="BB651" s="50"/>
      <c r="BC651" s="50"/>
      <c r="BD651" s="50"/>
      <c r="BE651" s="50"/>
      <c r="BF651" s="50"/>
      <c r="BG651" s="50"/>
      <c r="BH651" s="50"/>
      <c r="BI651" s="50"/>
      <c r="BJ651" s="50"/>
      <c r="BK651" s="50"/>
      <c r="BL651" s="50"/>
      <c r="BM651" s="50"/>
      <c r="BN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168"/>
      <c r="Z652" s="50"/>
      <c r="AA652" s="50"/>
      <c r="AB652" s="50"/>
      <c r="AC652" s="168"/>
      <c r="AD652" s="168"/>
      <c r="AE652" s="168"/>
      <c r="AF652" s="50"/>
      <c r="AG652" s="50"/>
      <c r="AH652" s="50"/>
      <c r="AI652" s="50"/>
      <c r="AJ652" s="50"/>
      <c r="AK652" s="50"/>
      <c r="AL652" s="50"/>
      <c r="AM652" s="50"/>
      <c r="AN652" s="50"/>
      <c r="AO652" s="50"/>
      <c r="AP652" s="50"/>
      <c r="AQ652" s="50"/>
      <c r="AR652" s="50"/>
      <c r="AS652" s="50"/>
      <c r="AT652" s="50"/>
      <c r="AU652" s="50"/>
      <c r="AV652" s="50"/>
      <c r="AW652" s="50"/>
      <c r="AX652" s="50"/>
      <c r="AY652" s="50"/>
      <c r="AZ652" s="50"/>
      <c r="BA652" s="50"/>
      <c r="BB652" s="50"/>
      <c r="BC652" s="50"/>
      <c r="BD652" s="50"/>
      <c r="BE652" s="50"/>
      <c r="BF652" s="50"/>
      <c r="BG652" s="50"/>
      <c r="BH652" s="50"/>
      <c r="BI652" s="50"/>
      <c r="BJ652" s="50"/>
      <c r="BK652" s="50"/>
      <c r="BL652" s="50"/>
      <c r="BM652" s="50"/>
      <c r="BN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168"/>
      <c r="Z653" s="50"/>
      <c r="AA653" s="50"/>
      <c r="AB653" s="50"/>
      <c r="AC653" s="168"/>
      <c r="AD653" s="168"/>
      <c r="AE653" s="168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/>
      <c r="AR653" s="50"/>
      <c r="AS653" s="50"/>
      <c r="AT653" s="50"/>
      <c r="AU653" s="50"/>
      <c r="AV653" s="50"/>
      <c r="AW653" s="50"/>
      <c r="AX653" s="50"/>
      <c r="AY653" s="50"/>
      <c r="AZ653" s="50"/>
      <c r="BA653" s="50"/>
      <c r="BB653" s="50"/>
      <c r="BC653" s="50"/>
      <c r="BD653" s="50"/>
      <c r="BE653" s="50"/>
      <c r="BF653" s="50"/>
      <c r="BG653" s="50"/>
      <c r="BH653" s="50"/>
      <c r="BI653" s="50"/>
      <c r="BJ653" s="50"/>
      <c r="BK653" s="50"/>
      <c r="BL653" s="50"/>
      <c r="BM653" s="50"/>
      <c r="BN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168"/>
      <c r="Z654" s="50"/>
      <c r="AA654" s="50"/>
      <c r="AB654" s="50"/>
      <c r="AC654" s="168"/>
      <c r="AD654" s="168"/>
      <c r="AE654" s="168"/>
      <c r="AF654" s="50"/>
      <c r="AG654" s="50"/>
      <c r="AH654" s="50"/>
      <c r="AI654" s="50"/>
      <c r="AJ654" s="50"/>
      <c r="AK654" s="50"/>
      <c r="AL654" s="50"/>
      <c r="AM654" s="50"/>
      <c r="AN654" s="50"/>
      <c r="AO654" s="50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/>
      <c r="AZ654" s="50"/>
      <c r="BA654" s="50"/>
      <c r="BB654" s="50"/>
      <c r="BC654" s="50"/>
      <c r="BD654" s="50"/>
      <c r="BE654" s="50"/>
      <c r="BF654" s="50"/>
      <c r="BG654" s="50"/>
      <c r="BH654" s="50"/>
      <c r="BI654" s="50"/>
      <c r="BJ654" s="50"/>
      <c r="BK654" s="50"/>
      <c r="BL654" s="50"/>
      <c r="BM654" s="50"/>
      <c r="BN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168"/>
      <c r="Z655" s="50"/>
      <c r="AA655" s="50"/>
      <c r="AB655" s="50"/>
      <c r="AC655" s="168"/>
      <c r="AD655" s="168"/>
      <c r="AE655" s="168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/>
      <c r="AR655" s="50"/>
      <c r="AS655" s="50"/>
      <c r="AT655" s="50"/>
      <c r="AU655" s="50"/>
      <c r="AV655" s="50"/>
      <c r="AW655" s="50"/>
      <c r="AX655" s="50"/>
      <c r="AY655" s="50"/>
      <c r="AZ655" s="50"/>
      <c r="BA655" s="50"/>
      <c r="BB655" s="50"/>
      <c r="BC655" s="50"/>
      <c r="BD655" s="50"/>
      <c r="BE655" s="50"/>
      <c r="BF655" s="50"/>
      <c r="BG655" s="50"/>
      <c r="BH655" s="50"/>
      <c r="BI655" s="50"/>
      <c r="BJ655" s="50"/>
      <c r="BK655" s="50"/>
      <c r="BL655" s="50"/>
      <c r="BM655" s="50"/>
      <c r="BN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168"/>
      <c r="Z656" s="50"/>
      <c r="AA656" s="50"/>
      <c r="AB656" s="50"/>
      <c r="AC656" s="168"/>
      <c r="AD656" s="168"/>
      <c r="AE656" s="168"/>
      <c r="AF656" s="50"/>
      <c r="AG656" s="50"/>
      <c r="AH656" s="50"/>
      <c r="AI656" s="50"/>
      <c r="AJ656" s="50"/>
      <c r="AK656" s="50"/>
      <c r="AL656" s="50"/>
      <c r="AM656" s="50"/>
      <c r="AN656" s="50"/>
      <c r="AO656" s="50"/>
      <c r="AP656" s="50"/>
      <c r="AQ656" s="50"/>
      <c r="AR656" s="50"/>
      <c r="AS656" s="50"/>
      <c r="AT656" s="50"/>
      <c r="AU656" s="50"/>
      <c r="AV656" s="50"/>
      <c r="AW656" s="50"/>
      <c r="AX656" s="50"/>
      <c r="AY656" s="50"/>
      <c r="AZ656" s="50"/>
      <c r="BA656" s="50"/>
      <c r="BB656" s="50"/>
      <c r="BC656" s="50"/>
      <c r="BD656" s="50"/>
      <c r="BE656" s="50"/>
      <c r="BF656" s="50"/>
      <c r="BG656" s="50"/>
      <c r="BH656" s="50"/>
      <c r="BI656" s="50"/>
      <c r="BJ656" s="50"/>
      <c r="BK656" s="50"/>
      <c r="BL656" s="50"/>
      <c r="BM656" s="50"/>
      <c r="BN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168"/>
      <c r="Z657" s="50"/>
      <c r="AA657" s="50"/>
      <c r="AB657" s="50"/>
      <c r="AC657" s="168"/>
      <c r="AD657" s="168"/>
      <c r="AE657" s="168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/>
      <c r="AR657" s="50"/>
      <c r="AS657" s="50"/>
      <c r="AT657" s="50"/>
      <c r="AU657" s="50"/>
      <c r="AV657" s="50"/>
      <c r="AW657" s="50"/>
      <c r="AX657" s="50"/>
      <c r="AY657" s="50"/>
      <c r="AZ657" s="50"/>
      <c r="BA657" s="50"/>
      <c r="BB657" s="50"/>
      <c r="BC657" s="50"/>
      <c r="BD657" s="50"/>
      <c r="BE657" s="50"/>
      <c r="BF657" s="50"/>
      <c r="BG657" s="50"/>
      <c r="BH657" s="50"/>
      <c r="BI657" s="50"/>
      <c r="BJ657" s="50"/>
      <c r="BK657" s="50"/>
      <c r="BL657" s="50"/>
      <c r="BM657" s="50"/>
      <c r="BN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168"/>
      <c r="Z658" s="50"/>
      <c r="AA658" s="50"/>
      <c r="AB658" s="50"/>
      <c r="AC658" s="168"/>
      <c r="AD658" s="168"/>
      <c r="AE658" s="168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/>
      <c r="AR658" s="50"/>
      <c r="AS658" s="50"/>
      <c r="AT658" s="50"/>
      <c r="AU658" s="50"/>
      <c r="AV658" s="50"/>
      <c r="AW658" s="50"/>
      <c r="AX658" s="50"/>
      <c r="AY658" s="50"/>
      <c r="AZ658" s="50"/>
      <c r="BA658" s="50"/>
      <c r="BB658" s="50"/>
      <c r="BC658" s="50"/>
      <c r="BD658" s="50"/>
      <c r="BE658" s="50"/>
      <c r="BF658" s="50"/>
      <c r="BG658" s="50"/>
      <c r="BH658" s="50"/>
      <c r="BI658" s="50"/>
      <c r="BJ658" s="50"/>
      <c r="BK658" s="50"/>
      <c r="BL658" s="50"/>
      <c r="BM658" s="50"/>
      <c r="BN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168"/>
      <c r="Z659" s="50"/>
      <c r="AA659" s="50"/>
      <c r="AB659" s="50"/>
      <c r="AC659" s="168"/>
      <c r="AD659" s="168"/>
      <c r="AE659" s="168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50"/>
      <c r="AU659" s="50"/>
      <c r="AV659" s="50"/>
      <c r="AW659" s="50"/>
      <c r="AX659" s="50"/>
      <c r="AY659" s="50"/>
      <c r="AZ659" s="50"/>
      <c r="BA659" s="50"/>
      <c r="BB659" s="50"/>
      <c r="BC659" s="50"/>
      <c r="BD659" s="50"/>
      <c r="BE659" s="50"/>
      <c r="BF659" s="50"/>
      <c r="BG659" s="50"/>
      <c r="BH659" s="50"/>
      <c r="BI659" s="50"/>
      <c r="BJ659" s="50"/>
      <c r="BK659" s="50"/>
      <c r="BL659" s="50"/>
      <c r="BM659" s="50"/>
      <c r="BN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168"/>
      <c r="Z660" s="50"/>
      <c r="AA660" s="50"/>
      <c r="AB660" s="50"/>
      <c r="AC660" s="168"/>
      <c r="AD660" s="168"/>
      <c r="AE660" s="168"/>
      <c r="AF660" s="50"/>
      <c r="AG660" s="50"/>
      <c r="AH660" s="50"/>
      <c r="AI660" s="50"/>
      <c r="AJ660" s="50"/>
      <c r="AK660" s="50"/>
      <c r="AL660" s="50"/>
      <c r="AM660" s="50"/>
      <c r="AN660" s="50"/>
      <c r="AO660" s="50"/>
      <c r="AP660" s="50"/>
      <c r="AQ660" s="50"/>
      <c r="AR660" s="50"/>
      <c r="AS660" s="50"/>
      <c r="AT660" s="50"/>
      <c r="AU660" s="50"/>
      <c r="AV660" s="50"/>
      <c r="AW660" s="50"/>
      <c r="AX660" s="50"/>
      <c r="AY660" s="50"/>
      <c r="AZ660" s="50"/>
      <c r="BA660" s="50"/>
      <c r="BB660" s="50"/>
      <c r="BC660" s="50"/>
      <c r="BD660" s="50"/>
      <c r="BE660" s="50"/>
      <c r="BF660" s="50"/>
      <c r="BG660" s="50"/>
      <c r="BH660" s="50"/>
      <c r="BI660" s="50"/>
      <c r="BJ660" s="50"/>
      <c r="BK660" s="50"/>
      <c r="BL660" s="50"/>
      <c r="BM660" s="50"/>
      <c r="BN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168"/>
      <c r="Z661" s="50"/>
      <c r="AA661" s="50"/>
      <c r="AB661" s="50"/>
      <c r="AC661" s="168"/>
      <c r="AD661" s="168"/>
      <c r="AE661" s="168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50"/>
      <c r="AU661" s="50"/>
      <c r="AV661" s="50"/>
      <c r="AW661" s="50"/>
      <c r="AX661" s="50"/>
      <c r="AY661" s="50"/>
      <c r="AZ661" s="50"/>
      <c r="BA661" s="50"/>
      <c r="BB661" s="50"/>
      <c r="BC661" s="50"/>
      <c r="BD661" s="50"/>
      <c r="BE661" s="50"/>
      <c r="BF661" s="50"/>
      <c r="BG661" s="50"/>
      <c r="BH661" s="50"/>
      <c r="BI661" s="50"/>
      <c r="BJ661" s="50"/>
      <c r="BK661" s="50"/>
      <c r="BL661" s="50"/>
      <c r="BM661" s="50"/>
      <c r="BN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168"/>
      <c r="Z662" s="50"/>
      <c r="AA662" s="50"/>
      <c r="AB662" s="50"/>
      <c r="AC662" s="168"/>
      <c r="AD662" s="168"/>
      <c r="AE662" s="168"/>
      <c r="AF662" s="50"/>
      <c r="AG662" s="50"/>
      <c r="AH662" s="50"/>
      <c r="AI662" s="50"/>
      <c r="AJ662" s="50"/>
      <c r="AK662" s="50"/>
      <c r="AL662" s="50"/>
      <c r="AM662" s="50"/>
      <c r="AN662" s="50"/>
      <c r="AO662" s="50"/>
      <c r="AP662" s="50"/>
      <c r="AQ662" s="50"/>
      <c r="AR662" s="50"/>
      <c r="AS662" s="50"/>
      <c r="AT662" s="50"/>
      <c r="AU662" s="50"/>
      <c r="AV662" s="50"/>
      <c r="AW662" s="50"/>
      <c r="AX662" s="50"/>
      <c r="AY662" s="50"/>
      <c r="AZ662" s="50"/>
      <c r="BA662" s="50"/>
      <c r="BB662" s="50"/>
      <c r="BC662" s="50"/>
      <c r="BD662" s="50"/>
      <c r="BE662" s="50"/>
      <c r="BF662" s="50"/>
      <c r="BG662" s="50"/>
      <c r="BH662" s="50"/>
      <c r="BI662" s="50"/>
      <c r="BJ662" s="50"/>
      <c r="BK662" s="50"/>
      <c r="BL662" s="50"/>
      <c r="BM662" s="50"/>
      <c r="BN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168"/>
      <c r="Z663" s="50"/>
      <c r="AA663" s="50"/>
      <c r="AB663" s="50"/>
      <c r="AC663" s="168"/>
      <c r="AD663" s="168"/>
      <c r="AE663" s="168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50"/>
      <c r="AU663" s="50"/>
      <c r="AV663" s="50"/>
      <c r="AW663" s="50"/>
      <c r="AX663" s="50"/>
      <c r="AY663" s="50"/>
      <c r="AZ663" s="50"/>
      <c r="BA663" s="50"/>
      <c r="BB663" s="50"/>
      <c r="BC663" s="50"/>
      <c r="BD663" s="50"/>
      <c r="BE663" s="50"/>
      <c r="BF663" s="50"/>
      <c r="BG663" s="50"/>
      <c r="BH663" s="50"/>
      <c r="BI663" s="50"/>
      <c r="BJ663" s="50"/>
      <c r="BK663" s="50"/>
      <c r="BL663" s="50"/>
      <c r="BM663" s="50"/>
      <c r="BN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168"/>
      <c r="Z664" s="50"/>
      <c r="AA664" s="50"/>
      <c r="AB664" s="50"/>
      <c r="AC664" s="168"/>
      <c r="AD664" s="168"/>
      <c r="AE664" s="168"/>
      <c r="AF664" s="50"/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50"/>
      <c r="AR664" s="50"/>
      <c r="AS664" s="50"/>
      <c r="AT664" s="50"/>
      <c r="AU664" s="50"/>
      <c r="AV664" s="50"/>
      <c r="AW664" s="50"/>
      <c r="AX664" s="50"/>
      <c r="AY664" s="50"/>
      <c r="AZ664" s="50"/>
      <c r="BA664" s="50"/>
      <c r="BB664" s="50"/>
      <c r="BC664" s="50"/>
      <c r="BD664" s="50"/>
      <c r="BE664" s="50"/>
      <c r="BF664" s="50"/>
      <c r="BG664" s="50"/>
      <c r="BH664" s="50"/>
      <c r="BI664" s="50"/>
      <c r="BJ664" s="50"/>
      <c r="BK664" s="50"/>
      <c r="BL664" s="50"/>
      <c r="BM664" s="50"/>
      <c r="BN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168"/>
      <c r="Z665" s="50"/>
      <c r="AA665" s="50"/>
      <c r="AB665" s="50"/>
      <c r="AC665" s="168"/>
      <c r="AD665" s="168"/>
      <c r="AE665" s="168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/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168"/>
      <c r="Z666" s="50"/>
      <c r="AA666" s="50"/>
      <c r="AB666" s="50"/>
      <c r="AC666" s="168"/>
      <c r="AD666" s="168"/>
      <c r="AE666" s="168"/>
      <c r="AF666" s="50"/>
      <c r="AG666" s="50"/>
      <c r="AH666" s="50"/>
      <c r="AI666" s="50"/>
      <c r="AJ666" s="50"/>
      <c r="AK666" s="50"/>
      <c r="AL666" s="50"/>
      <c r="AM666" s="50"/>
      <c r="AN666" s="50"/>
      <c r="AO666" s="50"/>
      <c r="AP666" s="50"/>
      <c r="AQ666" s="50"/>
      <c r="AR666" s="50"/>
      <c r="AS666" s="50"/>
      <c r="AT666" s="50"/>
      <c r="AU666" s="50"/>
      <c r="AV666" s="50"/>
      <c r="AW666" s="50"/>
      <c r="AX666" s="50"/>
      <c r="AY666" s="50"/>
      <c r="AZ666" s="50"/>
      <c r="BA666" s="50"/>
      <c r="BB666" s="50"/>
      <c r="BC666" s="50"/>
      <c r="BD666" s="50"/>
      <c r="BE666" s="50"/>
      <c r="BF666" s="50"/>
      <c r="BG666" s="50"/>
      <c r="BH666" s="50"/>
      <c r="BI666" s="50"/>
      <c r="BJ666" s="50"/>
      <c r="BK666" s="50"/>
      <c r="BL666" s="50"/>
      <c r="BM666" s="50"/>
      <c r="BN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168"/>
      <c r="Z667" s="50"/>
      <c r="AA667" s="50"/>
      <c r="AB667" s="50"/>
      <c r="AC667" s="168"/>
      <c r="AD667" s="168"/>
      <c r="AE667" s="168"/>
      <c r="AF667" s="50"/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/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168"/>
      <c r="Z668" s="50"/>
      <c r="AA668" s="50"/>
      <c r="AB668" s="50"/>
      <c r="AC668" s="168"/>
      <c r="AD668" s="168"/>
      <c r="AE668" s="168"/>
      <c r="AF668" s="50"/>
      <c r="AG668" s="50"/>
      <c r="AH668" s="50"/>
      <c r="AI668" s="50"/>
      <c r="AJ668" s="50"/>
      <c r="AK668" s="50"/>
      <c r="AL668" s="50"/>
      <c r="AM668" s="50"/>
      <c r="AN668" s="50"/>
      <c r="AO668" s="50"/>
      <c r="AP668" s="50"/>
      <c r="AQ668" s="50"/>
      <c r="AR668" s="50"/>
      <c r="AS668" s="50"/>
      <c r="AT668" s="50"/>
      <c r="AU668" s="50"/>
      <c r="AV668" s="50"/>
      <c r="AW668" s="50"/>
      <c r="AX668" s="50"/>
      <c r="AY668" s="50"/>
      <c r="AZ668" s="50"/>
      <c r="BA668" s="50"/>
      <c r="BB668" s="50"/>
      <c r="BC668" s="50"/>
      <c r="BD668" s="50"/>
      <c r="BE668" s="50"/>
      <c r="BF668" s="50"/>
      <c r="BG668" s="50"/>
      <c r="BH668" s="50"/>
      <c r="BI668" s="50"/>
      <c r="BJ668" s="50"/>
      <c r="BK668" s="50"/>
      <c r="BL668" s="50"/>
      <c r="BM668" s="50"/>
      <c r="BN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168"/>
      <c r="Z669" s="50"/>
      <c r="AA669" s="50"/>
      <c r="AB669" s="50"/>
      <c r="AC669" s="168"/>
      <c r="AD669" s="168"/>
      <c r="AE669" s="168"/>
      <c r="AF669" s="50"/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/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168"/>
      <c r="Z670" s="50"/>
      <c r="AA670" s="50"/>
      <c r="AB670" s="50"/>
      <c r="AC670" s="168"/>
      <c r="AD670" s="168"/>
      <c r="AE670" s="168"/>
      <c r="AF670" s="50"/>
      <c r="AG670" s="50"/>
      <c r="AH670" s="50"/>
      <c r="AI670" s="50"/>
      <c r="AJ670" s="50"/>
      <c r="AK670" s="50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0"/>
      <c r="BC670" s="50"/>
      <c r="BD670" s="50"/>
      <c r="BE670" s="50"/>
      <c r="BF670" s="50"/>
      <c r="BG670" s="50"/>
      <c r="BH670" s="50"/>
      <c r="BI670" s="50"/>
      <c r="BJ670" s="50"/>
      <c r="BK670" s="50"/>
      <c r="BL670" s="50"/>
      <c r="BM670" s="50"/>
      <c r="BN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168"/>
      <c r="Z671" s="50"/>
      <c r="AA671" s="50"/>
      <c r="AB671" s="50"/>
      <c r="AC671" s="168"/>
      <c r="AD671" s="168"/>
      <c r="AE671" s="168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50"/>
      <c r="AU671" s="50"/>
      <c r="AV671" s="50"/>
      <c r="AW671" s="50"/>
      <c r="AX671" s="50"/>
      <c r="AY671" s="50"/>
      <c r="AZ671" s="50"/>
      <c r="BA671" s="50"/>
      <c r="BB671" s="50"/>
      <c r="BC671" s="50"/>
      <c r="BD671" s="50"/>
      <c r="BE671" s="50"/>
      <c r="BF671" s="50"/>
      <c r="BG671" s="50"/>
      <c r="BH671" s="50"/>
      <c r="BI671" s="50"/>
      <c r="BJ671" s="50"/>
      <c r="BK671" s="50"/>
      <c r="BL671" s="50"/>
      <c r="BM671" s="50"/>
      <c r="BN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168"/>
      <c r="Z672" s="50"/>
      <c r="AA672" s="50"/>
      <c r="AB672" s="50"/>
      <c r="AC672" s="168"/>
      <c r="AD672" s="168"/>
      <c r="AE672" s="168"/>
      <c r="AF672" s="50"/>
      <c r="AG672" s="50"/>
      <c r="AH672" s="50"/>
      <c r="AI672" s="50"/>
      <c r="AJ672" s="50"/>
      <c r="AK672" s="50"/>
      <c r="AL672" s="50"/>
      <c r="AM672" s="50"/>
      <c r="AN672" s="50"/>
      <c r="AO672" s="50"/>
      <c r="AP672" s="50"/>
      <c r="AQ672" s="50"/>
      <c r="AR672" s="50"/>
      <c r="AS672" s="50"/>
      <c r="AT672" s="50"/>
      <c r="AU672" s="50"/>
      <c r="AV672" s="50"/>
      <c r="AW672" s="50"/>
      <c r="AX672" s="50"/>
      <c r="AY672" s="50"/>
      <c r="AZ672" s="50"/>
      <c r="BA672" s="50"/>
      <c r="BB672" s="50"/>
      <c r="BC672" s="50"/>
      <c r="BD672" s="50"/>
      <c r="BE672" s="50"/>
      <c r="BF672" s="50"/>
      <c r="BG672" s="50"/>
      <c r="BH672" s="50"/>
      <c r="BI672" s="50"/>
      <c r="BJ672" s="50"/>
      <c r="BK672" s="50"/>
      <c r="BL672" s="50"/>
      <c r="BM672" s="50"/>
      <c r="BN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168"/>
      <c r="Z673" s="50"/>
      <c r="AA673" s="50"/>
      <c r="AB673" s="50"/>
      <c r="AC673" s="168"/>
      <c r="AD673" s="168"/>
      <c r="AE673" s="168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  <c r="AV673" s="50"/>
      <c r="AW673" s="50"/>
      <c r="AX673" s="50"/>
      <c r="AY673" s="50"/>
      <c r="AZ673" s="50"/>
      <c r="BA673" s="50"/>
      <c r="BB673" s="50"/>
      <c r="BC673" s="50"/>
      <c r="BD673" s="50"/>
      <c r="BE673" s="50"/>
      <c r="BF673" s="50"/>
      <c r="BG673" s="50"/>
      <c r="BH673" s="50"/>
      <c r="BI673" s="50"/>
      <c r="BJ673" s="50"/>
      <c r="BK673" s="50"/>
      <c r="BL673" s="50"/>
      <c r="BM673" s="50"/>
      <c r="BN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168"/>
      <c r="Z674" s="50"/>
      <c r="AA674" s="50"/>
      <c r="AB674" s="50"/>
      <c r="AC674" s="168"/>
      <c r="AD674" s="168"/>
      <c r="AE674" s="168"/>
      <c r="AF674" s="50"/>
      <c r="AG674" s="50"/>
      <c r="AH674" s="50"/>
      <c r="AI674" s="50"/>
      <c r="AJ674" s="50"/>
      <c r="AK674" s="50"/>
      <c r="AL674" s="50"/>
      <c r="AM674" s="50"/>
      <c r="AN674" s="50"/>
      <c r="AO674" s="50"/>
      <c r="AP674" s="50"/>
      <c r="AQ674" s="50"/>
      <c r="AR674" s="50"/>
      <c r="AS674" s="50"/>
      <c r="AT674" s="50"/>
      <c r="AU674" s="50"/>
      <c r="AV674" s="50"/>
      <c r="AW674" s="50"/>
      <c r="AX674" s="50"/>
      <c r="AY674" s="50"/>
      <c r="AZ674" s="50"/>
      <c r="BA674" s="50"/>
      <c r="BB674" s="50"/>
      <c r="BC674" s="50"/>
      <c r="BD674" s="50"/>
      <c r="BE674" s="50"/>
      <c r="BF674" s="50"/>
      <c r="BG674" s="50"/>
      <c r="BH674" s="50"/>
      <c r="BI674" s="50"/>
      <c r="BJ674" s="50"/>
      <c r="BK674" s="50"/>
      <c r="BL674" s="50"/>
      <c r="BM674" s="50"/>
      <c r="BN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168"/>
      <c r="Z675" s="50"/>
      <c r="AA675" s="50"/>
      <c r="AB675" s="50"/>
      <c r="AC675" s="168"/>
      <c r="AD675" s="168"/>
      <c r="AE675" s="168"/>
      <c r="AF675" s="50"/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50"/>
      <c r="AU675" s="50"/>
      <c r="AV675" s="50"/>
      <c r="AW675" s="50"/>
      <c r="AX675" s="50"/>
      <c r="AY675" s="50"/>
      <c r="AZ675" s="50"/>
      <c r="BA675" s="50"/>
      <c r="BB675" s="50"/>
      <c r="BC675" s="50"/>
      <c r="BD675" s="50"/>
      <c r="BE675" s="50"/>
      <c r="BF675" s="50"/>
      <c r="BG675" s="50"/>
      <c r="BH675" s="50"/>
      <c r="BI675" s="50"/>
      <c r="BJ675" s="50"/>
      <c r="BK675" s="50"/>
      <c r="BL675" s="50"/>
      <c r="BM675" s="50"/>
      <c r="BN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168"/>
      <c r="Z676" s="50"/>
      <c r="AA676" s="50"/>
      <c r="AB676" s="50"/>
      <c r="AC676" s="168"/>
      <c r="AD676" s="168"/>
      <c r="AE676" s="168"/>
      <c r="AF676" s="50"/>
      <c r="AG676" s="50"/>
      <c r="AH676" s="50"/>
      <c r="AI676" s="50"/>
      <c r="AJ676" s="50"/>
      <c r="AK676" s="50"/>
      <c r="AL676" s="50"/>
      <c r="AM676" s="50"/>
      <c r="AN676" s="50"/>
      <c r="AO676" s="50"/>
      <c r="AP676" s="50"/>
      <c r="AQ676" s="50"/>
      <c r="AR676" s="50"/>
      <c r="AS676" s="50"/>
      <c r="AT676" s="50"/>
      <c r="AU676" s="50"/>
      <c r="AV676" s="50"/>
      <c r="AW676" s="50"/>
      <c r="AX676" s="50"/>
      <c r="AY676" s="50"/>
      <c r="AZ676" s="50"/>
      <c r="BA676" s="50"/>
      <c r="BB676" s="50"/>
      <c r="BC676" s="50"/>
      <c r="BD676" s="50"/>
      <c r="BE676" s="50"/>
      <c r="BF676" s="50"/>
      <c r="BG676" s="50"/>
      <c r="BH676" s="50"/>
      <c r="BI676" s="50"/>
      <c r="BJ676" s="50"/>
      <c r="BK676" s="50"/>
      <c r="BL676" s="50"/>
      <c r="BM676" s="50"/>
      <c r="BN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168"/>
      <c r="Z677" s="50"/>
      <c r="AA677" s="50"/>
      <c r="AB677" s="50"/>
      <c r="AC677" s="168"/>
      <c r="AD677" s="168"/>
      <c r="AE677" s="168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/>
      <c r="BD677" s="50"/>
      <c r="BE677" s="50"/>
      <c r="BF677" s="50"/>
      <c r="BG677" s="50"/>
      <c r="BH677" s="50"/>
      <c r="BI677" s="50"/>
      <c r="BJ677" s="50"/>
      <c r="BK677" s="50"/>
      <c r="BL677" s="50"/>
      <c r="BM677" s="50"/>
      <c r="BN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168"/>
      <c r="Z678" s="50"/>
      <c r="AA678" s="50"/>
      <c r="AB678" s="50"/>
      <c r="AC678" s="168"/>
      <c r="AD678" s="168"/>
      <c r="AE678" s="168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/>
      <c r="AR678" s="50"/>
      <c r="AS678" s="50"/>
      <c r="AT678" s="50"/>
      <c r="AU678" s="50"/>
      <c r="AV678" s="50"/>
      <c r="AW678" s="50"/>
      <c r="AX678" s="50"/>
      <c r="AY678" s="50"/>
      <c r="AZ678" s="50"/>
      <c r="BA678" s="50"/>
      <c r="BB678" s="50"/>
      <c r="BC678" s="50"/>
      <c r="BD678" s="50"/>
      <c r="BE678" s="50"/>
      <c r="BF678" s="50"/>
      <c r="BG678" s="50"/>
      <c r="BH678" s="50"/>
      <c r="BI678" s="50"/>
      <c r="BJ678" s="50"/>
      <c r="BK678" s="50"/>
      <c r="BL678" s="50"/>
      <c r="BM678" s="50"/>
      <c r="BN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168"/>
      <c r="Z679" s="50"/>
      <c r="AA679" s="50"/>
      <c r="AB679" s="50"/>
      <c r="AC679" s="168"/>
      <c r="AD679" s="168"/>
      <c r="AE679" s="168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0"/>
      <c r="BC679" s="50"/>
      <c r="BD679" s="50"/>
      <c r="BE679" s="50"/>
      <c r="BF679" s="50"/>
      <c r="BG679" s="50"/>
      <c r="BH679" s="50"/>
      <c r="BI679" s="50"/>
      <c r="BJ679" s="50"/>
      <c r="BK679" s="50"/>
      <c r="BL679" s="50"/>
      <c r="BM679" s="50"/>
      <c r="BN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168"/>
      <c r="Z680" s="50"/>
      <c r="AA680" s="50"/>
      <c r="AB680" s="50"/>
      <c r="AC680" s="168"/>
      <c r="AD680" s="168"/>
      <c r="AE680" s="168"/>
      <c r="AF680" s="50"/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/>
      <c r="AW680" s="50"/>
      <c r="AX680" s="50"/>
      <c r="AY680" s="50"/>
      <c r="AZ680" s="50"/>
      <c r="BA680" s="50"/>
      <c r="BB680" s="50"/>
      <c r="BC680" s="50"/>
      <c r="BD680" s="50"/>
      <c r="BE680" s="50"/>
      <c r="BF680" s="50"/>
      <c r="BG680" s="50"/>
      <c r="BH680" s="50"/>
      <c r="BI680" s="50"/>
      <c r="BJ680" s="50"/>
      <c r="BK680" s="50"/>
      <c r="BL680" s="50"/>
      <c r="BM680" s="50"/>
      <c r="BN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168"/>
      <c r="Z681" s="50"/>
      <c r="AA681" s="50"/>
      <c r="AB681" s="50"/>
      <c r="AC681" s="168"/>
      <c r="AD681" s="168"/>
      <c r="AE681" s="168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  <c r="AV681" s="50"/>
      <c r="AW681" s="50"/>
      <c r="AX681" s="50"/>
      <c r="AY681" s="50"/>
      <c r="AZ681" s="50"/>
      <c r="BA681" s="50"/>
      <c r="BB681" s="50"/>
      <c r="BC681" s="50"/>
      <c r="BD681" s="50"/>
      <c r="BE681" s="50"/>
      <c r="BF681" s="50"/>
      <c r="BG681" s="50"/>
      <c r="BH681" s="50"/>
      <c r="BI681" s="50"/>
      <c r="BJ681" s="50"/>
      <c r="BK681" s="50"/>
      <c r="BL681" s="50"/>
      <c r="BM681" s="50"/>
      <c r="BN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168"/>
      <c r="Z682" s="50"/>
      <c r="AA682" s="50"/>
      <c r="AB682" s="50"/>
      <c r="AC682" s="168"/>
      <c r="AD682" s="168"/>
      <c r="AE682" s="168"/>
      <c r="AF682" s="50"/>
      <c r="AG682" s="50"/>
      <c r="AH682" s="50"/>
      <c r="AI682" s="50"/>
      <c r="AJ682" s="50"/>
      <c r="AK682" s="50"/>
      <c r="AL682" s="50"/>
      <c r="AM682" s="50"/>
      <c r="AN682" s="50"/>
      <c r="AO682" s="50"/>
      <c r="AP682" s="50"/>
      <c r="AQ682" s="50"/>
      <c r="AR682" s="50"/>
      <c r="AS682" s="50"/>
      <c r="AT682" s="50"/>
      <c r="AU682" s="50"/>
      <c r="AV682" s="50"/>
      <c r="AW682" s="50"/>
      <c r="AX682" s="50"/>
      <c r="AY682" s="50"/>
      <c r="AZ682" s="50"/>
      <c r="BA682" s="50"/>
      <c r="BB682" s="50"/>
      <c r="BC682" s="50"/>
      <c r="BD682" s="50"/>
      <c r="BE682" s="50"/>
      <c r="BF682" s="50"/>
      <c r="BG682" s="50"/>
      <c r="BH682" s="50"/>
      <c r="BI682" s="50"/>
      <c r="BJ682" s="50"/>
      <c r="BK682" s="50"/>
      <c r="BL682" s="50"/>
      <c r="BM682" s="50"/>
      <c r="BN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168"/>
      <c r="Z683" s="50"/>
      <c r="AA683" s="50"/>
      <c r="AB683" s="50"/>
      <c r="AC683" s="168"/>
      <c r="AD683" s="168"/>
      <c r="AE683" s="168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50"/>
      <c r="AU683" s="50"/>
      <c r="AV683" s="50"/>
      <c r="AW683" s="50"/>
      <c r="AX683" s="50"/>
      <c r="AY683" s="50"/>
      <c r="AZ683" s="50"/>
      <c r="BA683" s="50"/>
      <c r="BB683" s="50"/>
      <c r="BC683" s="50"/>
      <c r="BD683" s="50"/>
      <c r="BE683" s="50"/>
      <c r="BF683" s="50"/>
      <c r="BG683" s="50"/>
      <c r="BH683" s="50"/>
      <c r="BI683" s="50"/>
      <c r="BJ683" s="50"/>
      <c r="BK683" s="50"/>
      <c r="BL683" s="50"/>
      <c r="BM683" s="50"/>
      <c r="BN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168"/>
      <c r="Z684" s="50"/>
      <c r="AA684" s="50"/>
      <c r="AB684" s="50"/>
      <c r="AC684" s="168"/>
      <c r="AD684" s="168"/>
      <c r="AE684" s="168"/>
      <c r="AF684" s="50"/>
      <c r="AG684" s="50"/>
      <c r="AH684" s="50"/>
      <c r="AI684" s="50"/>
      <c r="AJ684" s="50"/>
      <c r="AK684" s="50"/>
      <c r="AL684" s="50"/>
      <c r="AM684" s="50"/>
      <c r="AN684" s="50"/>
      <c r="AO684" s="50"/>
      <c r="AP684" s="50"/>
      <c r="AQ684" s="50"/>
      <c r="AR684" s="50"/>
      <c r="AS684" s="50"/>
      <c r="AT684" s="50"/>
      <c r="AU684" s="50"/>
      <c r="AV684" s="50"/>
      <c r="AW684" s="50"/>
      <c r="AX684" s="50"/>
      <c r="AY684" s="50"/>
      <c r="AZ684" s="50"/>
      <c r="BA684" s="50"/>
      <c r="BB684" s="50"/>
      <c r="BC684" s="50"/>
      <c r="BD684" s="50"/>
      <c r="BE684" s="50"/>
      <c r="BF684" s="50"/>
      <c r="BG684" s="50"/>
      <c r="BH684" s="50"/>
      <c r="BI684" s="50"/>
      <c r="BJ684" s="50"/>
      <c r="BK684" s="50"/>
      <c r="BL684" s="50"/>
      <c r="BM684" s="50"/>
      <c r="BN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168"/>
      <c r="Z685" s="50"/>
      <c r="AA685" s="50"/>
      <c r="AB685" s="50"/>
      <c r="AC685" s="168"/>
      <c r="AD685" s="168"/>
      <c r="AE685" s="168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  <c r="AV685" s="50"/>
      <c r="AW685" s="50"/>
      <c r="AX685" s="50"/>
      <c r="AY685" s="50"/>
      <c r="AZ685" s="50"/>
      <c r="BA685" s="50"/>
      <c r="BB685" s="50"/>
      <c r="BC685" s="50"/>
      <c r="BD685" s="50"/>
      <c r="BE685" s="50"/>
      <c r="BF685" s="50"/>
      <c r="BG685" s="50"/>
      <c r="BH685" s="50"/>
      <c r="BI685" s="50"/>
      <c r="BJ685" s="50"/>
      <c r="BK685" s="50"/>
      <c r="BL685" s="50"/>
      <c r="BM685" s="50"/>
      <c r="BN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168"/>
      <c r="Z686" s="50"/>
      <c r="AA686" s="50"/>
      <c r="AB686" s="50"/>
      <c r="AC686" s="168"/>
      <c r="AD686" s="168"/>
      <c r="AE686" s="168"/>
      <c r="AF686" s="50"/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0"/>
      <c r="BE686" s="50"/>
      <c r="BF686" s="50"/>
      <c r="BG686" s="50"/>
      <c r="BH686" s="50"/>
      <c r="BI686" s="50"/>
      <c r="BJ686" s="50"/>
      <c r="BK686" s="50"/>
      <c r="BL686" s="50"/>
      <c r="BM686" s="50"/>
      <c r="BN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168"/>
      <c r="Z687" s="50"/>
      <c r="AA687" s="50"/>
      <c r="AB687" s="50"/>
      <c r="AC687" s="168"/>
      <c r="AD687" s="168"/>
      <c r="AE687" s="168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50"/>
      <c r="AU687" s="50"/>
      <c r="AV687" s="50"/>
      <c r="AW687" s="50"/>
      <c r="AX687" s="50"/>
      <c r="AY687" s="50"/>
      <c r="AZ687" s="50"/>
      <c r="BA687" s="50"/>
      <c r="BB687" s="50"/>
      <c r="BC687" s="50"/>
      <c r="BD687" s="50"/>
      <c r="BE687" s="50"/>
      <c r="BF687" s="50"/>
      <c r="BG687" s="50"/>
      <c r="BH687" s="50"/>
      <c r="BI687" s="50"/>
      <c r="BJ687" s="50"/>
      <c r="BK687" s="50"/>
      <c r="BL687" s="50"/>
      <c r="BM687" s="50"/>
      <c r="BN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168"/>
      <c r="Z688" s="50"/>
      <c r="AA688" s="50"/>
      <c r="AB688" s="50"/>
      <c r="AC688" s="168"/>
      <c r="AD688" s="168"/>
      <c r="AE688" s="168"/>
      <c r="AF688" s="50"/>
      <c r="AG688" s="50"/>
      <c r="AH688" s="50"/>
      <c r="AI688" s="50"/>
      <c r="AJ688" s="50"/>
      <c r="AK688" s="50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  <c r="AV688" s="50"/>
      <c r="AW688" s="50"/>
      <c r="AX688" s="50"/>
      <c r="AY688" s="50"/>
      <c r="AZ688" s="50"/>
      <c r="BA688" s="50"/>
      <c r="BB688" s="50"/>
      <c r="BC688" s="50"/>
      <c r="BD688" s="50"/>
      <c r="BE688" s="50"/>
      <c r="BF688" s="50"/>
      <c r="BG688" s="50"/>
      <c r="BH688" s="50"/>
      <c r="BI688" s="50"/>
      <c r="BJ688" s="50"/>
      <c r="BK688" s="50"/>
      <c r="BL688" s="50"/>
      <c r="BM688" s="50"/>
      <c r="BN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168"/>
      <c r="Z689" s="50"/>
      <c r="AA689" s="50"/>
      <c r="AB689" s="50"/>
      <c r="AC689" s="168"/>
      <c r="AD689" s="168"/>
      <c r="AE689" s="168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/>
      <c r="BE689" s="50"/>
      <c r="BF689" s="50"/>
      <c r="BG689" s="50"/>
      <c r="BH689" s="50"/>
      <c r="BI689" s="50"/>
      <c r="BJ689" s="50"/>
      <c r="BK689" s="50"/>
      <c r="BL689" s="50"/>
      <c r="BM689" s="50"/>
      <c r="BN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168"/>
      <c r="Z690" s="50"/>
      <c r="AA690" s="50"/>
      <c r="AB690" s="50"/>
      <c r="AC690" s="168"/>
      <c r="AD690" s="168"/>
      <c r="AE690" s="168"/>
      <c r="AF690" s="50"/>
      <c r="AG690" s="50"/>
      <c r="AH690" s="50"/>
      <c r="AI690" s="50"/>
      <c r="AJ690" s="50"/>
      <c r="AK690" s="50"/>
      <c r="AL690" s="50"/>
      <c r="AM690" s="50"/>
      <c r="AN690" s="50"/>
      <c r="AO690" s="50"/>
      <c r="AP690" s="50"/>
      <c r="AQ690" s="50"/>
      <c r="AR690" s="50"/>
      <c r="AS690" s="50"/>
      <c r="AT690" s="50"/>
      <c r="AU690" s="50"/>
      <c r="AV690" s="50"/>
      <c r="AW690" s="50"/>
      <c r="AX690" s="50"/>
      <c r="AY690" s="50"/>
      <c r="AZ690" s="50"/>
      <c r="BA690" s="50"/>
      <c r="BB690" s="50"/>
      <c r="BC690" s="50"/>
      <c r="BD690" s="50"/>
      <c r="BE690" s="50"/>
      <c r="BF690" s="50"/>
      <c r="BG690" s="50"/>
      <c r="BH690" s="50"/>
      <c r="BI690" s="50"/>
      <c r="BJ690" s="50"/>
      <c r="BK690" s="50"/>
      <c r="BL690" s="50"/>
      <c r="BM690" s="50"/>
      <c r="BN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168"/>
      <c r="Z691" s="50"/>
      <c r="AA691" s="50"/>
      <c r="AB691" s="50"/>
      <c r="AC691" s="168"/>
      <c r="AD691" s="168"/>
      <c r="AE691" s="168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50"/>
      <c r="AU691" s="50"/>
      <c r="AV691" s="50"/>
      <c r="AW691" s="50"/>
      <c r="AX691" s="50"/>
      <c r="AY691" s="50"/>
      <c r="AZ691" s="50"/>
      <c r="BA691" s="50"/>
      <c r="BB691" s="50"/>
      <c r="BC691" s="50"/>
      <c r="BD691" s="50"/>
      <c r="BE691" s="50"/>
      <c r="BF691" s="50"/>
      <c r="BG691" s="50"/>
      <c r="BH691" s="50"/>
      <c r="BI691" s="50"/>
      <c r="BJ691" s="50"/>
      <c r="BK691" s="50"/>
      <c r="BL691" s="50"/>
      <c r="BM691" s="50"/>
      <c r="BN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168"/>
      <c r="Z692" s="50"/>
      <c r="AA692" s="50"/>
      <c r="AB692" s="50"/>
      <c r="AC692" s="168"/>
      <c r="AD692" s="168"/>
      <c r="AE692" s="168"/>
      <c r="AF692" s="50"/>
      <c r="AG692" s="50"/>
      <c r="AH692" s="50"/>
      <c r="AI692" s="50"/>
      <c r="AJ692" s="50"/>
      <c r="AK692" s="50"/>
      <c r="AL692" s="50"/>
      <c r="AM692" s="50"/>
      <c r="AN692" s="50"/>
      <c r="AO692" s="50"/>
      <c r="AP692" s="50"/>
      <c r="AQ692" s="50"/>
      <c r="AR692" s="50"/>
      <c r="AS692" s="50"/>
      <c r="AT692" s="50"/>
      <c r="AU692" s="50"/>
      <c r="AV692" s="50"/>
      <c r="AW692" s="50"/>
      <c r="AX692" s="50"/>
      <c r="AY692" s="50"/>
      <c r="AZ692" s="50"/>
      <c r="BA692" s="50"/>
      <c r="BB692" s="50"/>
      <c r="BC692" s="50"/>
      <c r="BD692" s="50"/>
      <c r="BE692" s="50"/>
      <c r="BF692" s="50"/>
      <c r="BG692" s="50"/>
      <c r="BH692" s="50"/>
      <c r="BI692" s="50"/>
      <c r="BJ692" s="50"/>
      <c r="BK692" s="50"/>
      <c r="BL692" s="50"/>
      <c r="BM692" s="50"/>
      <c r="BN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168"/>
      <c r="Z693" s="50"/>
      <c r="AA693" s="50"/>
      <c r="AB693" s="50"/>
      <c r="AC693" s="168"/>
      <c r="AD693" s="168"/>
      <c r="AE693" s="168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50"/>
      <c r="AU693" s="50"/>
      <c r="AV693" s="50"/>
      <c r="AW693" s="50"/>
      <c r="AX693" s="50"/>
      <c r="AY693" s="50"/>
      <c r="AZ693" s="50"/>
      <c r="BA693" s="50"/>
      <c r="BB693" s="50"/>
      <c r="BC693" s="50"/>
      <c r="BD693" s="50"/>
      <c r="BE693" s="50"/>
      <c r="BF693" s="50"/>
      <c r="BG693" s="50"/>
      <c r="BH693" s="50"/>
      <c r="BI693" s="50"/>
      <c r="BJ693" s="50"/>
      <c r="BK693" s="50"/>
      <c r="BL693" s="50"/>
      <c r="BM693" s="50"/>
      <c r="BN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168"/>
      <c r="Z694" s="50"/>
      <c r="AA694" s="50"/>
      <c r="AB694" s="50"/>
      <c r="AC694" s="168"/>
      <c r="AD694" s="168"/>
      <c r="AE694" s="168"/>
      <c r="AF694" s="50"/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/>
      <c r="AR694" s="50"/>
      <c r="AS694" s="50"/>
      <c r="AT694" s="50"/>
      <c r="AU694" s="50"/>
      <c r="AV694" s="50"/>
      <c r="AW694" s="50"/>
      <c r="AX694" s="50"/>
      <c r="AY694" s="50"/>
      <c r="AZ694" s="50"/>
      <c r="BA694" s="50"/>
      <c r="BB694" s="50"/>
      <c r="BC694" s="50"/>
      <c r="BD694" s="50"/>
      <c r="BE694" s="50"/>
      <c r="BF694" s="50"/>
      <c r="BG694" s="50"/>
      <c r="BH694" s="50"/>
      <c r="BI694" s="50"/>
      <c r="BJ694" s="50"/>
      <c r="BK694" s="50"/>
      <c r="BL694" s="50"/>
      <c r="BM694" s="50"/>
      <c r="BN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168"/>
      <c r="Z695" s="50"/>
      <c r="AA695" s="50"/>
      <c r="AB695" s="50"/>
      <c r="AC695" s="168"/>
      <c r="AD695" s="168"/>
      <c r="AE695" s="168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50"/>
      <c r="AU695" s="50"/>
      <c r="AV695" s="50"/>
      <c r="AW695" s="50"/>
      <c r="AX695" s="50"/>
      <c r="AY695" s="50"/>
      <c r="AZ695" s="50"/>
      <c r="BA695" s="50"/>
      <c r="BB695" s="50"/>
      <c r="BC695" s="50"/>
      <c r="BD695" s="50"/>
      <c r="BE695" s="50"/>
      <c r="BF695" s="50"/>
      <c r="BG695" s="50"/>
      <c r="BH695" s="50"/>
      <c r="BI695" s="50"/>
      <c r="BJ695" s="50"/>
      <c r="BK695" s="50"/>
      <c r="BL695" s="50"/>
      <c r="BM695" s="50"/>
      <c r="BN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168"/>
      <c r="Z696" s="50"/>
      <c r="AA696" s="50"/>
      <c r="AB696" s="50"/>
      <c r="AC696" s="168"/>
      <c r="AD696" s="168"/>
      <c r="AE696" s="168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  <c r="AV696" s="50"/>
      <c r="AW696" s="50"/>
      <c r="AX696" s="50"/>
      <c r="AY696" s="50"/>
      <c r="AZ696" s="50"/>
      <c r="BA696" s="50"/>
      <c r="BB696" s="50"/>
      <c r="BC696" s="50"/>
      <c r="BD696" s="50"/>
      <c r="BE696" s="50"/>
      <c r="BF696" s="50"/>
      <c r="BG696" s="50"/>
      <c r="BH696" s="50"/>
      <c r="BI696" s="50"/>
      <c r="BJ696" s="50"/>
      <c r="BK696" s="50"/>
      <c r="BL696" s="50"/>
      <c r="BM696" s="50"/>
      <c r="BN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168"/>
      <c r="Z697" s="50"/>
      <c r="AA697" s="50"/>
      <c r="AB697" s="50"/>
      <c r="AC697" s="168"/>
      <c r="AD697" s="168"/>
      <c r="AE697" s="168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  <c r="AV697" s="50"/>
      <c r="AW697" s="50"/>
      <c r="AX697" s="50"/>
      <c r="AY697" s="50"/>
      <c r="AZ697" s="50"/>
      <c r="BA697" s="50"/>
      <c r="BB697" s="50"/>
      <c r="BC697" s="50"/>
      <c r="BD697" s="50"/>
      <c r="BE697" s="50"/>
      <c r="BF697" s="50"/>
      <c r="BG697" s="50"/>
      <c r="BH697" s="50"/>
      <c r="BI697" s="50"/>
      <c r="BJ697" s="50"/>
      <c r="BK697" s="50"/>
      <c r="BL697" s="50"/>
      <c r="BM697" s="50"/>
      <c r="BN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168"/>
      <c r="Z698" s="50"/>
      <c r="AA698" s="50"/>
      <c r="AB698" s="50"/>
      <c r="AC698" s="168"/>
      <c r="AD698" s="168"/>
      <c r="AE698" s="168"/>
      <c r="AF698" s="50"/>
      <c r="AG698" s="50"/>
      <c r="AH698" s="50"/>
      <c r="AI698" s="50"/>
      <c r="AJ698" s="50"/>
      <c r="AK698" s="50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  <c r="AV698" s="50"/>
      <c r="AW698" s="50"/>
      <c r="AX698" s="50"/>
      <c r="AY698" s="50"/>
      <c r="AZ698" s="50"/>
      <c r="BA698" s="50"/>
      <c r="BB698" s="50"/>
      <c r="BC698" s="50"/>
      <c r="BD698" s="50"/>
      <c r="BE698" s="50"/>
      <c r="BF698" s="50"/>
      <c r="BG698" s="50"/>
      <c r="BH698" s="50"/>
      <c r="BI698" s="50"/>
      <c r="BJ698" s="50"/>
      <c r="BK698" s="50"/>
      <c r="BL698" s="50"/>
      <c r="BM698" s="50"/>
      <c r="BN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168"/>
      <c r="Z699" s="50"/>
      <c r="AA699" s="50"/>
      <c r="AB699" s="50"/>
      <c r="AC699" s="168"/>
      <c r="AD699" s="168"/>
      <c r="AE699" s="168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0"/>
      <c r="BE699" s="50"/>
      <c r="BF699" s="50"/>
      <c r="BG699" s="50"/>
      <c r="BH699" s="50"/>
      <c r="BI699" s="50"/>
      <c r="BJ699" s="50"/>
      <c r="BK699" s="50"/>
      <c r="BL699" s="50"/>
      <c r="BM699" s="50"/>
      <c r="BN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168"/>
      <c r="Z700" s="50"/>
      <c r="AA700" s="50"/>
      <c r="AB700" s="50"/>
      <c r="AC700" s="168"/>
      <c r="AD700" s="168"/>
      <c r="AE700" s="168"/>
      <c r="AF700" s="50"/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  <c r="AV700" s="50"/>
      <c r="AW700" s="50"/>
      <c r="AX700" s="50"/>
      <c r="AY700" s="50"/>
      <c r="AZ700" s="50"/>
      <c r="BA700" s="50"/>
      <c r="BB700" s="50"/>
      <c r="BC700" s="50"/>
      <c r="BD700" s="50"/>
      <c r="BE700" s="50"/>
      <c r="BF700" s="50"/>
      <c r="BG700" s="50"/>
      <c r="BH700" s="50"/>
      <c r="BI700" s="50"/>
      <c r="BJ700" s="50"/>
      <c r="BK700" s="50"/>
      <c r="BL700" s="50"/>
      <c r="BM700" s="50"/>
      <c r="BN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168"/>
      <c r="Z701" s="50"/>
      <c r="AA701" s="50"/>
      <c r="AB701" s="50"/>
      <c r="AC701" s="168"/>
      <c r="AD701" s="168"/>
      <c r="AE701" s="168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0"/>
      <c r="BE701" s="50"/>
      <c r="BF701" s="50"/>
      <c r="BG701" s="50"/>
      <c r="BH701" s="50"/>
      <c r="BI701" s="50"/>
      <c r="BJ701" s="50"/>
      <c r="BK701" s="50"/>
      <c r="BL701" s="50"/>
      <c r="BM701" s="50"/>
      <c r="BN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168"/>
      <c r="Z702" s="50"/>
      <c r="AA702" s="50"/>
      <c r="AB702" s="50"/>
      <c r="AC702" s="168"/>
      <c r="AD702" s="168"/>
      <c r="AE702" s="168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/>
      <c r="BE702" s="50"/>
      <c r="BF702" s="50"/>
      <c r="BG702" s="50"/>
      <c r="BH702" s="50"/>
      <c r="BI702" s="50"/>
      <c r="BJ702" s="50"/>
      <c r="BK702" s="50"/>
      <c r="BL702" s="50"/>
      <c r="BM702" s="50"/>
      <c r="BN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168"/>
      <c r="Z703" s="50"/>
      <c r="AA703" s="50"/>
      <c r="AB703" s="50"/>
      <c r="AC703" s="168"/>
      <c r="AD703" s="168"/>
      <c r="AE703" s="168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0"/>
      <c r="BE703" s="50"/>
      <c r="BF703" s="50"/>
      <c r="BG703" s="50"/>
      <c r="BH703" s="50"/>
      <c r="BI703" s="50"/>
      <c r="BJ703" s="50"/>
      <c r="BK703" s="50"/>
      <c r="BL703" s="50"/>
      <c r="BM703" s="50"/>
      <c r="BN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168"/>
      <c r="Z704" s="50"/>
      <c r="AA704" s="50"/>
      <c r="AB704" s="50"/>
      <c r="AC704" s="168"/>
      <c r="AD704" s="168"/>
      <c r="AE704" s="168"/>
      <c r="AF704" s="50"/>
      <c r="AG704" s="50"/>
      <c r="AH704" s="50"/>
      <c r="AI704" s="50"/>
      <c r="AJ704" s="50"/>
      <c r="AK704" s="50"/>
      <c r="AL704" s="50"/>
      <c r="AM704" s="50"/>
      <c r="AN704" s="50"/>
      <c r="AO704" s="50"/>
      <c r="AP704" s="50"/>
      <c r="AQ704" s="50"/>
      <c r="AR704" s="50"/>
      <c r="AS704" s="50"/>
      <c r="AT704" s="50"/>
      <c r="AU704" s="50"/>
      <c r="AV704" s="50"/>
      <c r="AW704" s="50"/>
      <c r="AX704" s="50"/>
      <c r="AY704" s="50"/>
      <c r="AZ704" s="50"/>
      <c r="BA704" s="50"/>
      <c r="BB704" s="50"/>
      <c r="BC704" s="50"/>
      <c r="BD704" s="50"/>
      <c r="BE704" s="50"/>
      <c r="BF704" s="50"/>
      <c r="BG704" s="50"/>
      <c r="BH704" s="50"/>
      <c r="BI704" s="50"/>
      <c r="BJ704" s="50"/>
      <c r="BK704" s="50"/>
      <c r="BL704" s="50"/>
      <c r="BM704" s="50"/>
      <c r="BN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168"/>
      <c r="Z705" s="50"/>
      <c r="AA705" s="50"/>
      <c r="AB705" s="50"/>
      <c r="AC705" s="168"/>
      <c r="AD705" s="168"/>
      <c r="AE705" s="168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/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168"/>
      <c r="Z706" s="50"/>
      <c r="AA706" s="50"/>
      <c r="AB706" s="50"/>
      <c r="AC706" s="168"/>
      <c r="AD706" s="168"/>
      <c r="AE706" s="168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/>
      <c r="BE706" s="50"/>
      <c r="BF706" s="50"/>
      <c r="BG706" s="50"/>
      <c r="BH706" s="50"/>
      <c r="BI706" s="50"/>
      <c r="BJ706" s="50"/>
      <c r="BK706" s="50"/>
      <c r="BL706" s="50"/>
      <c r="BM706" s="50"/>
      <c r="BN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168"/>
      <c r="Z707" s="50"/>
      <c r="AA707" s="50"/>
      <c r="AB707" s="50"/>
      <c r="AC707" s="168"/>
      <c r="AD707" s="168"/>
      <c r="AE707" s="168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168"/>
      <c r="Z708" s="50"/>
      <c r="AA708" s="50"/>
      <c r="AB708" s="50"/>
      <c r="AC708" s="168"/>
      <c r="AD708" s="168"/>
      <c r="AE708" s="168"/>
      <c r="AF708" s="50"/>
      <c r="AG708" s="50"/>
      <c r="AH708" s="50"/>
      <c r="AI708" s="50"/>
      <c r="AJ708" s="50"/>
      <c r="AK708" s="50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  <c r="AV708" s="50"/>
      <c r="AW708" s="50"/>
      <c r="AX708" s="50"/>
      <c r="AY708" s="50"/>
      <c r="AZ708" s="50"/>
      <c r="BA708" s="50"/>
      <c r="BB708" s="50"/>
      <c r="BC708" s="50"/>
      <c r="BD708" s="50"/>
      <c r="BE708" s="50"/>
      <c r="BF708" s="50"/>
      <c r="BG708" s="50"/>
      <c r="BH708" s="50"/>
      <c r="BI708" s="50"/>
      <c r="BJ708" s="50"/>
      <c r="BK708" s="50"/>
      <c r="BL708" s="50"/>
      <c r="BM708" s="50"/>
      <c r="BN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168"/>
      <c r="Z709" s="50"/>
      <c r="AA709" s="50"/>
      <c r="AB709" s="50"/>
      <c r="AC709" s="168"/>
      <c r="AD709" s="168"/>
      <c r="AE709" s="168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/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168"/>
      <c r="Z710" s="50"/>
      <c r="AA710" s="50"/>
      <c r="AB710" s="50"/>
      <c r="AC710" s="168"/>
      <c r="AD710" s="168"/>
      <c r="AE710" s="168"/>
      <c r="AF710" s="50"/>
      <c r="AG710" s="50"/>
      <c r="AH710" s="50"/>
      <c r="AI710" s="50"/>
      <c r="AJ710" s="50"/>
      <c r="AK710" s="50"/>
      <c r="AL710" s="50"/>
      <c r="AM710" s="50"/>
      <c r="AN710" s="50"/>
      <c r="AO710" s="50"/>
      <c r="AP710" s="50"/>
      <c r="AQ710" s="50"/>
      <c r="AR710" s="50"/>
      <c r="AS710" s="50"/>
      <c r="AT710" s="50"/>
      <c r="AU710" s="50"/>
      <c r="AV710" s="50"/>
      <c r="AW710" s="50"/>
      <c r="AX710" s="50"/>
      <c r="AY710" s="50"/>
      <c r="AZ710" s="50"/>
      <c r="BA710" s="50"/>
      <c r="BB710" s="50"/>
      <c r="BC710" s="50"/>
      <c r="BD710" s="50"/>
      <c r="BE710" s="50"/>
      <c r="BF710" s="50"/>
      <c r="BG710" s="50"/>
      <c r="BH710" s="50"/>
      <c r="BI710" s="50"/>
      <c r="BJ710" s="50"/>
      <c r="BK710" s="50"/>
      <c r="BL710" s="50"/>
      <c r="BM710" s="50"/>
      <c r="BN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168"/>
      <c r="Z711" s="50"/>
      <c r="AA711" s="50"/>
      <c r="AB711" s="50"/>
      <c r="AC711" s="168"/>
      <c r="AD711" s="168"/>
      <c r="AE711" s="168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50"/>
      <c r="AU711" s="50"/>
      <c r="AV711" s="50"/>
      <c r="AW711" s="50"/>
      <c r="AX711" s="50"/>
      <c r="AY711" s="50"/>
      <c r="AZ711" s="50"/>
      <c r="BA711" s="50"/>
      <c r="BB711" s="50"/>
      <c r="BC711" s="50"/>
      <c r="BD711" s="50"/>
      <c r="BE711" s="50"/>
      <c r="BF711" s="50"/>
      <c r="BG711" s="50"/>
      <c r="BH711" s="50"/>
      <c r="BI711" s="50"/>
      <c r="BJ711" s="50"/>
      <c r="BK711" s="50"/>
      <c r="BL711" s="50"/>
      <c r="BM711" s="50"/>
      <c r="BN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168"/>
      <c r="Z712" s="50"/>
      <c r="AA712" s="50"/>
      <c r="AB712" s="50"/>
      <c r="AC712" s="168"/>
      <c r="AD712" s="168"/>
      <c r="AE712" s="168"/>
      <c r="AF712" s="50"/>
      <c r="AG712" s="50"/>
      <c r="AH712" s="50"/>
      <c r="AI712" s="50"/>
      <c r="AJ712" s="50"/>
      <c r="AK712" s="50"/>
      <c r="AL712" s="50"/>
      <c r="AM712" s="50"/>
      <c r="AN712" s="50"/>
      <c r="AO712" s="50"/>
      <c r="AP712" s="50"/>
      <c r="AQ712" s="50"/>
      <c r="AR712" s="50"/>
      <c r="AS712" s="50"/>
      <c r="AT712" s="50"/>
      <c r="AU712" s="50"/>
      <c r="AV712" s="50"/>
      <c r="AW712" s="50"/>
      <c r="AX712" s="50"/>
      <c r="AY712" s="50"/>
      <c r="AZ712" s="50"/>
      <c r="BA712" s="50"/>
      <c r="BB712" s="50"/>
      <c r="BC712" s="50"/>
      <c r="BD712" s="50"/>
      <c r="BE712" s="50"/>
      <c r="BF712" s="50"/>
      <c r="BG712" s="50"/>
      <c r="BH712" s="50"/>
      <c r="BI712" s="50"/>
      <c r="BJ712" s="50"/>
      <c r="BK712" s="50"/>
      <c r="BL712" s="50"/>
      <c r="BM712" s="50"/>
      <c r="BN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168"/>
      <c r="Z713" s="50"/>
      <c r="AA713" s="50"/>
      <c r="AB713" s="50"/>
      <c r="AC713" s="168"/>
      <c r="AD713" s="168"/>
      <c r="AE713" s="168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/>
      <c r="AW713" s="50"/>
      <c r="AX713" s="50"/>
      <c r="AY713" s="50"/>
      <c r="AZ713" s="50"/>
      <c r="BA713" s="50"/>
      <c r="BB713" s="50"/>
      <c r="BC713" s="50"/>
      <c r="BD713" s="50"/>
      <c r="BE713" s="50"/>
      <c r="BF713" s="50"/>
      <c r="BG713" s="50"/>
      <c r="BH713" s="50"/>
      <c r="BI713" s="50"/>
      <c r="BJ713" s="50"/>
      <c r="BK713" s="50"/>
      <c r="BL713" s="50"/>
      <c r="BM713" s="50"/>
      <c r="BN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168"/>
      <c r="Z714" s="50"/>
      <c r="AA714" s="50"/>
      <c r="AB714" s="50"/>
      <c r="AC714" s="168"/>
      <c r="AD714" s="168"/>
      <c r="AE714" s="168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/>
      <c r="BE714" s="50"/>
      <c r="BF714" s="50"/>
      <c r="BG714" s="50"/>
      <c r="BH714" s="50"/>
      <c r="BI714" s="50"/>
      <c r="BJ714" s="50"/>
      <c r="BK714" s="50"/>
      <c r="BL714" s="50"/>
      <c r="BM714" s="50"/>
      <c r="BN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168"/>
      <c r="Z715" s="50"/>
      <c r="AA715" s="50"/>
      <c r="AB715" s="50"/>
      <c r="AC715" s="168"/>
      <c r="AD715" s="168"/>
      <c r="AE715" s="168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50"/>
      <c r="AU715" s="50"/>
      <c r="AV715" s="50"/>
      <c r="AW715" s="50"/>
      <c r="AX715" s="50"/>
      <c r="AY715" s="50"/>
      <c r="AZ715" s="50"/>
      <c r="BA715" s="50"/>
      <c r="BB715" s="50"/>
      <c r="BC715" s="50"/>
      <c r="BD715" s="50"/>
      <c r="BE715" s="50"/>
      <c r="BF715" s="50"/>
      <c r="BG715" s="50"/>
      <c r="BH715" s="50"/>
      <c r="BI715" s="50"/>
      <c r="BJ715" s="50"/>
      <c r="BK715" s="50"/>
      <c r="BL715" s="50"/>
      <c r="BM715" s="50"/>
      <c r="BN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168"/>
      <c r="Z716" s="50"/>
      <c r="AA716" s="50"/>
      <c r="AB716" s="50"/>
      <c r="AC716" s="168"/>
      <c r="AD716" s="168"/>
      <c r="AE716" s="168"/>
      <c r="AF716" s="50"/>
      <c r="AG716" s="50"/>
      <c r="AH716" s="50"/>
      <c r="AI716" s="50"/>
      <c r="AJ716" s="50"/>
      <c r="AK716" s="50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0"/>
      <c r="BE716" s="50"/>
      <c r="BF716" s="50"/>
      <c r="BG716" s="50"/>
      <c r="BH716" s="50"/>
      <c r="BI716" s="50"/>
      <c r="BJ716" s="50"/>
      <c r="BK716" s="50"/>
      <c r="BL716" s="50"/>
      <c r="BM716" s="50"/>
      <c r="BN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168"/>
      <c r="Z717" s="50"/>
      <c r="AA717" s="50"/>
      <c r="AB717" s="50"/>
      <c r="AC717" s="168"/>
      <c r="AD717" s="168"/>
      <c r="AE717" s="168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  <c r="AV717" s="50"/>
      <c r="AW717" s="50"/>
      <c r="AX717" s="50"/>
      <c r="AY717" s="50"/>
      <c r="AZ717" s="50"/>
      <c r="BA717" s="50"/>
      <c r="BB717" s="50"/>
      <c r="BC717" s="50"/>
      <c r="BD717" s="50"/>
      <c r="BE717" s="50"/>
      <c r="BF717" s="50"/>
      <c r="BG717" s="50"/>
      <c r="BH717" s="50"/>
      <c r="BI717" s="50"/>
      <c r="BJ717" s="50"/>
      <c r="BK717" s="50"/>
      <c r="BL717" s="50"/>
      <c r="BM717" s="50"/>
      <c r="BN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168"/>
      <c r="Z718" s="50"/>
      <c r="AA718" s="50"/>
      <c r="AB718" s="50"/>
      <c r="AC718" s="168"/>
      <c r="AD718" s="168"/>
      <c r="AE718" s="168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/>
      <c r="BE718" s="50"/>
      <c r="BF718" s="50"/>
      <c r="BG718" s="50"/>
      <c r="BH718" s="50"/>
      <c r="BI718" s="50"/>
      <c r="BJ718" s="50"/>
      <c r="BK718" s="50"/>
      <c r="BL718" s="50"/>
      <c r="BM718" s="50"/>
      <c r="BN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168"/>
      <c r="Z719" s="50"/>
      <c r="AA719" s="50"/>
      <c r="AB719" s="50"/>
      <c r="AC719" s="168"/>
      <c r="AD719" s="168"/>
      <c r="AE719" s="168"/>
      <c r="AF719" s="50"/>
      <c r="AG719" s="50"/>
      <c r="AH719" s="50"/>
      <c r="AI719" s="50"/>
      <c r="AJ719" s="50"/>
      <c r="AK719" s="50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0"/>
      <c r="BE719" s="50"/>
      <c r="BF719" s="50"/>
      <c r="BG719" s="50"/>
      <c r="BH719" s="50"/>
      <c r="BI719" s="50"/>
      <c r="BJ719" s="50"/>
      <c r="BK719" s="50"/>
      <c r="BL719" s="50"/>
      <c r="BM719" s="50"/>
      <c r="BN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168"/>
      <c r="Z720" s="50"/>
      <c r="AA720" s="50"/>
      <c r="AB720" s="50"/>
      <c r="AC720" s="168"/>
      <c r="AD720" s="168"/>
      <c r="AE720" s="168"/>
      <c r="AF720" s="50"/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0"/>
      <c r="BE720" s="50"/>
      <c r="BF720" s="50"/>
      <c r="BG720" s="50"/>
      <c r="BH720" s="50"/>
      <c r="BI720" s="50"/>
      <c r="BJ720" s="50"/>
      <c r="BK720" s="50"/>
      <c r="BL720" s="50"/>
      <c r="BM720" s="50"/>
      <c r="BN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168"/>
      <c r="Z721" s="50"/>
      <c r="AA721" s="50"/>
      <c r="AB721" s="50"/>
      <c r="AC721" s="168"/>
      <c r="AD721" s="168"/>
      <c r="AE721" s="168"/>
      <c r="AF721" s="50"/>
      <c r="AG721" s="50"/>
      <c r="AH721" s="50"/>
      <c r="AI721" s="50"/>
      <c r="AJ721" s="50"/>
      <c r="AK721" s="50"/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0"/>
      <c r="BE721" s="50"/>
      <c r="BF721" s="50"/>
      <c r="BG721" s="50"/>
      <c r="BH721" s="50"/>
      <c r="BI721" s="50"/>
      <c r="BJ721" s="50"/>
      <c r="BK721" s="50"/>
      <c r="BL721" s="50"/>
      <c r="BM721" s="50"/>
      <c r="BN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168"/>
      <c r="Z722" s="50"/>
      <c r="AA722" s="50"/>
      <c r="AB722" s="50"/>
      <c r="AC722" s="168"/>
      <c r="AD722" s="168"/>
      <c r="AE722" s="168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0"/>
      <c r="BF722" s="50"/>
      <c r="BG722" s="50"/>
      <c r="BH722" s="50"/>
      <c r="BI722" s="50"/>
      <c r="BJ722" s="50"/>
      <c r="BK722" s="50"/>
      <c r="BL722" s="50"/>
      <c r="BM722" s="50"/>
      <c r="BN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168"/>
      <c r="Z723" s="50"/>
      <c r="AA723" s="50"/>
      <c r="AB723" s="50"/>
      <c r="AC723" s="168"/>
      <c r="AD723" s="168"/>
      <c r="AE723" s="168"/>
      <c r="AF723" s="50"/>
      <c r="AG723" s="50"/>
      <c r="AH723" s="50"/>
      <c r="AI723" s="50"/>
      <c r="AJ723" s="50"/>
      <c r="AK723" s="50"/>
      <c r="AL723" s="50"/>
      <c r="AM723" s="50"/>
      <c r="AN723" s="50"/>
      <c r="AO723" s="50"/>
      <c r="AP723" s="50"/>
      <c r="AQ723" s="50"/>
      <c r="AR723" s="50"/>
      <c r="AS723" s="50"/>
      <c r="AT723" s="50"/>
      <c r="AU723" s="50"/>
      <c r="AV723" s="50"/>
      <c r="AW723" s="50"/>
      <c r="AX723" s="50"/>
      <c r="AY723" s="50"/>
      <c r="AZ723" s="50"/>
      <c r="BA723" s="50"/>
      <c r="BB723" s="50"/>
      <c r="BC723" s="50"/>
      <c r="BD723" s="50"/>
      <c r="BE723" s="50"/>
      <c r="BF723" s="50"/>
      <c r="BG723" s="50"/>
      <c r="BH723" s="50"/>
      <c r="BI723" s="50"/>
      <c r="BJ723" s="50"/>
      <c r="BK723" s="50"/>
      <c r="BL723" s="50"/>
      <c r="BM723" s="50"/>
      <c r="BN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168"/>
      <c r="Z724" s="50"/>
      <c r="AA724" s="50"/>
      <c r="AB724" s="50"/>
      <c r="AC724" s="168"/>
      <c r="AD724" s="168"/>
      <c r="AE724" s="168"/>
      <c r="AF724" s="50"/>
      <c r="AG724" s="50"/>
      <c r="AH724" s="50"/>
      <c r="AI724" s="50"/>
      <c r="AJ724" s="50"/>
      <c r="AK724" s="50"/>
      <c r="AL724" s="50"/>
      <c r="AM724" s="50"/>
      <c r="AN724" s="50"/>
      <c r="AO724" s="50"/>
      <c r="AP724" s="50"/>
      <c r="AQ724" s="50"/>
      <c r="AR724" s="50"/>
      <c r="AS724" s="50"/>
      <c r="AT724" s="50"/>
      <c r="AU724" s="50"/>
      <c r="AV724" s="50"/>
      <c r="AW724" s="50"/>
      <c r="AX724" s="50"/>
      <c r="AY724" s="50"/>
      <c r="AZ724" s="50"/>
      <c r="BA724" s="50"/>
      <c r="BB724" s="50"/>
      <c r="BC724" s="50"/>
      <c r="BD724" s="50"/>
      <c r="BE724" s="50"/>
      <c r="BF724" s="50"/>
      <c r="BG724" s="50"/>
      <c r="BH724" s="50"/>
      <c r="BI724" s="50"/>
      <c r="BJ724" s="50"/>
      <c r="BK724" s="50"/>
      <c r="BL724" s="50"/>
      <c r="BM724" s="50"/>
      <c r="BN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168"/>
      <c r="Z725" s="50"/>
      <c r="AA725" s="50"/>
      <c r="AB725" s="50"/>
      <c r="AC725" s="168"/>
      <c r="AD725" s="168"/>
      <c r="AE725" s="168"/>
      <c r="AF725" s="50"/>
      <c r="AG725" s="50"/>
      <c r="AH725" s="50"/>
      <c r="AI725" s="50"/>
      <c r="AJ725" s="50"/>
      <c r="AK725" s="50"/>
      <c r="AL725" s="50"/>
      <c r="AM725" s="50"/>
      <c r="AN725" s="50"/>
      <c r="AO725" s="50"/>
      <c r="AP725" s="50"/>
      <c r="AQ725" s="50"/>
      <c r="AR725" s="50"/>
      <c r="AS725" s="50"/>
      <c r="AT725" s="50"/>
      <c r="AU725" s="50"/>
      <c r="AV725" s="50"/>
      <c r="AW725" s="50"/>
      <c r="AX725" s="50"/>
      <c r="AY725" s="50"/>
      <c r="AZ725" s="50"/>
      <c r="BA725" s="50"/>
      <c r="BB725" s="50"/>
      <c r="BC725" s="50"/>
      <c r="BD725" s="50"/>
      <c r="BE725" s="50"/>
      <c r="BF725" s="50"/>
      <c r="BG725" s="50"/>
      <c r="BH725" s="50"/>
      <c r="BI725" s="50"/>
      <c r="BJ725" s="50"/>
      <c r="BK725" s="50"/>
      <c r="BL725" s="50"/>
      <c r="BM725" s="50"/>
      <c r="BN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168"/>
      <c r="Z726" s="50"/>
      <c r="AA726" s="50"/>
      <c r="AB726" s="50"/>
      <c r="AC726" s="168"/>
      <c r="AD726" s="168"/>
      <c r="AE726" s="168"/>
      <c r="AF726" s="50"/>
      <c r="AG726" s="50"/>
      <c r="AH726" s="50"/>
      <c r="AI726" s="50"/>
      <c r="AJ726" s="50"/>
      <c r="AK726" s="50"/>
      <c r="AL726" s="50"/>
      <c r="AM726" s="50"/>
      <c r="AN726" s="50"/>
      <c r="AO726" s="50"/>
      <c r="AP726" s="50"/>
      <c r="AQ726" s="50"/>
      <c r="AR726" s="50"/>
      <c r="AS726" s="50"/>
      <c r="AT726" s="50"/>
      <c r="AU726" s="50"/>
      <c r="AV726" s="50"/>
      <c r="AW726" s="50"/>
      <c r="AX726" s="50"/>
      <c r="AY726" s="50"/>
      <c r="AZ726" s="50"/>
      <c r="BA726" s="50"/>
      <c r="BB726" s="50"/>
      <c r="BC726" s="50"/>
      <c r="BD726" s="50"/>
      <c r="BE726" s="50"/>
      <c r="BF726" s="50"/>
      <c r="BG726" s="50"/>
      <c r="BH726" s="50"/>
      <c r="BI726" s="50"/>
      <c r="BJ726" s="50"/>
      <c r="BK726" s="50"/>
      <c r="BL726" s="50"/>
      <c r="BM726" s="50"/>
      <c r="BN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168"/>
      <c r="Z727" s="50"/>
      <c r="AA727" s="50"/>
      <c r="AB727" s="50"/>
      <c r="AC727" s="168"/>
      <c r="AD727" s="168"/>
      <c r="AE727" s="168"/>
      <c r="AF727" s="50"/>
      <c r="AG727" s="50"/>
      <c r="AH727" s="50"/>
      <c r="AI727" s="50"/>
      <c r="AJ727" s="50"/>
      <c r="AK727" s="50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/>
      <c r="AW727" s="50"/>
      <c r="AX727" s="50"/>
      <c r="AY727" s="50"/>
      <c r="AZ727" s="50"/>
      <c r="BA727" s="50"/>
      <c r="BB727" s="50"/>
      <c r="BC727" s="50"/>
      <c r="BD727" s="50"/>
      <c r="BE727" s="50"/>
      <c r="BF727" s="50"/>
      <c r="BG727" s="50"/>
      <c r="BH727" s="50"/>
      <c r="BI727" s="50"/>
      <c r="BJ727" s="50"/>
      <c r="BK727" s="50"/>
      <c r="BL727" s="50"/>
      <c r="BM727" s="50"/>
      <c r="BN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168"/>
      <c r="Z728" s="50"/>
      <c r="AA728" s="50"/>
      <c r="AB728" s="50"/>
      <c r="AC728" s="168"/>
      <c r="AD728" s="168"/>
      <c r="AE728" s="168"/>
      <c r="AF728" s="50"/>
      <c r="AG728" s="50"/>
      <c r="AH728" s="50"/>
      <c r="AI728" s="50"/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/>
      <c r="AW728" s="50"/>
      <c r="AX728" s="50"/>
      <c r="AY728" s="50"/>
      <c r="AZ728" s="50"/>
      <c r="BA728" s="50"/>
      <c r="BB728" s="50"/>
      <c r="BC728" s="50"/>
      <c r="BD728" s="50"/>
      <c r="BE728" s="50"/>
      <c r="BF728" s="50"/>
      <c r="BG728" s="50"/>
      <c r="BH728" s="50"/>
      <c r="BI728" s="50"/>
      <c r="BJ728" s="50"/>
      <c r="BK728" s="50"/>
      <c r="BL728" s="50"/>
      <c r="BM728" s="50"/>
      <c r="BN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168"/>
      <c r="Z729" s="50"/>
      <c r="AA729" s="50"/>
      <c r="AB729" s="50"/>
      <c r="AC729" s="168"/>
      <c r="AD729" s="168"/>
      <c r="AE729" s="168"/>
      <c r="AF729" s="50"/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0"/>
      <c r="BE729" s="50"/>
      <c r="BF729" s="50"/>
      <c r="BG729" s="50"/>
      <c r="BH729" s="50"/>
      <c r="BI729" s="50"/>
      <c r="BJ729" s="50"/>
      <c r="BK729" s="50"/>
      <c r="BL729" s="50"/>
      <c r="BM729" s="50"/>
      <c r="BN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168"/>
      <c r="Z730" s="50"/>
      <c r="AA730" s="50"/>
      <c r="AB730" s="50"/>
      <c r="AC730" s="168"/>
      <c r="AD730" s="168"/>
      <c r="AE730" s="168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50"/>
      <c r="BG730" s="50"/>
      <c r="BH730" s="50"/>
      <c r="BI730" s="50"/>
      <c r="BJ730" s="50"/>
      <c r="BK730" s="50"/>
      <c r="BL730" s="50"/>
      <c r="BM730" s="50"/>
      <c r="BN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168"/>
      <c r="Z731" s="50"/>
      <c r="AA731" s="50"/>
      <c r="AB731" s="50"/>
      <c r="AC731" s="168"/>
      <c r="AD731" s="168"/>
      <c r="AE731" s="168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  <c r="AV731" s="50"/>
      <c r="AW731" s="50"/>
      <c r="AX731" s="50"/>
      <c r="AY731" s="50"/>
      <c r="AZ731" s="50"/>
      <c r="BA731" s="50"/>
      <c r="BB731" s="50"/>
      <c r="BC731" s="50"/>
      <c r="BD731" s="50"/>
      <c r="BE731" s="50"/>
      <c r="BF731" s="50"/>
      <c r="BG731" s="50"/>
      <c r="BH731" s="50"/>
      <c r="BI731" s="50"/>
      <c r="BJ731" s="50"/>
      <c r="BK731" s="50"/>
      <c r="BL731" s="50"/>
      <c r="BM731" s="50"/>
      <c r="BN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168"/>
      <c r="Z732" s="50"/>
      <c r="AA732" s="50"/>
      <c r="AB732" s="50"/>
      <c r="AC732" s="168"/>
      <c r="AD732" s="168"/>
      <c r="AE732" s="168"/>
      <c r="AF732" s="50"/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/>
      <c r="AR732" s="50"/>
      <c r="AS732" s="50"/>
      <c r="AT732" s="50"/>
      <c r="AU732" s="50"/>
      <c r="AV732" s="50"/>
      <c r="AW732" s="50"/>
      <c r="AX732" s="50"/>
      <c r="AY732" s="50"/>
      <c r="AZ732" s="50"/>
      <c r="BA732" s="50"/>
      <c r="BB732" s="50"/>
      <c r="BC732" s="50"/>
      <c r="BD732" s="50"/>
      <c r="BE732" s="50"/>
      <c r="BF732" s="50"/>
      <c r="BG732" s="50"/>
      <c r="BH732" s="50"/>
      <c r="BI732" s="50"/>
      <c r="BJ732" s="50"/>
      <c r="BK732" s="50"/>
      <c r="BL732" s="50"/>
      <c r="BM732" s="50"/>
      <c r="BN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168"/>
      <c r="Z733" s="50"/>
      <c r="AA733" s="50"/>
      <c r="AB733" s="50"/>
      <c r="AC733" s="168"/>
      <c r="AD733" s="168"/>
      <c r="AE733" s="168"/>
      <c r="AF733" s="50"/>
      <c r="AG733" s="50"/>
      <c r="AH733" s="50"/>
      <c r="AI733" s="50"/>
      <c r="AJ733" s="50"/>
      <c r="AK733" s="50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  <c r="AV733" s="50"/>
      <c r="AW733" s="50"/>
      <c r="AX733" s="50"/>
      <c r="AY733" s="50"/>
      <c r="AZ733" s="50"/>
      <c r="BA733" s="50"/>
      <c r="BB733" s="50"/>
      <c r="BC733" s="50"/>
      <c r="BD733" s="50"/>
      <c r="BE733" s="50"/>
      <c r="BF733" s="50"/>
      <c r="BG733" s="50"/>
      <c r="BH733" s="50"/>
      <c r="BI733" s="50"/>
      <c r="BJ733" s="50"/>
      <c r="BK733" s="50"/>
      <c r="BL733" s="50"/>
      <c r="BM733" s="50"/>
      <c r="BN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168"/>
      <c r="Z734" s="50"/>
      <c r="AA734" s="50"/>
      <c r="AB734" s="50"/>
      <c r="AC734" s="168"/>
      <c r="AD734" s="168"/>
      <c r="AE734" s="168"/>
      <c r="AF734" s="50"/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/>
      <c r="AR734" s="50"/>
      <c r="AS734" s="50"/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0"/>
      <c r="BE734" s="50"/>
      <c r="BF734" s="50"/>
      <c r="BG734" s="50"/>
      <c r="BH734" s="50"/>
      <c r="BI734" s="50"/>
      <c r="BJ734" s="50"/>
      <c r="BK734" s="50"/>
      <c r="BL734" s="50"/>
      <c r="BM734" s="50"/>
      <c r="BN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168"/>
      <c r="Z735" s="50"/>
      <c r="AA735" s="50"/>
      <c r="AB735" s="50"/>
      <c r="AC735" s="168"/>
      <c r="AD735" s="168"/>
      <c r="AE735" s="168"/>
      <c r="AF735" s="50"/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50"/>
      <c r="AR735" s="50"/>
      <c r="AS735" s="50"/>
      <c r="AT735" s="50"/>
      <c r="AU735" s="50"/>
      <c r="AV735" s="50"/>
      <c r="AW735" s="50"/>
      <c r="AX735" s="50"/>
      <c r="AY735" s="50"/>
      <c r="AZ735" s="50"/>
      <c r="BA735" s="50"/>
      <c r="BB735" s="50"/>
      <c r="BC735" s="50"/>
      <c r="BD735" s="50"/>
      <c r="BE735" s="50"/>
      <c r="BF735" s="50"/>
      <c r="BG735" s="50"/>
      <c r="BH735" s="50"/>
      <c r="BI735" s="50"/>
      <c r="BJ735" s="50"/>
      <c r="BK735" s="50"/>
      <c r="BL735" s="50"/>
      <c r="BM735" s="50"/>
      <c r="BN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168"/>
      <c r="Z736" s="50"/>
      <c r="AA736" s="50"/>
      <c r="AB736" s="50"/>
      <c r="AC736" s="168"/>
      <c r="AD736" s="168"/>
      <c r="AE736" s="168"/>
      <c r="AF736" s="50"/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/>
      <c r="AW736" s="50"/>
      <c r="AX736" s="50"/>
      <c r="AY736" s="50"/>
      <c r="AZ736" s="50"/>
      <c r="BA736" s="50"/>
      <c r="BB736" s="50"/>
      <c r="BC736" s="50"/>
      <c r="BD736" s="50"/>
      <c r="BE736" s="50"/>
      <c r="BF736" s="50"/>
      <c r="BG736" s="50"/>
      <c r="BH736" s="50"/>
      <c r="BI736" s="50"/>
      <c r="BJ736" s="50"/>
      <c r="BK736" s="50"/>
      <c r="BL736" s="50"/>
      <c r="BM736" s="50"/>
      <c r="BN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168"/>
      <c r="Z737" s="50"/>
      <c r="AA737" s="50"/>
      <c r="AB737" s="50"/>
      <c r="AC737" s="168"/>
      <c r="AD737" s="168"/>
      <c r="AE737" s="168"/>
      <c r="AF737" s="50"/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0"/>
      <c r="BF737" s="50"/>
      <c r="BG737" s="50"/>
      <c r="BH737" s="50"/>
      <c r="BI737" s="50"/>
      <c r="BJ737" s="50"/>
      <c r="BK737" s="50"/>
      <c r="BL737" s="50"/>
      <c r="BM737" s="50"/>
      <c r="BN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168"/>
      <c r="Z738" s="50"/>
      <c r="AA738" s="50"/>
      <c r="AB738" s="50"/>
      <c r="AC738" s="168"/>
      <c r="AD738" s="168"/>
      <c r="AE738" s="168"/>
      <c r="AF738" s="50"/>
      <c r="AG738" s="50"/>
      <c r="AH738" s="50"/>
      <c r="AI738" s="50"/>
      <c r="AJ738" s="50"/>
      <c r="AK738" s="50"/>
      <c r="AL738" s="50"/>
      <c r="AM738" s="50"/>
      <c r="AN738" s="50"/>
      <c r="AO738" s="50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0"/>
      <c r="BE738" s="50"/>
      <c r="BF738" s="50"/>
      <c r="BG738" s="50"/>
      <c r="BH738" s="50"/>
      <c r="BI738" s="50"/>
      <c r="BJ738" s="50"/>
      <c r="BK738" s="50"/>
      <c r="BL738" s="50"/>
      <c r="BM738" s="50"/>
      <c r="BN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168"/>
      <c r="Z739" s="50"/>
      <c r="AA739" s="50"/>
      <c r="AB739" s="50"/>
      <c r="AC739" s="168"/>
      <c r="AD739" s="168"/>
      <c r="AE739" s="168"/>
      <c r="AF739" s="50"/>
      <c r="AG739" s="50"/>
      <c r="AH739" s="50"/>
      <c r="AI739" s="50"/>
      <c r="AJ739" s="50"/>
      <c r="AK739" s="50"/>
      <c r="AL739" s="50"/>
      <c r="AM739" s="50"/>
      <c r="AN739" s="50"/>
      <c r="AO739" s="50"/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/>
      <c r="BE739" s="50"/>
      <c r="BF739" s="50"/>
      <c r="BG739" s="50"/>
      <c r="BH739" s="50"/>
      <c r="BI739" s="50"/>
      <c r="BJ739" s="50"/>
      <c r="BK739" s="50"/>
      <c r="BL739" s="50"/>
      <c r="BM739" s="50"/>
      <c r="BN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168"/>
      <c r="Z740" s="50"/>
      <c r="AA740" s="50"/>
      <c r="AB740" s="50"/>
      <c r="AC740" s="168"/>
      <c r="AD740" s="168"/>
      <c r="AE740" s="168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0"/>
      <c r="BE740" s="50"/>
      <c r="BF740" s="50"/>
      <c r="BG740" s="50"/>
      <c r="BH740" s="50"/>
      <c r="BI740" s="50"/>
      <c r="BJ740" s="50"/>
      <c r="BK740" s="50"/>
      <c r="BL740" s="50"/>
      <c r="BM740" s="50"/>
      <c r="BN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168"/>
      <c r="Z741" s="50"/>
      <c r="AA741" s="50"/>
      <c r="AB741" s="50"/>
      <c r="AC741" s="168"/>
      <c r="AD741" s="168"/>
      <c r="AE741" s="168"/>
      <c r="AF741" s="50"/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/>
      <c r="BE741" s="50"/>
      <c r="BF741" s="50"/>
      <c r="BG741" s="50"/>
      <c r="BH741" s="50"/>
      <c r="BI741" s="50"/>
      <c r="BJ741" s="50"/>
      <c r="BK741" s="50"/>
      <c r="BL741" s="50"/>
      <c r="BM741" s="50"/>
      <c r="BN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168"/>
      <c r="Z742" s="50"/>
      <c r="AA742" s="50"/>
      <c r="AB742" s="50"/>
      <c r="AC742" s="168"/>
      <c r="AD742" s="168"/>
      <c r="AE742" s="168"/>
      <c r="AF742" s="50"/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0"/>
      <c r="BE742" s="50"/>
      <c r="BF742" s="50"/>
      <c r="BG742" s="50"/>
      <c r="BH742" s="50"/>
      <c r="BI742" s="50"/>
      <c r="BJ742" s="50"/>
      <c r="BK742" s="50"/>
      <c r="BL742" s="50"/>
      <c r="BM742" s="50"/>
      <c r="BN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168"/>
      <c r="Z743" s="50"/>
      <c r="AA743" s="50"/>
      <c r="AB743" s="50"/>
      <c r="AC743" s="168"/>
      <c r="AD743" s="168"/>
      <c r="AE743" s="168"/>
      <c r="AF743" s="50"/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0"/>
      <c r="BE743" s="50"/>
      <c r="BF743" s="50"/>
      <c r="BG743" s="50"/>
      <c r="BH743" s="50"/>
      <c r="BI743" s="50"/>
      <c r="BJ743" s="50"/>
      <c r="BK743" s="50"/>
      <c r="BL743" s="50"/>
      <c r="BM743" s="50"/>
      <c r="BN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168"/>
      <c r="Z744" s="50"/>
      <c r="AA744" s="50"/>
      <c r="AB744" s="50"/>
      <c r="AC744" s="168"/>
      <c r="AD744" s="168"/>
      <c r="AE744" s="168"/>
      <c r="AF744" s="50"/>
      <c r="AG744" s="50"/>
      <c r="AH744" s="50"/>
      <c r="AI744" s="50"/>
      <c r="AJ744" s="50"/>
      <c r="AK744" s="50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/>
      <c r="BE744" s="50"/>
      <c r="BF744" s="50"/>
      <c r="BG744" s="50"/>
      <c r="BH744" s="50"/>
      <c r="BI744" s="50"/>
      <c r="BJ744" s="50"/>
      <c r="BK744" s="50"/>
      <c r="BL744" s="50"/>
      <c r="BM744" s="50"/>
      <c r="BN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168"/>
      <c r="Z745" s="50"/>
      <c r="AA745" s="50"/>
      <c r="AB745" s="50"/>
      <c r="AC745" s="168"/>
      <c r="AD745" s="168"/>
      <c r="AE745" s="168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/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168"/>
      <c r="Z746" s="50"/>
      <c r="AA746" s="50"/>
      <c r="AB746" s="50"/>
      <c r="AC746" s="168"/>
      <c r="AD746" s="168"/>
      <c r="AE746" s="168"/>
      <c r="AF746" s="50"/>
      <c r="AG746" s="50"/>
      <c r="AH746" s="50"/>
      <c r="AI746" s="50"/>
      <c r="AJ746" s="50"/>
      <c r="AK746" s="50"/>
      <c r="AL746" s="50"/>
      <c r="AM746" s="50"/>
      <c r="AN746" s="50"/>
      <c r="AO746" s="50"/>
      <c r="AP746" s="50"/>
      <c r="AQ746" s="50"/>
      <c r="AR746" s="50"/>
      <c r="AS746" s="50"/>
      <c r="AT746" s="50"/>
      <c r="AU746" s="50"/>
      <c r="AV746" s="50"/>
      <c r="AW746" s="50"/>
      <c r="AX746" s="50"/>
      <c r="AY746" s="50"/>
      <c r="AZ746" s="50"/>
      <c r="BA746" s="50"/>
      <c r="BB746" s="50"/>
      <c r="BC746" s="50"/>
      <c r="BD746" s="50"/>
      <c r="BE746" s="50"/>
      <c r="BF746" s="50"/>
      <c r="BG746" s="50"/>
      <c r="BH746" s="50"/>
      <c r="BI746" s="50"/>
      <c r="BJ746" s="50"/>
      <c r="BK746" s="50"/>
      <c r="BL746" s="50"/>
      <c r="BM746" s="50"/>
      <c r="BN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168"/>
      <c r="Z747" s="50"/>
      <c r="AA747" s="50"/>
      <c r="AB747" s="50"/>
      <c r="AC747" s="168"/>
      <c r="AD747" s="168"/>
      <c r="AE747" s="168"/>
      <c r="AF747" s="50"/>
      <c r="AG747" s="50"/>
      <c r="AH747" s="50"/>
      <c r="AI747" s="50"/>
      <c r="AJ747" s="50"/>
      <c r="AK747" s="50"/>
      <c r="AL747" s="50"/>
      <c r="AM747" s="50"/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/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168"/>
      <c r="Z748" s="50"/>
      <c r="AA748" s="50"/>
      <c r="AB748" s="50"/>
      <c r="AC748" s="168"/>
      <c r="AD748" s="168"/>
      <c r="AE748" s="168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50"/>
      <c r="AR748" s="50"/>
      <c r="AS748" s="50"/>
      <c r="AT748" s="50"/>
      <c r="AU748" s="50"/>
      <c r="AV748" s="50"/>
      <c r="AW748" s="50"/>
      <c r="AX748" s="50"/>
      <c r="AY748" s="50"/>
      <c r="AZ748" s="50"/>
      <c r="BA748" s="50"/>
      <c r="BB748" s="50"/>
      <c r="BC748" s="50"/>
      <c r="BD748" s="50"/>
      <c r="BE748" s="50"/>
      <c r="BF748" s="50"/>
      <c r="BG748" s="50"/>
      <c r="BH748" s="50"/>
      <c r="BI748" s="50"/>
      <c r="BJ748" s="50"/>
      <c r="BK748" s="50"/>
      <c r="BL748" s="50"/>
      <c r="BM748" s="50"/>
      <c r="BN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168"/>
      <c r="Z749" s="50"/>
      <c r="AA749" s="50"/>
      <c r="AB749" s="50"/>
      <c r="AC749" s="168"/>
      <c r="AD749" s="168"/>
      <c r="AE749" s="168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/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168"/>
      <c r="Z750" s="50"/>
      <c r="AA750" s="50"/>
      <c r="AB750" s="50"/>
      <c r="AC750" s="168"/>
      <c r="AD750" s="168"/>
      <c r="AE750" s="168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50"/>
      <c r="BG750" s="50"/>
      <c r="BH750" s="50"/>
      <c r="BI750" s="50"/>
      <c r="BJ750" s="50"/>
      <c r="BK750" s="50"/>
      <c r="BL750" s="50"/>
      <c r="BM750" s="50"/>
      <c r="BN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168"/>
      <c r="Z751" s="50"/>
      <c r="AA751" s="50"/>
      <c r="AB751" s="50"/>
      <c r="AC751" s="168"/>
      <c r="AD751" s="168"/>
      <c r="AE751" s="168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/>
      <c r="BE751" s="50"/>
      <c r="BF751" s="50"/>
      <c r="BG751" s="50"/>
      <c r="BH751" s="50"/>
      <c r="BI751" s="50"/>
      <c r="BJ751" s="50"/>
      <c r="BK751" s="50"/>
      <c r="BL751" s="50"/>
      <c r="BM751" s="50"/>
      <c r="BN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168"/>
      <c r="Z752" s="50"/>
      <c r="AA752" s="50"/>
      <c r="AB752" s="50"/>
      <c r="AC752" s="168"/>
      <c r="AD752" s="168"/>
      <c r="AE752" s="168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0"/>
      <c r="BE752" s="50"/>
      <c r="BF752" s="50"/>
      <c r="BG752" s="50"/>
      <c r="BH752" s="50"/>
      <c r="BI752" s="50"/>
      <c r="BJ752" s="50"/>
      <c r="BK752" s="50"/>
      <c r="BL752" s="50"/>
      <c r="BM752" s="50"/>
      <c r="BN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168"/>
      <c r="Z753" s="50"/>
      <c r="AA753" s="50"/>
      <c r="AB753" s="50"/>
      <c r="AC753" s="168"/>
      <c r="AD753" s="168"/>
      <c r="AE753" s="168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/>
      <c r="BE753" s="50"/>
      <c r="BF753" s="50"/>
      <c r="BG753" s="50"/>
      <c r="BH753" s="50"/>
      <c r="BI753" s="50"/>
      <c r="BJ753" s="50"/>
      <c r="BK753" s="50"/>
      <c r="BL753" s="50"/>
      <c r="BM753" s="50"/>
      <c r="BN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168"/>
      <c r="Z754" s="50"/>
      <c r="AA754" s="50"/>
      <c r="AB754" s="50"/>
      <c r="AC754" s="168"/>
      <c r="AD754" s="168"/>
      <c r="AE754" s="168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0"/>
      <c r="BE754" s="50"/>
      <c r="BF754" s="50"/>
      <c r="BG754" s="50"/>
      <c r="BH754" s="50"/>
      <c r="BI754" s="50"/>
      <c r="BJ754" s="50"/>
      <c r="BK754" s="50"/>
      <c r="BL754" s="50"/>
      <c r="BM754" s="50"/>
      <c r="BN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168"/>
      <c r="Z755" s="50"/>
      <c r="AA755" s="50"/>
      <c r="AB755" s="50"/>
      <c r="AC755" s="168"/>
      <c r="AD755" s="168"/>
      <c r="AE755" s="168"/>
      <c r="AF755" s="50"/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0"/>
      <c r="BF755" s="50"/>
      <c r="BG755" s="50"/>
      <c r="BH755" s="50"/>
      <c r="BI755" s="50"/>
      <c r="BJ755" s="50"/>
      <c r="BK755" s="50"/>
      <c r="BL755" s="50"/>
      <c r="BM755" s="50"/>
      <c r="BN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168"/>
      <c r="Z756" s="50"/>
      <c r="AA756" s="50"/>
      <c r="AB756" s="50"/>
      <c r="AC756" s="168"/>
      <c r="AD756" s="168"/>
      <c r="AE756" s="168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/>
      <c r="BE756" s="50"/>
      <c r="BF756" s="50"/>
      <c r="BG756" s="50"/>
      <c r="BH756" s="50"/>
      <c r="BI756" s="50"/>
      <c r="BJ756" s="50"/>
      <c r="BK756" s="50"/>
      <c r="BL756" s="50"/>
      <c r="BM756" s="50"/>
      <c r="BN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168"/>
      <c r="Z757" s="50"/>
      <c r="AA757" s="50"/>
      <c r="AB757" s="50"/>
      <c r="AC757" s="168"/>
      <c r="AD757" s="168"/>
      <c r="AE757" s="168"/>
      <c r="AF757" s="50"/>
      <c r="AG757" s="50"/>
      <c r="AH757" s="50"/>
      <c r="AI757" s="50"/>
      <c r="AJ757" s="50"/>
      <c r="AK757" s="50"/>
      <c r="AL757" s="50"/>
      <c r="AM757" s="50"/>
      <c r="AN757" s="50"/>
      <c r="AO757" s="50"/>
      <c r="AP757" s="50"/>
      <c r="AQ757" s="50"/>
      <c r="AR757" s="50"/>
      <c r="AS757" s="50"/>
      <c r="AT757" s="50"/>
      <c r="AU757" s="50"/>
      <c r="AV757" s="50"/>
      <c r="AW757" s="50"/>
      <c r="AX757" s="50"/>
      <c r="AY757" s="50"/>
      <c r="AZ757" s="50"/>
      <c r="BA757" s="50"/>
      <c r="BB757" s="50"/>
      <c r="BC757" s="50"/>
      <c r="BD757" s="50"/>
      <c r="BE757" s="50"/>
      <c r="BF757" s="50"/>
      <c r="BG757" s="50"/>
      <c r="BH757" s="50"/>
      <c r="BI757" s="50"/>
      <c r="BJ757" s="50"/>
      <c r="BK757" s="50"/>
      <c r="BL757" s="50"/>
      <c r="BM757" s="50"/>
      <c r="BN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168"/>
      <c r="Z758" s="50"/>
      <c r="AA758" s="50"/>
      <c r="AB758" s="50"/>
      <c r="AC758" s="168"/>
      <c r="AD758" s="168"/>
      <c r="AE758" s="168"/>
      <c r="AF758" s="50"/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/>
      <c r="BE758" s="50"/>
      <c r="BF758" s="50"/>
      <c r="BG758" s="50"/>
      <c r="BH758" s="50"/>
      <c r="BI758" s="50"/>
      <c r="BJ758" s="50"/>
      <c r="BK758" s="50"/>
      <c r="BL758" s="50"/>
      <c r="BM758" s="50"/>
      <c r="BN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168"/>
      <c r="Z759" s="50"/>
      <c r="AA759" s="50"/>
      <c r="AB759" s="50"/>
      <c r="AC759" s="168"/>
      <c r="AD759" s="168"/>
      <c r="AE759" s="168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/>
      <c r="BE759" s="50"/>
      <c r="BF759" s="50"/>
      <c r="BG759" s="50"/>
      <c r="BH759" s="50"/>
      <c r="BI759" s="50"/>
      <c r="BJ759" s="50"/>
      <c r="BK759" s="50"/>
      <c r="BL759" s="50"/>
      <c r="BM759" s="50"/>
      <c r="BN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168"/>
      <c r="Z760" s="50"/>
      <c r="AA760" s="50"/>
      <c r="AB760" s="50"/>
      <c r="AC760" s="168"/>
      <c r="AD760" s="168"/>
      <c r="AE760" s="168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  <c r="AV760" s="50"/>
      <c r="AW760" s="50"/>
      <c r="AX760" s="50"/>
      <c r="AY760" s="50"/>
      <c r="AZ760" s="50"/>
      <c r="BA760" s="50"/>
      <c r="BB760" s="50"/>
      <c r="BC760" s="50"/>
      <c r="BD760" s="50"/>
      <c r="BE760" s="50"/>
      <c r="BF760" s="50"/>
      <c r="BG760" s="50"/>
      <c r="BH760" s="50"/>
      <c r="BI760" s="50"/>
      <c r="BJ760" s="50"/>
      <c r="BK760" s="50"/>
      <c r="BL760" s="50"/>
      <c r="BM760" s="50"/>
      <c r="BN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168"/>
      <c r="Z761" s="50"/>
      <c r="AA761" s="50"/>
      <c r="AB761" s="50"/>
      <c r="AC761" s="168"/>
      <c r="AD761" s="168"/>
      <c r="AE761" s="168"/>
      <c r="AF761" s="50"/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0"/>
      <c r="BE761" s="50"/>
      <c r="BF761" s="50"/>
      <c r="BG761" s="50"/>
      <c r="BH761" s="50"/>
      <c r="BI761" s="50"/>
      <c r="BJ761" s="50"/>
      <c r="BK761" s="50"/>
      <c r="BL761" s="50"/>
      <c r="BM761" s="50"/>
      <c r="BN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168"/>
      <c r="Z762" s="50"/>
      <c r="AA762" s="50"/>
      <c r="AB762" s="50"/>
      <c r="AC762" s="168"/>
      <c r="AD762" s="168"/>
      <c r="AE762" s="168"/>
      <c r="AF762" s="50"/>
      <c r="AG762" s="50"/>
      <c r="AH762" s="50"/>
      <c r="AI762" s="50"/>
      <c r="AJ762" s="50"/>
      <c r="AK762" s="50"/>
      <c r="AL762" s="50"/>
      <c r="AM762" s="50"/>
      <c r="AN762" s="50"/>
      <c r="AO762" s="50"/>
      <c r="AP762" s="50"/>
      <c r="AQ762" s="50"/>
      <c r="AR762" s="50"/>
      <c r="AS762" s="50"/>
      <c r="AT762" s="50"/>
      <c r="AU762" s="50"/>
      <c r="AV762" s="50"/>
      <c r="AW762" s="50"/>
      <c r="AX762" s="50"/>
      <c r="AY762" s="50"/>
      <c r="AZ762" s="50"/>
      <c r="BA762" s="50"/>
      <c r="BB762" s="50"/>
      <c r="BC762" s="50"/>
      <c r="BD762" s="50"/>
      <c r="BE762" s="50"/>
      <c r="BF762" s="50"/>
      <c r="BG762" s="50"/>
      <c r="BH762" s="50"/>
      <c r="BI762" s="50"/>
      <c r="BJ762" s="50"/>
      <c r="BK762" s="50"/>
      <c r="BL762" s="50"/>
      <c r="BM762" s="50"/>
      <c r="BN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168"/>
      <c r="Z763" s="50"/>
      <c r="AA763" s="50"/>
      <c r="AB763" s="50"/>
      <c r="AC763" s="168"/>
      <c r="AD763" s="168"/>
      <c r="AE763" s="168"/>
      <c r="AF763" s="50"/>
      <c r="AG763" s="50"/>
      <c r="AH763" s="50"/>
      <c r="AI763" s="50"/>
      <c r="AJ763" s="50"/>
      <c r="AK763" s="50"/>
      <c r="AL763" s="50"/>
      <c r="AM763" s="50"/>
      <c r="AN763" s="50"/>
      <c r="AO763" s="50"/>
      <c r="AP763" s="50"/>
      <c r="AQ763" s="50"/>
      <c r="AR763" s="50"/>
      <c r="AS763" s="50"/>
      <c r="AT763" s="50"/>
      <c r="AU763" s="50"/>
      <c r="AV763" s="50"/>
      <c r="AW763" s="50"/>
      <c r="AX763" s="50"/>
      <c r="AY763" s="50"/>
      <c r="AZ763" s="50"/>
      <c r="BA763" s="50"/>
      <c r="BB763" s="50"/>
      <c r="BC763" s="50"/>
      <c r="BD763" s="50"/>
      <c r="BE763" s="50"/>
      <c r="BF763" s="50"/>
      <c r="BG763" s="50"/>
      <c r="BH763" s="50"/>
      <c r="BI763" s="50"/>
      <c r="BJ763" s="50"/>
      <c r="BK763" s="50"/>
      <c r="BL763" s="50"/>
      <c r="BM763" s="50"/>
      <c r="BN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168"/>
      <c r="Z764" s="50"/>
      <c r="AA764" s="50"/>
      <c r="AB764" s="50"/>
      <c r="AC764" s="168"/>
      <c r="AD764" s="168"/>
      <c r="AE764" s="168"/>
      <c r="AF764" s="50"/>
      <c r="AG764" s="50"/>
      <c r="AH764" s="50"/>
      <c r="AI764" s="50"/>
      <c r="AJ764" s="50"/>
      <c r="AK764" s="50"/>
      <c r="AL764" s="50"/>
      <c r="AM764" s="50"/>
      <c r="AN764" s="50"/>
      <c r="AO764" s="50"/>
      <c r="AP764" s="50"/>
      <c r="AQ764" s="50"/>
      <c r="AR764" s="50"/>
      <c r="AS764" s="50"/>
      <c r="AT764" s="50"/>
      <c r="AU764" s="50"/>
      <c r="AV764" s="50"/>
      <c r="AW764" s="50"/>
      <c r="AX764" s="50"/>
      <c r="AY764" s="50"/>
      <c r="AZ764" s="50"/>
      <c r="BA764" s="50"/>
      <c r="BB764" s="50"/>
      <c r="BC764" s="50"/>
      <c r="BD764" s="50"/>
      <c r="BE764" s="50"/>
      <c r="BF764" s="50"/>
      <c r="BG764" s="50"/>
      <c r="BH764" s="50"/>
      <c r="BI764" s="50"/>
      <c r="BJ764" s="50"/>
      <c r="BK764" s="50"/>
      <c r="BL764" s="50"/>
      <c r="BM764" s="50"/>
      <c r="BN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168"/>
      <c r="Z765" s="50"/>
      <c r="AA765" s="50"/>
      <c r="AB765" s="50"/>
      <c r="AC765" s="168"/>
      <c r="AD765" s="168"/>
      <c r="AE765" s="168"/>
      <c r="AF765" s="50"/>
      <c r="AG765" s="50"/>
      <c r="AH765" s="50"/>
      <c r="AI765" s="50"/>
      <c r="AJ765" s="50"/>
      <c r="AK765" s="50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/>
      <c r="BE765" s="50"/>
      <c r="BF765" s="50"/>
      <c r="BG765" s="50"/>
      <c r="BH765" s="50"/>
      <c r="BI765" s="50"/>
      <c r="BJ765" s="50"/>
      <c r="BK765" s="50"/>
      <c r="BL765" s="50"/>
      <c r="BM765" s="50"/>
      <c r="BN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168"/>
      <c r="Z766" s="50"/>
      <c r="AA766" s="50"/>
      <c r="AB766" s="50"/>
      <c r="AC766" s="168"/>
      <c r="AD766" s="168"/>
      <c r="AE766" s="168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0"/>
      <c r="BE766" s="50"/>
      <c r="BF766" s="50"/>
      <c r="BG766" s="50"/>
      <c r="BH766" s="50"/>
      <c r="BI766" s="50"/>
      <c r="BJ766" s="50"/>
      <c r="BK766" s="50"/>
      <c r="BL766" s="50"/>
      <c r="BM766" s="50"/>
      <c r="BN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168"/>
      <c r="Z767" s="50"/>
      <c r="AA767" s="50"/>
      <c r="AB767" s="50"/>
      <c r="AC767" s="168"/>
      <c r="AD767" s="168"/>
      <c r="AE767" s="168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/>
      <c r="BE767" s="50"/>
      <c r="BF767" s="50"/>
      <c r="BG767" s="50"/>
      <c r="BH767" s="50"/>
      <c r="BI767" s="50"/>
      <c r="BJ767" s="50"/>
      <c r="BK767" s="50"/>
      <c r="BL767" s="50"/>
      <c r="BM767" s="50"/>
      <c r="BN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168"/>
      <c r="Z768" s="50"/>
      <c r="AA768" s="50"/>
      <c r="AB768" s="50"/>
      <c r="AC768" s="168"/>
      <c r="AD768" s="168"/>
      <c r="AE768" s="168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/>
      <c r="BE768" s="50"/>
      <c r="BF768" s="50"/>
      <c r="BG768" s="50"/>
      <c r="BH768" s="50"/>
      <c r="BI768" s="50"/>
      <c r="BJ768" s="50"/>
      <c r="BK768" s="50"/>
      <c r="BL768" s="50"/>
      <c r="BM768" s="50"/>
      <c r="BN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168"/>
      <c r="Z769" s="50"/>
      <c r="AA769" s="50"/>
      <c r="AB769" s="50"/>
      <c r="AC769" s="168"/>
      <c r="AD769" s="168"/>
      <c r="AE769" s="168"/>
      <c r="AF769" s="50"/>
      <c r="AG769" s="50"/>
      <c r="AH769" s="50"/>
      <c r="AI769" s="50"/>
      <c r="AJ769" s="50"/>
      <c r="AK769" s="50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/>
      <c r="AW769" s="50"/>
      <c r="AX769" s="50"/>
      <c r="AY769" s="50"/>
      <c r="AZ769" s="50"/>
      <c r="BA769" s="50"/>
      <c r="BB769" s="50"/>
      <c r="BC769" s="50"/>
      <c r="BD769" s="50"/>
      <c r="BE769" s="50"/>
      <c r="BF769" s="50"/>
      <c r="BG769" s="50"/>
      <c r="BH769" s="50"/>
      <c r="BI769" s="50"/>
      <c r="BJ769" s="50"/>
      <c r="BK769" s="50"/>
      <c r="BL769" s="50"/>
      <c r="BM769" s="50"/>
      <c r="BN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168"/>
      <c r="Z770" s="50"/>
      <c r="AA770" s="50"/>
      <c r="AB770" s="50"/>
      <c r="AC770" s="168"/>
      <c r="AD770" s="168"/>
      <c r="AE770" s="168"/>
      <c r="AF770" s="50"/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/>
      <c r="BE770" s="50"/>
      <c r="BF770" s="50"/>
      <c r="BG770" s="50"/>
      <c r="BH770" s="50"/>
      <c r="BI770" s="50"/>
      <c r="BJ770" s="50"/>
      <c r="BK770" s="50"/>
      <c r="BL770" s="50"/>
      <c r="BM770" s="50"/>
      <c r="BN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168"/>
      <c r="Z771" s="50"/>
      <c r="AA771" s="50"/>
      <c r="AB771" s="50"/>
      <c r="AC771" s="168"/>
      <c r="AD771" s="168"/>
      <c r="AE771" s="168"/>
      <c r="AF771" s="50"/>
      <c r="AG771" s="50"/>
      <c r="AH771" s="50"/>
      <c r="AI771" s="50"/>
      <c r="AJ771" s="50"/>
      <c r="AK771" s="50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/>
      <c r="AW771" s="50"/>
      <c r="AX771" s="50"/>
      <c r="AY771" s="50"/>
      <c r="AZ771" s="50"/>
      <c r="BA771" s="50"/>
      <c r="BB771" s="50"/>
      <c r="BC771" s="50"/>
      <c r="BD771" s="50"/>
      <c r="BE771" s="50"/>
      <c r="BF771" s="50"/>
      <c r="BG771" s="50"/>
      <c r="BH771" s="50"/>
      <c r="BI771" s="50"/>
      <c r="BJ771" s="50"/>
      <c r="BK771" s="50"/>
      <c r="BL771" s="50"/>
      <c r="BM771" s="50"/>
      <c r="BN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168"/>
      <c r="Z772" s="50"/>
      <c r="AA772" s="50"/>
      <c r="AB772" s="50"/>
      <c r="AC772" s="168"/>
      <c r="AD772" s="168"/>
      <c r="AE772" s="168"/>
      <c r="AF772" s="50"/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50"/>
      <c r="AR772" s="50"/>
      <c r="AS772" s="50"/>
      <c r="AT772" s="50"/>
      <c r="AU772" s="50"/>
      <c r="AV772" s="50"/>
      <c r="AW772" s="50"/>
      <c r="AX772" s="50"/>
      <c r="AY772" s="50"/>
      <c r="AZ772" s="50"/>
      <c r="BA772" s="50"/>
      <c r="BB772" s="50"/>
      <c r="BC772" s="50"/>
      <c r="BD772" s="50"/>
      <c r="BE772" s="50"/>
      <c r="BF772" s="50"/>
      <c r="BG772" s="50"/>
      <c r="BH772" s="50"/>
      <c r="BI772" s="50"/>
      <c r="BJ772" s="50"/>
      <c r="BK772" s="50"/>
      <c r="BL772" s="50"/>
      <c r="BM772" s="50"/>
      <c r="BN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168"/>
      <c r="Z773" s="50"/>
      <c r="AA773" s="50"/>
      <c r="AB773" s="50"/>
      <c r="AC773" s="168"/>
      <c r="AD773" s="168"/>
      <c r="AE773" s="168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  <c r="AV773" s="50"/>
      <c r="AW773" s="50"/>
      <c r="AX773" s="50"/>
      <c r="AY773" s="50"/>
      <c r="AZ773" s="50"/>
      <c r="BA773" s="50"/>
      <c r="BB773" s="50"/>
      <c r="BC773" s="50"/>
      <c r="BD773" s="50"/>
      <c r="BE773" s="50"/>
      <c r="BF773" s="50"/>
      <c r="BG773" s="50"/>
      <c r="BH773" s="50"/>
      <c r="BI773" s="50"/>
      <c r="BJ773" s="50"/>
      <c r="BK773" s="50"/>
      <c r="BL773" s="50"/>
      <c r="BM773" s="50"/>
      <c r="BN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168"/>
      <c r="Z774" s="50"/>
      <c r="AA774" s="50"/>
      <c r="AB774" s="50"/>
      <c r="AC774" s="168"/>
      <c r="AD774" s="168"/>
      <c r="AE774" s="168"/>
      <c r="AF774" s="50"/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0"/>
      <c r="BE774" s="50"/>
      <c r="BF774" s="50"/>
      <c r="BG774" s="50"/>
      <c r="BH774" s="50"/>
      <c r="BI774" s="50"/>
      <c r="BJ774" s="50"/>
      <c r="BK774" s="50"/>
      <c r="BL774" s="50"/>
      <c r="BM774" s="50"/>
      <c r="BN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168"/>
      <c r="Z775" s="50"/>
      <c r="AA775" s="50"/>
      <c r="AB775" s="50"/>
      <c r="AC775" s="168"/>
      <c r="AD775" s="168"/>
      <c r="AE775" s="168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/>
      <c r="BE775" s="50"/>
      <c r="BF775" s="50"/>
      <c r="BG775" s="50"/>
      <c r="BH775" s="50"/>
      <c r="BI775" s="50"/>
      <c r="BJ775" s="50"/>
      <c r="BK775" s="50"/>
      <c r="BL775" s="50"/>
      <c r="BM775" s="50"/>
      <c r="BN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168"/>
      <c r="Z776" s="50"/>
      <c r="AA776" s="50"/>
      <c r="AB776" s="50"/>
      <c r="AC776" s="168"/>
      <c r="AD776" s="168"/>
      <c r="AE776" s="168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0"/>
      <c r="BE776" s="50"/>
      <c r="BF776" s="50"/>
      <c r="BG776" s="50"/>
      <c r="BH776" s="50"/>
      <c r="BI776" s="50"/>
      <c r="BJ776" s="50"/>
      <c r="BK776" s="50"/>
      <c r="BL776" s="50"/>
      <c r="BM776" s="50"/>
      <c r="BN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168"/>
      <c r="Z777" s="50"/>
      <c r="AA777" s="50"/>
      <c r="AB777" s="50"/>
      <c r="AC777" s="168"/>
      <c r="AD777" s="168"/>
      <c r="AE777" s="168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/>
      <c r="BE777" s="50"/>
      <c r="BF777" s="50"/>
      <c r="BG777" s="50"/>
      <c r="BH777" s="50"/>
      <c r="BI777" s="50"/>
      <c r="BJ777" s="50"/>
      <c r="BK777" s="50"/>
      <c r="BL777" s="50"/>
      <c r="BM777" s="50"/>
      <c r="BN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168"/>
      <c r="Z778" s="50"/>
      <c r="AA778" s="50"/>
      <c r="AB778" s="50"/>
      <c r="AC778" s="168"/>
      <c r="AD778" s="168"/>
      <c r="AE778" s="168"/>
      <c r="AF778" s="50"/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50"/>
      <c r="BG778" s="50"/>
      <c r="BH778" s="50"/>
      <c r="BI778" s="50"/>
      <c r="BJ778" s="50"/>
      <c r="BK778" s="50"/>
      <c r="BL778" s="50"/>
      <c r="BM778" s="50"/>
      <c r="BN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168"/>
      <c r="Z779" s="50"/>
      <c r="AA779" s="50"/>
      <c r="AB779" s="50"/>
      <c r="AC779" s="168"/>
      <c r="AD779" s="168"/>
      <c r="AE779" s="168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0"/>
      <c r="BF779" s="50"/>
      <c r="BG779" s="50"/>
      <c r="BH779" s="50"/>
      <c r="BI779" s="50"/>
      <c r="BJ779" s="50"/>
      <c r="BK779" s="50"/>
      <c r="BL779" s="50"/>
      <c r="BM779" s="50"/>
      <c r="BN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168"/>
      <c r="Z780" s="50"/>
      <c r="AA780" s="50"/>
      <c r="AB780" s="50"/>
      <c r="AC780" s="168"/>
      <c r="AD780" s="168"/>
      <c r="AE780" s="168"/>
      <c r="AF780" s="50"/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50"/>
      <c r="AR780" s="50"/>
      <c r="AS780" s="50"/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/>
      <c r="BE780" s="50"/>
      <c r="BF780" s="50"/>
      <c r="BG780" s="50"/>
      <c r="BH780" s="50"/>
      <c r="BI780" s="50"/>
      <c r="BJ780" s="50"/>
      <c r="BK780" s="50"/>
      <c r="BL780" s="50"/>
      <c r="BM780" s="50"/>
      <c r="BN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168"/>
      <c r="Z781" s="50"/>
      <c r="AA781" s="50"/>
      <c r="AB781" s="50"/>
      <c r="AC781" s="168"/>
      <c r="AD781" s="168"/>
      <c r="AE781" s="168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50"/>
      <c r="AU781" s="50"/>
      <c r="AV781" s="50"/>
      <c r="AW781" s="50"/>
      <c r="AX781" s="50"/>
      <c r="AY781" s="50"/>
      <c r="AZ781" s="50"/>
      <c r="BA781" s="50"/>
      <c r="BB781" s="50"/>
      <c r="BC781" s="50"/>
      <c r="BD781" s="50"/>
      <c r="BE781" s="50"/>
      <c r="BF781" s="50"/>
      <c r="BG781" s="50"/>
      <c r="BH781" s="50"/>
      <c r="BI781" s="50"/>
      <c r="BJ781" s="50"/>
      <c r="BK781" s="50"/>
      <c r="BL781" s="50"/>
      <c r="BM781" s="50"/>
      <c r="BN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168"/>
      <c r="Z782" s="50"/>
      <c r="AA782" s="50"/>
      <c r="AB782" s="50"/>
      <c r="AC782" s="168"/>
      <c r="AD782" s="168"/>
      <c r="AE782" s="168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50"/>
      <c r="BG782" s="50"/>
      <c r="BH782" s="50"/>
      <c r="BI782" s="50"/>
      <c r="BJ782" s="50"/>
      <c r="BK782" s="50"/>
      <c r="BL782" s="50"/>
      <c r="BM782" s="50"/>
      <c r="BN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168"/>
      <c r="Z783" s="50"/>
      <c r="AA783" s="50"/>
      <c r="AB783" s="50"/>
      <c r="AC783" s="168"/>
      <c r="AD783" s="168"/>
      <c r="AE783" s="168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50"/>
      <c r="AU783" s="50"/>
      <c r="AV783" s="50"/>
      <c r="AW783" s="50"/>
      <c r="AX783" s="50"/>
      <c r="AY783" s="50"/>
      <c r="AZ783" s="50"/>
      <c r="BA783" s="50"/>
      <c r="BB783" s="50"/>
      <c r="BC783" s="50"/>
      <c r="BD783" s="50"/>
      <c r="BE783" s="50"/>
      <c r="BF783" s="50"/>
      <c r="BG783" s="50"/>
      <c r="BH783" s="50"/>
      <c r="BI783" s="50"/>
      <c r="BJ783" s="50"/>
      <c r="BK783" s="50"/>
      <c r="BL783" s="50"/>
      <c r="BM783" s="50"/>
      <c r="BN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168"/>
      <c r="Z784" s="50"/>
      <c r="AA784" s="50"/>
      <c r="AB784" s="50"/>
      <c r="AC784" s="168"/>
      <c r="AD784" s="168"/>
      <c r="AE784" s="168"/>
      <c r="AF784" s="50"/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50"/>
      <c r="AR784" s="50"/>
      <c r="AS784" s="50"/>
      <c r="AT784" s="50"/>
      <c r="AU784" s="50"/>
      <c r="AV784" s="50"/>
      <c r="AW784" s="50"/>
      <c r="AX784" s="50"/>
      <c r="AY784" s="50"/>
      <c r="AZ784" s="50"/>
      <c r="BA784" s="50"/>
      <c r="BB784" s="50"/>
      <c r="BC784" s="50"/>
      <c r="BD784" s="50"/>
      <c r="BE784" s="50"/>
      <c r="BF784" s="50"/>
      <c r="BG784" s="50"/>
      <c r="BH784" s="50"/>
      <c r="BI784" s="50"/>
      <c r="BJ784" s="50"/>
      <c r="BK784" s="50"/>
      <c r="BL784" s="50"/>
      <c r="BM784" s="50"/>
      <c r="BN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168"/>
      <c r="Z785" s="50"/>
      <c r="AA785" s="50"/>
      <c r="AB785" s="50"/>
      <c r="AC785" s="168"/>
      <c r="AD785" s="168"/>
      <c r="AE785" s="168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/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168"/>
      <c r="Z786" s="50"/>
      <c r="AA786" s="50"/>
      <c r="AB786" s="50"/>
      <c r="AC786" s="168"/>
      <c r="AD786" s="168"/>
      <c r="AE786" s="168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50"/>
      <c r="BG786" s="50"/>
      <c r="BH786" s="50"/>
      <c r="BI786" s="50"/>
      <c r="BJ786" s="50"/>
      <c r="BK786" s="50"/>
      <c r="BL786" s="50"/>
      <c r="BM786" s="50"/>
      <c r="BN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168"/>
      <c r="Z787" s="50"/>
      <c r="AA787" s="50"/>
      <c r="AB787" s="50"/>
      <c r="AC787" s="168"/>
      <c r="AD787" s="168"/>
      <c r="AE787" s="168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/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50"/>
      <c r="BN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168"/>
      <c r="Z788" s="50"/>
      <c r="AA788" s="50"/>
      <c r="AB788" s="50"/>
      <c r="AC788" s="168"/>
      <c r="AD788" s="168"/>
      <c r="AE788" s="168"/>
      <c r="AF788" s="50"/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/>
      <c r="BE788" s="50"/>
      <c r="BF788" s="50"/>
      <c r="BG788" s="50"/>
      <c r="BH788" s="50"/>
      <c r="BI788" s="50"/>
      <c r="BJ788" s="50"/>
      <c r="BK788" s="50"/>
      <c r="BL788" s="50"/>
      <c r="BM788" s="50"/>
      <c r="BN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168"/>
      <c r="Z789" s="50"/>
      <c r="AA789" s="50"/>
      <c r="AB789" s="50"/>
      <c r="AC789" s="168"/>
      <c r="AD789" s="168"/>
      <c r="AE789" s="168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168"/>
      <c r="Z790" s="50"/>
      <c r="AA790" s="50"/>
      <c r="AB790" s="50"/>
      <c r="AC790" s="168"/>
      <c r="AD790" s="168"/>
      <c r="AE790" s="168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/>
      <c r="AR790" s="50"/>
      <c r="AS790" s="50"/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0"/>
      <c r="BE790" s="50"/>
      <c r="BF790" s="50"/>
      <c r="BG790" s="50"/>
      <c r="BH790" s="50"/>
      <c r="BI790" s="50"/>
      <c r="BJ790" s="50"/>
      <c r="BK790" s="50"/>
      <c r="BL790" s="50"/>
      <c r="BM790" s="50"/>
      <c r="BN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168"/>
      <c r="Z791" s="50"/>
      <c r="AA791" s="50"/>
      <c r="AB791" s="50"/>
      <c r="AC791" s="168"/>
      <c r="AD791" s="168"/>
      <c r="AE791" s="168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0"/>
      <c r="BE791" s="50"/>
      <c r="BF791" s="50"/>
      <c r="BG791" s="50"/>
      <c r="BH791" s="50"/>
      <c r="BI791" s="50"/>
      <c r="BJ791" s="50"/>
      <c r="BK791" s="50"/>
      <c r="BL791" s="50"/>
      <c r="BM791" s="50"/>
      <c r="BN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168"/>
      <c r="Z792" s="50"/>
      <c r="AA792" s="50"/>
      <c r="AB792" s="50"/>
      <c r="AC792" s="168"/>
      <c r="AD792" s="168"/>
      <c r="AE792" s="168"/>
      <c r="AF792" s="50"/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/>
      <c r="AW792" s="50"/>
      <c r="AX792" s="50"/>
      <c r="AY792" s="50"/>
      <c r="AZ792" s="50"/>
      <c r="BA792" s="50"/>
      <c r="BB792" s="50"/>
      <c r="BC792" s="50"/>
      <c r="BD792" s="50"/>
      <c r="BE792" s="50"/>
      <c r="BF792" s="50"/>
      <c r="BG792" s="50"/>
      <c r="BH792" s="50"/>
      <c r="BI792" s="50"/>
      <c r="BJ792" s="50"/>
      <c r="BK792" s="50"/>
      <c r="BL792" s="50"/>
      <c r="BM792" s="50"/>
      <c r="BN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168"/>
      <c r="Z793" s="50"/>
      <c r="AA793" s="50"/>
      <c r="AB793" s="50"/>
      <c r="AC793" s="168"/>
      <c r="AD793" s="168"/>
      <c r="AE793" s="168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/>
      <c r="BE793" s="50"/>
      <c r="BF793" s="50"/>
      <c r="BG793" s="50"/>
      <c r="BH793" s="50"/>
      <c r="BI793" s="50"/>
      <c r="BJ793" s="50"/>
      <c r="BK793" s="50"/>
      <c r="BL793" s="50"/>
      <c r="BM793" s="50"/>
      <c r="BN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168"/>
      <c r="Z794" s="50"/>
      <c r="AA794" s="50"/>
      <c r="AB794" s="50"/>
      <c r="AC794" s="168"/>
      <c r="AD794" s="168"/>
      <c r="AE794" s="168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50"/>
      <c r="BG794" s="50"/>
      <c r="BH794" s="50"/>
      <c r="BI794" s="50"/>
      <c r="BJ794" s="50"/>
      <c r="BK794" s="50"/>
      <c r="BL794" s="50"/>
      <c r="BM794" s="50"/>
      <c r="BN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168"/>
      <c r="Z795" s="50"/>
      <c r="AA795" s="50"/>
      <c r="AB795" s="50"/>
      <c r="AC795" s="168"/>
      <c r="AD795" s="168"/>
      <c r="AE795" s="168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50"/>
      <c r="AU795" s="50"/>
      <c r="AV795" s="50"/>
      <c r="AW795" s="50"/>
      <c r="AX795" s="50"/>
      <c r="AY795" s="50"/>
      <c r="AZ795" s="50"/>
      <c r="BA795" s="50"/>
      <c r="BB795" s="50"/>
      <c r="BC795" s="50"/>
      <c r="BD795" s="50"/>
      <c r="BE795" s="50"/>
      <c r="BF795" s="50"/>
      <c r="BG795" s="50"/>
      <c r="BH795" s="50"/>
      <c r="BI795" s="50"/>
      <c r="BJ795" s="50"/>
      <c r="BK795" s="50"/>
      <c r="BL795" s="50"/>
      <c r="BM795" s="50"/>
      <c r="BN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168"/>
      <c r="Z796" s="50"/>
      <c r="AA796" s="50"/>
      <c r="AB796" s="50"/>
      <c r="AC796" s="168"/>
      <c r="AD796" s="168"/>
      <c r="AE796" s="168"/>
      <c r="AF796" s="50"/>
      <c r="AG796" s="50"/>
      <c r="AH796" s="50"/>
      <c r="AI796" s="50"/>
      <c r="AJ796" s="50"/>
      <c r="AK796" s="50"/>
      <c r="AL796" s="50"/>
      <c r="AM796" s="50"/>
      <c r="AN796" s="50"/>
      <c r="AO796" s="50"/>
      <c r="AP796" s="50"/>
      <c r="AQ796" s="50"/>
      <c r="AR796" s="50"/>
      <c r="AS796" s="50"/>
      <c r="AT796" s="50"/>
      <c r="AU796" s="50"/>
      <c r="AV796" s="50"/>
      <c r="AW796" s="50"/>
      <c r="AX796" s="50"/>
      <c r="AY796" s="50"/>
      <c r="AZ796" s="50"/>
      <c r="BA796" s="50"/>
      <c r="BB796" s="50"/>
      <c r="BC796" s="50"/>
      <c r="BD796" s="50"/>
      <c r="BE796" s="50"/>
      <c r="BF796" s="50"/>
      <c r="BG796" s="50"/>
      <c r="BH796" s="50"/>
      <c r="BI796" s="50"/>
      <c r="BJ796" s="50"/>
      <c r="BK796" s="50"/>
      <c r="BL796" s="50"/>
      <c r="BM796" s="50"/>
      <c r="BN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168"/>
      <c r="Z797" s="50"/>
      <c r="AA797" s="50"/>
      <c r="AB797" s="50"/>
      <c r="AC797" s="168"/>
      <c r="AD797" s="168"/>
      <c r="AE797" s="168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50"/>
      <c r="AU797" s="50"/>
      <c r="AV797" s="50"/>
      <c r="AW797" s="50"/>
      <c r="AX797" s="50"/>
      <c r="AY797" s="50"/>
      <c r="AZ797" s="50"/>
      <c r="BA797" s="50"/>
      <c r="BB797" s="50"/>
      <c r="BC797" s="50"/>
      <c r="BD797" s="50"/>
      <c r="BE797" s="50"/>
      <c r="BF797" s="50"/>
      <c r="BG797" s="50"/>
      <c r="BH797" s="50"/>
      <c r="BI797" s="50"/>
      <c r="BJ797" s="50"/>
      <c r="BK797" s="50"/>
      <c r="BL797" s="50"/>
      <c r="BM797" s="50"/>
      <c r="BN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168"/>
      <c r="Z798" s="50"/>
      <c r="AA798" s="50"/>
      <c r="AB798" s="50"/>
      <c r="AC798" s="168"/>
      <c r="AD798" s="168"/>
      <c r="AE798" s="168"/>
      <c r="AF798" s="50"/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0"/>
      <c r="BE798" s="50"/>
      <c r="BF798" s="50"/>
      <c r="BG798" s="50"/>
      <c r="BH798" s="50"/>
      <c r="BI798" s="50"/>
      <c r="BJ798" s="50"/>
      <c r="BK798" s="50"/>
      <c r="BL798" s="50"/>
      <c r="BM798" s="50"/>
      <c r="BN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168"/>
      <c r="Z799" s="50"/>
      <c r="AA799" s="50"/>
      <c r="AB799" s="50"/>
      <c r="AC799" s="168"/>
      <c r="AD799" s="168"/>
      <c r="AE799" s="168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/>
      <c r="BE799" s="50"/>
      <c r="BF799" s="50"/>
      <c r="BG799" s="50"/>
      <c r="BH799" s="50"/>
      <c r="BI799" s="50"/>
      <c r="BJ799" s="50"/>
      <c r="BK799" s="50"/>
      <c r="BL799" s="50"/>
      <c r="BM799" s="50"/>
      <c r="BN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168"/>
      <c r="Z800" s="50"/>
      <c r="AA800" s="50"/>
      <c r="AB800" s="50"/>
      <c r="AC800" s="168"/>
      <c r="AD800" s="168"/>
      <c r="AE800" s="168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0"/>
      <c r="BF800" s="50"/>
      <c r="BG800" s="50"/>
      <c r="BH800" s="50"/>
      <c r="BI800" s="50"/>
      <c r="BJ800" s="50"/>
      <c r="BK800" s="50"/>
      <c r="BL800" s="50"/>
      <c r="BM800" s="50"/>
      <c r="BN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168"/>
      <c r="Z801" s="50"/>
      <c r="AA801" s="50"/>
      <c r="AB801" s="50"/>
      <c r="AC801" s="168"/>
      <c r="AD801" s="168"/>
      <c r="AE801" s="168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50"/>
      <c r="AU801" s="50"/>
      <c r="AV801" s="50"/>
      <c r="AW801" s="50"/>
      <c r="AX801" s="50"/>
      <c r="AY801" s="50"/>
      <c r="AZ801" s="50"/>
      <c r="BA801" s="50"/>
      <c r="BB801" s="50"/>
      <c r="BC801" s="50"/>
      <c r="BD801" s="50"/>
      <c r="BE801" s="50"/>
      <c r="BF801" s="50"/>
      <c r="BG801" s="50"/>
      <c r="BH801" s="50"/>
      <c r="BI801" s="50"/>
      <c r="BJ801" s="50"/>
      <c r="BK801" s="50"/>
      <c r="BL801" s="50"/>
      <c r="BM801" s="50"/>
      <c r="BN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168"/>
      <c r="Z802" s="50"/>
      <c r="AA802" s="50"/>
      <c r="AB802" s="50"/>
      <c r="AC802" s="168"/>
      <c r="AD802" s="168"/>
      <c r="AE802" s="168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/>
      <c r="AR802" s="50"/>
      <c r="AS802" s="50"/>
      <c r="AT802" s="50"/>
      <c r="AU802" s="50"/>
      <c r="AV802" s="50"/>
      <c r="AW802" s="50"/>
      <c r="AX802" s="50"/>
      <c r="AY802" s="50"/>
      <c r="AZ802" s="50"/>
      <c r="BA802" s="50"/>
      <c r="BB802" s="50"/>
      <c r="BC802" s="50"/>
      <c r="BD802" s="50"/>
      <c r="BE802" s="50"/>
      <c r="BF802" s="50"/>
      <c r="BG802" s="50"/>
      <c r="BH802" s="50"/>
      <c r="BI802" s="50"/>
      <c r="BJ802" s="50"/>
      <c r="BK802" s="50"/>
      <c r="BL802" s="50"/>
      <c r="BM802" s="50"/>
      <c r="BN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168"/>
      <c r="Z803" s="50"/>
      <c r="AA803" s="50"/>
      <c r="AB803" s="50"/>
      <c r="AC803" s="168"/>
      <c r="AD803" s="168"/>
      <c r="AE803" s="168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50"/>
      <c r="AU803" s="50"/>
      <c r="AV803" s="50"/>
      <c r="AW803" s="50"/>
      <c r="AX803" s="50"/>
      <c r="AY803" s="50"/>
      <c r="AZ803" s="50"/>
      <c r="BA803" s="50"/>
      <c r="BB803" s="50"/>
      <c r="BC803" s="50"/>
      <c r="BD803" s="50"/>
      <c r="BE803" s="50"/>
      <c r="BF803" s="50"/>
      <c r="BG803" s="50"/>
      <c r="BH803" s="50"/>
      <c r="BI803" s="50"/>
      <c r="BJ803" s="50"/>
      <c r="BK803" s="50"/>
      <c r="BL803" s="50"/>
      <c r="BM803" s="50"/>
      <c r="BN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168"/>
      <c r="Z804" s="50"/>
      <c r="AA804" s="50"/>
      <c r="AB804" s="50"/>
      <c r="AC804" s="168"/>
      <c r="AD804" s="168"/>
      <c r="AE804" s="168"/>
      <c r="AF804" s="50"/>
      <c r="AG804" s="50"/>
      <c r="AH804" s="50"/>
      <c r="AI804" s="50"/>
      <c r="AJ804" s="50"/>
      <c r="AK804" s="50"/>
      <c r="AL804" s="50"/>
      <c r="AM804" s="50"/>
      <c r="AN804" s="50"/>
      <c r="AO804" s="50"/>
      <c r="AP804" s="50"/>
      <c r="AQ804" s="50"/>
      <c r="AR804" s="50"/>
      <c r="AS804" s="50"/>
      <c r="AT804" s="50"/>
      <c r="AU804" s="50"/>
      <c r="AV804" s="50"/>
      <c r="AW804" s="50"/>
      <c r="AX804" s="50"/>
      <c r="AY804" s="50"/>
      <c r="AZ804" s="50"/>
      <c r="BA804" s="50"/>
      <c r="BB804" s="50"/>
      <c r="BC804" s="50"/>
      <c r="BD804" s="50"/>
      <c r="BE804" s="50"/>
      <c r="BF804" s="50"/>
      <c r="BG804" s="50"/>
      <c r="BH804" s="50"/>
      <c r="BI804" s="50"/>
      <c r="BJ804" s="50"/>
      <c r="BK804" s="50"/>
      <c r="BL804" s="50"/>
      <c r="BM804" s="50"/>
      <c r="BN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168"/>
      <c r="Z805" s="50"/>
      <c r="AA805" s="50"/>
      <c r="AB805" s="50"/>
      <c r="AC805" s="168"/>
      <c r="AD805" s="168"/>
      <c r="AE805" s="168"/>
      <c r="AF805" s="50"/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50"/>
      <c r="AU805" s="50"/>
      <c r="AV805" s="50"/>
      <c r="AW805" s="50"/>
      <c r="AX805" s="50"/>
      <c r="AY805" s="50"/>
      <c r="AZ805" s="50"/>
      <c r="BA805" s="50"/>
      <c r="BB805" s="50"/>
      <c r="BC805" s="50"/>
      <c r="BD805" s="50"/>
      <c r="BE805" s="50"/>
      <c r="BF805" s="50"/>
      <c r="BG805" s="50"/>
      <c r="BH805" s="50"/>
      <c r="BI805" s="50"/>
      <c r="BJ805" s="50"/>
      <c r="BK805" s="50"/>
      <c r="BL805" s="50"/>
      <c r="BM805" s="50"/>
      <c r="BN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168"/>
      <c r="Z806" s="50"/>
      <c r="AA806" s="50"/>
      <c r="AB806" s="50"/>
      <c r="AC806" s="168"/>
      <c r="AD806" s="168"/>
      <c r="AE806" s="168"/>
      <c r="AF806" s="50"/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50"/>
      <c r="AR806" s="50"/>
      <c r="AS806" s="50"/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0"/>
      <c r="BE806" s="50"/>
      <c r="BF806" s="50"/>
      <c r="BG806" s="50"/>
      <c r="BH806" s="50"/>
      <c r="BI806" s="50"/>
      <c r="BJ806" s="50"/>
      <c r="BK806" s="50"/>
      <c r="BL806" s="50"/>
      <c r="BM806" s="50"/>
      <c r="BN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168"/>
      <c r="Z807" s="50"/>
      <c r="AA807" s="50"/>
      <c r="AB807" s="50"/>
      <c r="AC807" s="168"/>
      <c r="AD807" s="168"/>
      <c r="AE807" s="168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0"/>
      <c r="BE807" s="50"/>
      <c r="BF807" s="50"/>
      <c r="BG807" s="50"/>
      <c r="BH807" s="50"/>
      <c r="BI807" s="50"/>
      <c r="BJ807" s="50"/>
      <c r="BK807" s="50"/>
      <c r="BL807" s="50"/>
      <c r="BM807" s="50"/>
      <c r="BN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168"/>
      <c r="Z808" s="50"/>
      <c r="AA808" s="50"/>
      <c r="AB808" s="50"/>
      <c r="AC808" s="168"/>
      <c r="AD808" s="168"/>
      <c r="AE808" s="168"/>
      <c r="AF808" s="50"/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50"/>
      <c r="AR808" s="50"/>
      <c r="AS808" s="50"/>
      <c r="AT808" s="50"/>
      <c r="AU808" s="50"/>
      <c r="AV808" s="50"/>
      <c r="AW808" s="50"/>
      <c r="AX808" s="50"/>
      <c r="AY808" s="50"/>
      <c r="AZ808" s="50"/>
      <c r="BA808" s="50"/>
      <c r="BB808" s="50"/>
      <c r="BC808" s="50"/>
      <c r="BD808" s="50"/>
      <c r="BE808" s="50"/>
      <c r="BF808" s="50"/>
      <c r="BG808" s="50"/>
      <c r="BH808" s="50"/>
      <c r="BI808" s="50"/>
      <c r="BJ808" s="50"/>
      <c r="BK808" s="50"/>
      <c r="BL808" s="50"/>
      <c r="BM808" s="50"/>
      <c r="BN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168"/>
      <c r="Z809" s="50"/>
      <c r="AA809" s="50"/>
      <c r="AB809" s="50"/>
      <c r="AC809" s="168"/>
      <c r="AD809" s="168"/>
      <c r="AE809" s="168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0"/>
      <c r="BE809" s="50"/>
      <c r="BF809" s="50"/>
      <c r="BG809" s="50"/>
      <c r="BH809" s="50"/>
      <c r="BI809" s="50"/>
      <c r="BJ809" s="50"/>
      <c r="BK809" s="50"/>
      <c r="BL809" s="50"/>
      <c r="BM809" s="50"/>
      <c r="BN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168"/>
      <c r="Z810" s="50"/>
      <c r="AA810" s="50"/>
      <c r="AB810" s="50"/>
      <c r="AC810" s="168"/>
      <c r="AD810" s="168"/>
      <c r="AE810" s="168"/>
      <c r="AF810" s="50"/>
      <c r="AG810" s="50"/>
      <c r="AH810" s="50"/>
      <c r="AI810" s="50"/>
      <c r="AJ810" s="50"/>
      <c r="AK810" s="50"/>
      <c r="AL810" s="50"/>
      <c r="AM810" s="50"/>
      <c r="AN810" s="50"/>
      <c r="AO810" s="50"/>
      <c r="AP810" s="50"/>
      <c r="AQ810" s="50"/>
      <c r="AR810" s="50"/>
      <c r="AS810" s="50"/>
      <c r="AT810" s="50"/>
      <c r="AU810" s="50"/>
      <c r="AV810" s="50"/>
      <c r="AW810" s="50"/>
      <c r="AX810" s="50"/>
      <c r="AY810" s="50"/>
      <c r="AZ810" s="50"/>
      <c r="BA810" s="50"/>
      <c r="BB810" s="50"/>
      <c r="BC810" s="50"/>
      <c r="BD810" s="50"/>
      <c r="BE810" s="50"/>
      <c r="BF810" s="50"/>
      <c r="BG810" s="50"/>
      <c r="BH810" s="50"/>
      <c r="BI810" s="50"/>
      <c r="BJ810" s="50"/>
      <c r="BK810" s="50"/>
      <c r="BL810" s="50"/>
      <c r="BM810" s="50"/>
      <c r="BN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168"/>
      <c r="Z811" s="50"/>
      <c r="AA811" s="50"/>
      <c r="AB811" s="50"/>
      <c r="AC811" s="168"/>
      <c r="AD811" s="168"/>
      <c r="AE811" s="168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  <c r="AV811" s="50"/>
      <c r="AW811" s="50"/>
      <c r="AX811" s="50"/>
      <c r="AY811" s="50"/>
      <c r="AZ811" s="50"/>
      <c r="BA811" s="50"/>
      <c r="BB811" s="50"/>
      <c r="BC811" s="50"/>
      <c r="BD811" s="50"/>
      <c r="BE811" s="50"/>
      <c r="BF811" s="50"/>
      <c r="BG811" s="50"/>
      <c r="BH811" s="50"/>
      <c r="BI811" s="50"/>
      <c r="BJ811" s="50"/>
      <c r="BK811" s="50"/>
      <c r="BL811" s="50"/>
      <c r="BM811" s="50"/>
      <c r="BN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168"/>
      <c r="Z812" s="50"/>
      <c r="AA812" s="50"/>
      <c r="AB812" s="50"/>
      <c r="AC812" s="168"/>
      <c r="AD812" s="168"/>
      <c r="AE812" s="168"/>
      <c r="AF812" s="50"/>
      <c r="AG812" s="50"/>
      <c r="AH812" s="50"/>
      <c r="AI812" s="50"/>
      <c r="AJ812" s="50"/>
      <c r="AK812" s="50"/>
      <c r="AL812" s="50"/>
      <c r="AM812" s="50"/>
      <c r="AN812" s="50"/>
      <c r="AO812" s="50"/>
      <c r="AP812" s="50"/>
      <c r="AQ812" s="50"/>
      <c r="AR812" s="50"/>
      <c r="AS812" s="50"/>
      <c r="AT812" s="50"/>
      <c r="AU812" s="50"/>
      <c r="AV812" s="50"/>
      <c r="AW812" s="50"/>
      <c r="AX812" s="50"/>
      <c r="AY812" s="50"/>
      <c r="AZ812" s="50"/>
      <c r="BA812" s="50"/>
      <c r="BB812" s="50"/>
      <c r="BC812" s="50"/>
      <c r="BD812" s="50"/>
      <c r="BE812" s="50"/>
      <c r="BF812" s="50"/>
      <c r="BG812" s="50"/>
      <c r="BH812" s="50"/>
      <c r="BI812" s="50"/>
      <c r="BJ812" s="50"/>
      <c r="BK812" s="50"/>
      <c r="BL812" s="50"/>
      <c r="BM812" s="50"/>
      <c r="BN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168"/>
      <c r="Z813" s="50"/>
      <c r="AA813" s="50"/>
      <c r="AB813" s="50"/>
      <c r="AC813" s="168"/>
      <c r="AD813" s="168"/>
      <c r="AE813" s="168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50"/>
      <c r="AU813" s="50"/>
      <c r="AV813" s="50"/>
      <c r="AW813" s="50"/>
      <c r="AX813" s="50"/>
      <c r="AY813" s="50"/>
      <c r="AZ813" s="50"/>
      <c r="BA813" s="50"/>
      <c r="BB813" s="50"/>
      <c r="BC813" s="50"/>
      <c r="BD813" s="50"/>
      <c r="BE813" s="50"/>
      <c r="BF813" s="50"/>
      <c r="BG813" s="50"/>
      <c r="BH813" s="50"/>
      <c r="BI813" s="50"/>
      <c r="BJ813" s="50"/>
      <c r="BK813" s="50"/>
      <c r="BL813" s="50"/>
      <c r="BM813" s="50"/>
      <c r="BN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168"/>
      <c r="Z814" s="50"/>
      <c r="AA814" s="50"/>
      <c r="AB814" s="50"/>
      <c r="AC814" s="168"/>
      <c r="AD814" s="168"/>
      <c r="AE814" s="168"/>
      <c r="AF814" s="50"/>
      <c r="AG814" s="50"/>
      <c r="AH814" s="50"/>
      <c r="AI814" s="50"/>
      <c r="AJ814" s="50"/>
      <c r="AK814" s="50"/>
      <c r="AL814" s="50"/>
      <c r="AM814" s="50"/>
      <c r="AN814" s="50"/>
      <c r="AO814" s="50"/>
      <c r="AP814" s="50"/>
      <c r="AQ814" s="50"/>
      <c r="AR814" s="50"/>
      <c r="AS814" s="50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/>
      <c r="BE814" s="50"/>
      <c r="BF814" s="50"/>
      <c r="BG814" s="50"/>
      <c r="BH814" s="50"/>
      <c r="BI814" s="50"/>
      <c r="BJ814" s="50"/>
      <c r="BK814" s="50"/>
      <c r="BL814" s="50"/>
      <c r="BM814" s="50"/>
      <c r="BN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168"/>
      <c r="Z815" s="50"/>
      <c r="AA815" s="50"/>
      <c r="AB815" s="50"/>
      <c r="AC815" s="168"/>
      <c r="AD815" s="168"/>
      <c r="AE815" s="168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50"/>
      <c r="AU815" s="50"/>
      <c r="AV815" s="50"/>
      <c r="AW815" s="50"/>
      <c r="AX815" s="50"/>
      <c r="AY815" s="50"/>
      <c r="AZ815" s="50"/>
      <c r="BA815" s="50"/>
      <c r="BB815" s="50"/>
      <c r="BC815" s="50"/>
      <c r="BD815" s="50"/>
      <c r="BE815" s="50"/>
      <c r="BF815" s="50"/>
      <c r="BG815" s="50"/>
      <c r="BH815" s="50"/>
      <c r="BI815" s="50"/>
      <c r="BJ815" s="50"/>
      <c r="BK815" s="50"/>
      <c r="BL815" s="50"/>
      <c r="BM815" s="50"/>
      <c r="BN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168"/>
      <c r="Z816" s="50"/>
      <c r="AA816" s="50"/>
      <c r="AB816" s="50"/>
      <c r="AC816" s="168"/>
      <c r="AD816" s="168"/>
      <c r="AE816" s="168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0"/>
      <c r="BE816" s="50"/>
      <c r="BF816" s="50"/>
      <c r="BG816" s="50"/>
      <c r="BH816" s="50"/>
      <c r="BI816" s="50"/>
      <c r="BJ816" s="50"/>
      <c r="BK816" s="50"/>
      <c r="BL816" s="50"/>
      <c r="BM816" s="50"/>
      <c r="BN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168"/>
      <c r="Z817" s="50"/>
      <c r="AA817" s="50"/>
      <c r="AB817" s="50"/>
      <c r="AC817" s="168"/>
      <c r="AD817" s="168"/>
      <c r="AE817" s="168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0"/>
      <c r="BE817" s="50"/>
      <c r="BF817" s="50"/>
      <c r="BG817" s="50"/>
      <c r="BH817" s="50"/>
      <c r="BI817" s="50"/>
      <c r="BJ817" s="50"/>
      <c r="BK817" s="50"/>
      <c r="BL817" s="50"/>
      <c r="BM817" s="50"/>
      <c r="BN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168"/>
      <c r="Z818" s="50"/>
      <c r="AA818" s="50"/>
      <c r="AB818" s="50"/>
      <c r="AC818" s="168"/>
      <c r="AD818" s="168"/>
      <c r="AE818" s="168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/>
      <c r="BE818" s="50"/>
      <c r="BF818" s="50"/>
      <c r="BG818" s="50"/>
      <c r="BH818" s="50"/>
      <c r="BI818" s="50"/>
      <c r="BJ818" s="50"/>
      <c r="BK818" s="50"/>
      <c r="BL818" s="50"/>
      <c r="BM818" s="50"/>
      <c r="BN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168"/>
      <c r="Z819" s="50"/>
      <c r="AA819" s="50"/>
      <c r="AB819" s="50"/>
      <c r="AC819" s="168"/>
      <c r="AD819" s="168"/>
      <c r="AE819" s="168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50"/>
      <c r="AU819" s="50"/>
      <c r="AV819" s="50"/>
      <c r="AW819" s="50"/>
      <c r="AX819" s="50"/>
      <c r="AY819" s="50"/>
      <c r="AZ819" s="50"/>
      <c r="BA819" s="50"/>
      <c r="BB819" s="50"/>
      <c r="BC819" s="50"/>
      <c r="BD819" s="50"/>
      <c r="BE819" s="50"/>
      <c r="BF819" s="50"/>
      <c r="BG819" s="50"/>
      <c r="BH819" s="50"/>
      <c r="BI819" s="50"/>
      <c r="BJ819" s="50"/>
      <c r="BK819" s="50"/>
      <c r="BL819" s="50"/>
      <c r="BM819" s="50"/>
      <c r="BN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168"/>
      <c r="Z820" s="50"/>
      <c r="AA820" s="50"/>
      <c r="AB820" s="50"/>
      <c r="AC820" s="168"/>
      <c r="AD820" s="168"/>
      <c r="AE820" s="168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  <c r="AV820" s="50"/>
      <c r="AW820" s="50"/>
      <c r="AX820" s="50"/>
      <c r="AY820" s="50"/>
      <c r="AZ820" s="50"/>
      <c r="BA820" s="50"/>
      <c r="BB820" s="50"/>
      <c r="BC820" s="50"/>
      <c r="BD820" s="50"/>
      <c r="BE820" s="50"/>
      <c r="BF820" s="50"/>
      <c r="BG820" s="50"/>
      <c r="BH820" s="50"/>
      <c r="BI820" s="50"/>
      <c r="BJ820" s="50"/>
      <c r="BK820" s="50"/>
      <c r="BL820" s="50"/>
      <c r="BM820" s="50"/>
      <c r="BN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168"/>
      <c r="Z821" s="50"/>
      <c r="AA821" s="50"/>
      <c r="AB821" s="50"/>
      <c r="AC821" s="168"/>
      <c r="AD821" s="168"/>
      <c r="AE821" s="168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50"/>
      <c r="AU821" s="50"/>
      <c r="AV821" s="50"/>
      <c r="AW821" s="50"/>
      <c r="AX821" s="50"/>
      <c r="AY821" s="50"/>
      <c r="AZ821" s="50"/>
      <c r="BA821" s="50"/>
      <c r="BB821" s="50"/>
      <c r="BC821" s="50"/>
      <c r="BD821" s="50"/>
      <c r="BE821" s="50"/>
      <c r="BF821" s="50"/>
      <c r="BG821" s="50"/>
      <c r="BH821" s="50"/>
      <c r="BI821" s="50"/>
      <c r="BJ821" s="50"/>
      <c r="BK821" s="50"/>
      <c r="BL821" s="50"/>
      <c r="BM821" s="50"/>
      <c r="BN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168"/>
      <c r="Z822" s="50"/>
      <c r="AA822" s="50"/>
      <c r="AB822" s="50"/>
      <c r="AC822" s="168"/>
      <c r="AD822" s="168"/>
      <c r="AE822" s="168"/>
      <c r="AF822" s="50"/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50"/>
      <c r="AR822" s="50"/>
      <c r="AS822" s="50"/>
      <c r="AT822" s="50"/>
      <c r="AU822" s="50"/>
      <c r="AV822" s="50"/>
      <c r="AW822" s="50"/>
      <c r="AX822" s="50"/>
      <c r="AY822" s="50"/>
      <c r="AZ822" s="50"/>
      <c r="BA822" s="50"/>
      <c r="BB822" s="50"/>
      <c r="BC822" s="50"/>
      <c r="BD822" s="50"/>
      <c r="BE822" s="50"/>
      <c r="BF822" s="50"/>
      <c r="BG822" s="50"/>
      <c r="BH822" s="50"/>
      <c r="BI822" s="50"/>
      <c r="BJ822" s="50"/>
      <c r="BK822" s="50"/>
      <c r="BL822" s="50"/>
      <c r="BM822" s="50"/>
      <c r="BN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168"/>
      <c r="Z823" s="50"/>
      <c r="AA823" s="50"/>
      <c r="AB823" s="50"/>
      <c r="AC823" s="168"/>
      <c r="AD823" s="168"/>
      <c r="AE823" s="168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50"/>
      <c r="AU823" s="50"/>
      <c r="AV823" s="50"/>
      <c r="AW823" s="50"/>
      <c r="AX823" s="50"/>
      <c r="AY823" s="50"/>
      <c r="AZ823" s="50"/>
      <c r="BA823" s="50"/>
      <c r="BB823" s="50"/>
      <c r="BC823" s="50"/>
      <c r="BD823" s="50"/>
      <c r="BE823" s="50"/>
      <c r="BF823" s="50"/>
      <c r="BG823" s="50"/>
      <c r="BH823" s="50"/>
      <c r="BI823" s="50"/>
      <c r="BJ823" s="50"/>
      <c r="BK823" s="50"/>
      <c r="BL823" s="50"/>
      <c r="BM823" s="50"/>
      <c r="BN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168"/>
      <c r="Z824" s="50"/>
      <c r="AA824" s="50"/>
      <c r="AB824" s="50"/>
      <c r="AC824" s="168"/>
      <c r="AD824" s="168"/>
      <c r="AE824" s="168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0"/>
      <c r="BF824" s="50"/>
      <c r="BG824" s="50"/>
      <c r="BH824" s="50"/>
      <c r="BI824" s="50"/>
      <c r="BJ824" s="50"/>
      <c r="BK824" s="50"/>
      <c r="BL824" s="50"/>
      <c r="BM824" s="50"/>
      <c r="BN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168"/>
      <c r="Z825" s="50"/>
      <c r="AA825" s="50"/>
      <c r="AB825" s="50"/>
      <c r="AC825" s="168"/>
      <c r="AD825" s="168"/>
      <c r="AE825" s="168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/>
      <c r="BB825" s="50"/>
      <c r="BC825" s="50"/>
      <c r="BD825" s="50"/>
      <c r="BE825" s="50"/>
      <c r="BF825" s="50"/>
      <c r="BG825" s="50"/>
      <c r="BH825" s="50"/>
      <c r="BI825" s="50"/>
      <c r="BJ825" s="50"/>
      <c r="BK825" s="50"/>
      <c r="BL825" s="50"/>
      <c r="BM825" s="50"/>
      <c r="BN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168"/>
      <c r="Z826" s="50"/>
      <c r="AA826" s="50"/>
      <c r="AB826" s="50"/>
      <c r="AC826" s="168"/>
      <c r="AD826" s="168"/>
      <c r="AE826" s="168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/>
      <c r="AR826" s="50"/>
      <c r="AS826" s="50"/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0"/>
      <c r="BE826" s="50"/>
      <c r="BF826" s="50"/>
      <c r="BG826" s="50"/>
      <c r="BH826" s="50"/>
      <c r="BI826" s="50"/>
      <c r="BJ826" s="50"/>
      <c r="BK826" s="50"/>
      <c r="BL826" s="50"/>
      <c r="BM826" s="50"/>
      <c r="BN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168"/>
      <c r="Z827" s="50"/>
      <c r="AA827" s="50"/>
      <c r="AB827" s="50"/>
      <c r="AC827" s="168"/>
      <c r="AD827" s="168"/>
      <c r="AE827" s="168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/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  <c r="BL827" s="50"/>
      <c r="BM827" s="50"/>
      <c r="BN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168"/>
      <c r="Z828" s="50"/>
      <c r="AA828" s="50"/>
      <c r="AB828" s="50"/>
      <c r="AC828" s="168"/>
      <c r="AD828" s="168"/>
      <c r="AE828" s="168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0"/>
      <c r="BE828" s="50"/>
      <c r="BF828" s="50"/>
      <c r="BG828" s="50"/>
      <c r="BH828" s="50"/>
      <c r="BI828" s="50"/>
      <c r="BJ828" s="50"/>
      <c r="BK828" s="50"/>
      <c r="BL828" s="50"/>
      <c r="BM828" s="50"/>
      <c r="BN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168"/>
      <c r="Z829" s="50"/>
      <c r="AA829" s="50"/>
      <c r="AB829" s="50"/>
      <c r="AC829" s="168"/>
      <c r="AD829" s="168"/>
      <c r="AE829" s="168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/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  <c r="BL829" s="50"/>
      <c r="BM829" s="50"/>
      <c r="BN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168"/>
      <c r="Z830" s="50"/>
      <c r="AA830" s="50"/>
      <c r="AB830" s="50"/>
      <c r="AC830" s="168"/>
      <c r="AD830" s="168"/>
      <c r="AE830" s="168"/>
      <c r="AF830" s="50"/>
      <c r="AG830" s="50"/>
      <c r="AH830" s="50"/>
      <c r="AI830" s="50"/>
      <c r="AJ830" s="50"/>
      <c r="AK830" s="50"/>
      <c r="AL830" s="50"/>
      <c r="AM830" s="50"/>
      <c r="AN830" s="50"/>
      <c r="AO830" s="50"/>
      <c r="AP830" s="50"/>
      <c r="AQ830" s="50"/>
      <c r="AR830" s="50"/>
      <c r="AS830" s="50"/>
      <c r="AT830" s="50"/>
      <c r="AU830" s="50"/>
      <c r="AV830" s="50"/>
      <c r="AW830" s="50"/>
      <c r="AX830" s="50"/>
      <c r="AY830" s="50"/>
      <c r="AZ830" s="50"/>
      <c r="BA830" s="50"/>
      <c r="BB830" s="50"/>
      <c r="BC830" s="50"/>
      <c r="BD830" s="50"/>
      <c r="BE830" s="50"/>
      <c r="BF830" s="50"/>
      <c r="BG830" s="50"/>
      <c r="BH830" s="50"/>
      <c r="BI830" s="50"/>
      <c r="BJ830" s="50"/>
      <c r="BK830" s="50"/>
      <c r="BL830" s="50"/>
      <c r="BM830" s="50"/>
      <c r="BN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168"/>
      <c r="Z831" s="50"/>
      <c r="AA831" s="50"/>
      <c r="AB831" s="50"/>
      <c r="AC831" s="168"/>
      <c r="AD831" s="168"/>
      <c r="AE831" s="168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/>
      <c r="AR831" s="50"/>
      <c r="AS831" s="50"/>
      <c r="AT831" s="50"/>
      <c r="AU831" s="50"/>
      <c r="AV831" s="50"/>
      <c r="AW831" s="50"/>
      <c r="AX831" s="50"/>
      <c r="AY831" s="50"/>
      <c r="AZ831" s="50"/>
      <c r="BA831" s="50"/>
      <c r="BB831" s="50"/>
      <c r="BC831" s="50"/>
      <c r="BD831" s="50"/>
      <c r="BE831" s="50"/>
      <c r="BF831" s="50"/>
      <c r="BG831" s="50"/>
      <c r="BH831" s="50"/>
      <c r="BI831" s="50"/>
      <c r="BJ831" s="50"/>
      <c r="BK831" s="50"/>
      <c r="BL831" s="50"/>
      <c r="BM831" s="50"/>
      <c r="BN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168"/>
      <c r="Z832" s="50"/>
      <c r="AA832" s="50"/>
      <c r="AB832" s="50"/>
      <c r="AC832" s="168"/>
      <c r="AD832" s="168"/>
      <c r="AE832" s="168"/>
      <c r="AF832" s="50"/>
      <c r="AG832" s="50"/>
      <c r="AH832" s="50"/>
      <c r="AI832" s="50"/>
      <c r="AJ832" s="50"/>
      <c r="AK832" s="50"/>
      <c r="AL832" s="50"/>
      <c r="AM832" s="50"/>
      <c r="AN832" s="50"/>
      <c r="AO832" s="50"/>
      <c r="AP832" s="50"/>
      <c r="AQ832" s="50"/>
      <c r="AR832" s="50"/>
      <c r="AS832" s="50"/>
      <c r="AT832" s="50"/>
      <c r="AU832" s="50"/>
      <c r="AV832" s="50"/>
      <c r="AW832" s="50"/>
      <c r="AX832" s="50"/>
      <c r="AY832" s="50"/>
      <c r="AZ832" s="50"/>
      <c r="BA832" s="50"/>
      <c r="BB832" s="50"/>
      <c r="BC832" s="50"/>
      <c r="BD832" s="50"/>
      <c r="BE832" s="50"/>
      <c r="BF832" s="50"/>
      <c r="BG832" s="50"/>
      <c r="BH832" s="50"/>
      <c r="BI832" s="50"/>
      <c r="BJ832" s="50"/>
      <c r="BK832" s="50"/>
      <c r="BL832" s="50"/>
      <c r="BM832" s="50"/>
      <c r="BN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168"/>
      <c r="Z833" s="50"/>
      <c r="AA833" s="50"/>
      <c r="AB833" s="50"/>
      <c r="AC833" s="168"/>
      <c r="AD833" s="168"/>
      <c r="AE833" s="168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0"/>
      <c r="BE833" s="50"/>
      <c r="BF833" s="50"/>
      <c r="BG833" s="50"/>
      <c r="BH833" s="50"/>
      <c r="BI833" s="50"/>
      <c r="BJ833" s="50"/>
      <c r="BK833" s="50"/>
      <c r="BL833" s="50"/>
      <c r="BM833" s="50"/>
      <c r="BN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168"/>
      <c r="Z834" s="50"/>
      <c r="AA834" s="50"/>
      <c r="AB834" s="50"/>
      <c r="AC834" s="168"/>
      <c r="AD834" s="168"/>
      <c r="AE834" s="168"/>
      <c r="AF834" s="50"/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50"/>
      <c r="BG834" s="50"/>
      <c r="BH834" s="50"/>
      <c r="BI834" s="50"/>
      <c r="BJ834" s="50"/>
      <c r="BK834" s="50"/>
      <c r="BL834" s="50"/>
      <c r="BM834" s="50"/>
      <c r="BN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168"/>
      <c r="Z835" s="50"/>
      <c r="AA835" s="50"/>
      <c r="AB835" s="50"/>
      <c r="AC835" s="168"/>
      <c r="AD835" s="168"/>
      <c r="AE835" s="168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/>
      <c r="BE835" s="50"/>
      <c r="BF835" s="50"/>
      <c r="BG835" s="50"/>
      <c r="BH835" s="50"/>
      <c r="BI835" s="50"/>
      <c r="BJ835" s="50"/>
      <c r="BK835" s="50"/>
      <c r="BL835" s="50"/>
      <c r="BM835" s="50"/>
      <c r="BN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168"/>
      <c r="Z836" s="50"/>
      <c r="AA836" s="50"/>
      <c r="AB836" s="50"/>
      <c r="AC836" s="168"/>
      <c r="AD836" s="168"/>
      <c r="AE836" s="168"/>
      <c r="AF836" s="50"/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50"/>
      <c r="AR836" s="50"/>
      <c r="AS836" s="50"/>
      <c r="AT836" s="50"/>
      <c r="AU836" s="50"/>
      <c r="AV836" s="50"/>
      <c r="AW836" s="50"/>
      <c r="AX836" s="50"/>
      <c r="AY836" s="50"/>
      <c r="AZ836" s="50"/>
      <c r="BA836" s="50"/>
      <c r="BB836" s="50"/>
      <c r="BC836" s="50"/>
      <c r="BD836" s="50"/>
      <c r="BE836" s="50"/>
      <c r="BF836" s="50"/>
      <c r="BG836" s="50"/>
      <c r="BH836" s="50"/>
      <c r="BI836" s="50"/>
      <c r="BJ836" s="50"/>
      <c r="BK836" s="50"/>
      <c r="BL836" s="50"/>
      <c r="BM836" s="50"/>
      <c r="BN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168"/>
      <c r="Z837" s="50"/>
      <c r="AA837" s="50"/>
      <c r="AB837" s="50"/>
      <c r="AC837" s="168"/>
      <c r="AD837" s="168"/>
      <c r="AE837" s="168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50"/>
      <c r="AU837" s="50"/>
      <c r="AV837" s="50"/>
      <c r="AW837" s="50"/>
      <c r="AX837" s="50"/>
      <c r="AY837" s="50"/>
      <c r="AZ837" s="50"/>
      <c r="BA837" s="50"/>
      <c r="BB837" s="50"/>
      <c r="BC837" s="50"/>
      <c r="BD837" s="50"/>
      <c r="BE837" s="50"/>
      <c r="BF837" s="50"/>
      <c r="BG837" s="50"/>
      <c r="BH837" s="50"/>
      <c r="BI837" s="50"/>
      <c r="BJ837" s="50"/>
      <c r="BK837" s="50"/>
      <c r="BL837" s="50"/>
      <c r="BM837" s="50"/>
      <c r="BN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168"/>
      <c r="Z838" s="50"/>
      <c r="AA838" s="50"/>
      <c r="AB838" s="50"/>
      <c r="AC838" s="168"/>
      <c r="AD838" s="168"/>
      <c r="AE838" s="168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/>
      <c r="BE838" s="50"/>
      <c r="BF838" s="50"/>
      <c r="BG838" s="50"/>
      <c r="BH838" s="50"/>
      <c r="BI838" s="50"/>
      <c r="BJ838" s="50"/>
      <c r="BK838" s="50"/>
      <c r="BL838" s="50"/>
      <c r="BM838" s="50"/>
      <c r="BN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168"/>
      <c r="Z839" s="50"/>
      <c r="AA839" s="50"/>
      <c r="AB839" s="50"/>
      <c r="AC839" s="168"/>
      <c r="AD839" s="168"/>
      <c r="AE839" s="168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50"/>
      <c r="AU839" s="50"/>
      <c r="AV839" s="50"/>
      <c r="AW839" s="50"/>
      <c r="AX839" s="50"/>
      <c r="AY839" s="50"/>
      <c r="AZ839" s="50"/>
      <c r="BA839" s="50"/>
      <c r="BB839" s="50"/>
      <c r="BC839" s="50"/>
      <c r="BD839" s="50"/>
      <c r="BE839" s="50"/>
      <c r="BF839" s="50"/>
      <c r="BG839" s="50"/>
      <c r="BH839" s="50"/>
      <c r="BI839" s="50"/>
      <c r="BJ839" s="50"/>
      <c r="BK839" s="50"/>
      <c r="BL839" s="50"/>
      <c r="BM839" s="50"/>
      <c r="BN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168"/>
      <c r="Z840" s="50"/>
      <c r="AA840" s="50"/>
      <c r="AB840" s="50"/>
      <c r="AC840" s="168"/>
      <c r="AD840" s="168"/>
      <c r="AE840" s="168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/>
      <c r="AW840" s="50"/>
      <c r="AX840" s="50"/>
      <c r="AY840" s="50"/>
      <c r="AZ840" s="50"/>
      <c r="BA840" s="50"/>
      <c r="BB840" s="50"/>
      <c r="BC840" s="50"/>
      <c r="BD840" s="50"/>
      <c r="BE840" s="50"/>
      <c r="BF840" s="50"/>
      <c r="BG840" s="50"/>
      <c r="BH840" s="50"/>
      <c r="BI840" s="50"/>
      <c r="BJ840" s="50"/>
      <c r="BK840" s="50"/>
      <c r="BL840" s="50"/>
      <c r="BM840" s="50"/>
      <c r="BN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168"/>
      <c r="Z841" s="50"/>
      <c r="AA841" s="50"/>
      <c r="AB841" s="50"/>
      <c r="AC841" s="168"/>
      <c r="AD841" s="168"/>
      <c r="AE841" s="168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50"/>
      <c r="AU841" s="50"/>
      <c r="AV841" s="50"/>
      <c r="AW841" s="50"/>
      <c r="AX841" s="50"/>
      <c r="AY841" s="50"/>
      <c r="AZ841" s="50"/>
      <c r="BA841" s="50"/>
      <c r="BB841" s="50"/>
      <c r="BC841" s="50"/>
      <c r="BD841" s="50"/>
      <c r="BE841" s="50"/>
      <c r="BF841" s="50"/>
      <c r="BG841" s="50"/>
      <c r="BH841" s="50"/>
      <c r="BI841" s="50"/>
      <c r="BJ841" s="50"/>
      <c r="BK841" s="50"/>
      <c r="BL841" s="50"/>
      <c r="BM841" s="50"/>
      <c r="BN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168"/>
      <c r="Z842" s="50"/>
      <c r="AA842" s="50"/>
      <c r="AB842" s="50"/>
      <c r="AC842" s="168"/>
      <c r="AD842" s="168"/>
      <c r="AE842" s="168"/>
      <c r="AF842" s="50"/>
      <c r="AG842" s="50"/>
      <c r="AH842" s="50"/>
      <c r="AI842" s="50"/>
      <c r="AJ842" s="50"/>
      <c r="AK842" s="50"/>
      <c r="AL842" s="50"/>
      <c r="AM842" s="50"/>
      <c r="AN842" s="50"/>
      <c r="AO842" s="50"/>
      <c r="AP842" s="50"/>
      <c r="AQ842" s="50"/>
      <c r="AR842" s="50"/>
      <c r="AS842" s="50"/>
      <c r="AT842" s="50"/>
      <c r="AU842" s="50"/>
      <c r="AV842" s="50"/>
      <c r="AW842" s="50"/>
      <c r="AX842" s="50"/>
      <c r="AY842" s="50"/>
      <c r="AZ842" s="50"/>
      <c r="BA842" s="50"/>
      <c r="BB842" s="50"/>
      <c r="BC842" s="50"/>
      <c r="BD842" s="50"/>
      <c r="BE842" s="50"/>
      <c r="BF842" s="50"/>
      <c r="BG842" s="50"/>
      <c r="BH842" s="50"/>
      <c r="BI842" s="50"/>
      <c r="BJ842" s="50"/>
      <c r="BK842" s="50"/>
      <c r="BL842" s="50"/>
      <c r="BM842" s="50"/>
      <c r="BN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168"/>
      <c r="Z843" s="50"/>
      <c r="AA843" s="50"/>
      <c r="AB843" s="50"/>
      <c r="AC843" s="168"/>
      <c r="AD843" s="168"/>
      <c r="AE843" s="168"/>
      <c r="AF843" s="50"/>
      <c r="AG843" s="50"/>
      <c r="AH843" s="50"/>
      <c r="AI843" s="50"/>
      <c r="AJ843" s="50"/>
      <c r="AK843" s="50"/>
      <c r="AL843" s="50"/>
      <c r="AM843" s="50"/>
      <c r="AN843" s="50"/>
      <c r="AO843" s="50"/>
      <c r="AP843" s="50"/>
      <c r="AQ843" s="50"/>
      <c r="AR843" s="50"/>
      <c r="AS843" s="50"/>
      <c r="AT843" s="50"/>
      <c r="AU843" s="50"/>
      <c r="AV843" s="50"/>
      <c r="AW843" s="50"/>
      <c r="AX843" s="50"/>
      <c r="AY843" s="50"/>
      <c r="AZ843" s="50"/>
      <c r="BA843" s="50"/>
      <c r="BB843" s="50"/>
      <c r="BC843" s="50"/>
      <c r="BD843" s="50"/>
      <c r="BE843" s="50"/>
      <c r="BF843" s="50"/>
      <c r="BG843" s="50"/>
      <c r="BH843" s="50"/>
      <c r="BI843" s="50"/>
      <c r="BJ843" s="50"/>
      <c r="BK843" s="50"/>
      <c r="BL843" s="50"/>
      <c r="BM843" s="50"/>
      <c r="BN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168"/>
      <c r="Z844" s="50"/>
      <c r="AA844" s="50"/>
      <c r="AB844" s="50"/>
      <c r="AC844" s="168"/>
      <c r="AD844" s="168"/>
      <c r="AE844" s="168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0"/>
      <c r="BE844" s="50"/>
      <c r="BF844" s="50"/>
      <c r="BG844" s="50"/>
      <c r="BH844" s="50"/>
      <c r="BI844" s="50"/>
      <c r="BJ844" s="50"/>
      <c r="BK844" s="50"/>
      <c r="BL844" s="50"/>
      <c r="BM844" s="50"/>
      <c r="BN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168"/>
      <c r="Z845" s="50"/>
      <c r="AA845" s="50"/>
      <c r="AB845" s="50"/>
      <c r="AC845" s="168"/>
      <c r="AD845" s="168"/>
      <c r="AE845" s="168"/>
      <c r="AF845" s="50"/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0"/>
      <c r="BE845" s="50"/>
      <c r="BF845" s="50"/>
      <c r="BG845" s="50"/>
      <c r="BH845" s="50"/>
      <c r="BI845" s="50"/>
      <c r="BJ845" s="50"/>
      <c r="BK845" s="50"/>
      <c r="BL845" s="50"/>
      <c r="BM845" s="50"/>
      <c r="BN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168"/>
      <c r="Z846" s="50"/>
      <c r="AA846" s="50"/>
      <c r="AB846" s="50"/>
      <c r="AC846" s="168"/>
      <c r="AD846" s="168"/>
      <c r="AE846" s="168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50"/>
      <c r="BG846" s="50"/>
      <c r="BH846" s="50"/>
      <c r="BI846" s="50"/>
      <c r="BJ846" s="50"/>
      <c r="BK846" s="50"/>
      <c r="BL846" s="50"/>
      <c r="BM846" s="50"/>
      <c r="BN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168"/>
      <c r="Z847" s="50"/>
      <c r="AA847" s="50"/>
      <c r="AB847" s="50"/>
      <c r="AC847" s="168"/>
      <c r="AD847" s="168"/>
      <c r="AE847" s="168"/>
      <c r="AF847" s="50"/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0"/>
      <c r="BE847" s="50"/>
      <c r="BF847" s="50"/>
      <c r="BG847" s="50"/>
      <c r="BH847" s="50"/>
      <c r="BI847" s="50"/>
      <c r="BJ847" s="50"/>
      <c r="BK847" s="50"/>
      <c r="BL847" s="50"/>
      <c r="BM847" s="50"/>
      <c r="BN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168"/>
      <c r="Z848" s="50"/>
      <c r="AA848" s="50"/>
      <c r="AB848" s="50"/>
      <c r="AC848" s="168"/>
      <c r="AD848" s="168"/>
      <c r="AE848" s="168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0"/>
      <c r="BF848" s="50"/>
      <c r="BG848" s="50"/>
      <c r="BH848" s="50"/>
      <c r="BI848" s="50"/>
      <c r="BJ848" s="50"/>
      <c r="BK848" s="50"/>
      <c r="BL848" s="50"/>
      <c r="BM848" s="50"/>
      <c r="BN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168"/>
      <c r="Z849" s="50"/>
      <c r="AA849" s="50"/>
      <c r="AB849" s="50"/>
      <c r="AC849" s="168"/>
      <c r="AD849" s="168"/>
      <c r="AE849" s="168"/>
      <c r="AF849" s="50"/>
      <c r="AG849" s="50"/>
      <c r="AH849" s="50"/>
      <c r="AI849" s="50"/>
      <c r="AJ849" s="50"/>
      <c r="AK849" s="50"/>
      <c r="AL849" s="50"/>
      <c r="AM849" s="50"/>
      <c r="AN849" s="50"/>
      <c r="AO849" s="50"/>
      <c r="AP849" s="50"/>
      <c r="AQ849" s="50"/>
      <c r="AR849" s="50"/>
      <c r="AS849" s="50"/>
      <c r="AT849" s="50"/>
      <c r="AU849" s="50"/>
      <c r="AV849" s="50"/>
      <c r="AW849" s="50"/>
      <c r="AX849" s="50"/>
      <c r="AY849" s="50"/>
      <c r="AZ849" s="50"/>
      <c r="BA849" s="50"/>
      <c r="BB849" s="50"/>
      <c r="BC849" s="50"/>
      <c r="BD849" s="50"/>
      <c r="BE849" s="50"/>
      <c r="BF849" s="50"/>
      <c r="BG849" s="50"/>
      <c r="BH849" s="50"/>
      <c r="BI849" s="50"/>
      <c r="BJ849" s="50"/>
      <c r="BK849" s="50"/>
      <c r="BL849" s="50"/>
      <c r="BM849" s="50"/>
      <c r="BN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168"/>
      <c r="Z850" s="50"/>
      <c r="AA850" s="50"/>
      <c r="AB850" s="50"/>
      <c r="AC850" s="168"/>
      <c r="AD850" s="168"/>
      <c r="AE850" s="168"/>
      <c r="AF850" s="50"/>
      <c r="AG850" s="50"/>
      <c r="AH850" s="50"/>
      <c r="AI850" s="50"/>
      <c r="AJ850" s="50"/>
      <c r="AK850" s="50"/>
      <c r="AL850" s="50"/>
      <c r="AM850" s="50"/>
      <c r="AN850" s="50"/>
      <c r="AO850" s="50"/>
      <c r="AP850" s="50"/>
      <c r="AQ850" s="50"/>
      <c r="AR850" s="50"/>
      <c r="AS850" s="50"/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0"/>
      <c r="BE850" s="50"/>
      <c r="BF850" s="50"/>
      <c r="BG850" s="50"/>
      <c r="BH850" s="50"/>
      <c r="BI850" s="50"/>
      <c r="BJ850" s="50"/>
      <c r="BK850" s="50"/>
      <c r="BL850" s="50"/>
      <c r="BM850" s="50"/>
      <c r="BN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168"/>
      <c r="Z851" s="50"/>
      <c r="AA851" s="50"/>
      <c r="AB851" s="50"/>
      <c r="AC851" s="168"/>
      <c r="AD851" s="168"/>
      <c r="AE851" s="168"/>
      <c r="AF851" s="50"/>
      <c r="AG851" s="50"/>
      <c r="AH851" s="50"/>
      <c r="AI851" s="50"/>
      <c r="AJ851" s="50"/>
      <c r="AK851" s="50"/>
      <c r="AL851" s="50"/>
      <c r="AM851" s="50"/>
      <c r="AN851" s="50"/>
      <c r="AO851" s="50"/>
      <c r="AP851" s="50"/>
      <c r="AQ851" s="50"/>
      <c r="AR851" s="50"/>
      <c r="AS851" s="50"/>
      <c r="AT851" s="50"/>
      <c r="AU851" s="50"/>
      <c r="AV851" s="50"/>
      <c r="AW851" s="50"/>
      <c r="AX851" s="50"/>
      <c r="AY851" s="50"/>
      <c r="AZ851" s="50"/>
      <c r="BA851" s="50"/>
      <c r="BB851" s="50"/>
      <c r="BC851" s="50"/>
      <c r="BD851" s="50"/>
      <c r="BE851" s="50"/>
      <c r="BF851" s="50"/>
      <c r="BG851" s="50"/>
      <c r="BH851" s="50"/>
      <c r="BI851" s="50"/>
      <c r="BJ851" s="50"/>
      <c r="BK851" s="50"/>
      <c r="BL851" s="50"/>
      <c r="BM851" s="50"/>
      <c r="BN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168"/>
      <c r="Z852" s="50"/>
      <c r="AA852" s="50"/>
      <c r="AB852" s="50"/>
      <c r="AC852" s="168"/>
      <c r="AD852" s="168"/>
      <c r="AE852" s="168"/>
      <c r="AF852" s="50"/>
      <c r="AG852" s="50"/>
      <c r="AH852" s="50"/>
      <c r="AI852" s="50"/>
      <c r="AJ852" s="50"/>
      <c r="AK852" s="50"/>
      <c r="AL852" s="50"/>
      <c r="AM852" s="50"/>
      <c r="AN852" s="50"/>
      <c r="AO852" s="50"/>
      <c r="AP852" s="50"/>
      <c r="AQ852" s="50"/>
      <c r="AR852" s="50"/>
      <c r="AS852" s="50"/>
      <c r="AT852" s="50"/>
      <c r="AU852" s="50"/>
      <c r="AV852" s="50"/>
      <c r="AW852" s="50"/>
      <c r="AX852" s="50"/>
      <c r="AY852" s="50"/>
      <c r="AZ852" s="50"/>
      <c r="BA852" s="50"/>
      <c r="BB852" s="50"/>
      <c r="BC852" s="50"/>
      <c r="BD852" s="50"/>
      <c r="BE852" s="50"/>
      <c r="BF852" s="50"/>
      <c r="BG852" s="50"/>
      <c r="BH852" s="50"/>
      <c r="BI852" s="50"/>
      <c r="BJ852" s="50"/>
      <c r="BK852" s="50"/>
      <c r="BL852" s="50"/>
      <c r="BM852" s="50"/>
      <c r="BN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168"/>
      <c r="Z853" s="50"/>
      <c r="AA853" s="50"/>
      <c r="AB853" s="50"/>
      <c r="AC853" s="168"/>
      <c r="AD853" s="168"/>
      <c r="AE853" s="168"/>
      <c r="AF853" s="50"/>
      <c r="AG853" s="50"/>
      <c r="AH853" s="50"/>
      <c r="AI853" s="50"/>
      <c r="AJ853" s="50"/>
      <c r="AK853" s="50"/>
      <c r="AL853" s="50"/>
      <c r="AM853" s="50"/>
      <c r="AN853" s="50"/>
      <c r="AO853" s="50"/>
      <c r="AP853" s="50"/>
      <c r="AQ853" s="50"/>
      <c r="AR853" s="50"/>
      <c r="AS853" s="50"/>
      <c r="AT853" s="50"/>
      <c r="AU853" s="50"/>
      <c r="AV853" s="50"/>
      <c r="AW853" s="50"/>
      <c r="AX853" s="50"/>
      <c r="AY853" s="50"/>
      <c r="AZ853" s="50"/>
      <c r="BA853" s="50"/>
      <c r="BB853" s="50"/>
      <c r="BC853" s="50"/>
      <c r="BD853" s="50"/>
      <c r="BE853" s="50"/>
      <c r="BF853" s="50"/>
      <c r="BG853" s="50"/>
      <c r="BH853" s="50"/>
      <c r="BI853" s="50"/>
      <c r="BJ853" s="50"/>
      <c r="BK853" s="50"/>
      <c r="BL853" s="50"/>
      <c r="BM853" s="50"/>
      <c r="BN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168"/>
      <c r="Z854" s="50"/>
      <c r="AA854" s="50"/>
      <c r="AB854" s="50"/>
      <c r="AC854" s="168"/>
      <c r="AD854" s="168"/>
      <c r="AE854" s="168"/>
      <c r="AF854" s="50"/>
      <c r="AG854" s="50"/>
      <c r="AH854" s="50"/>
      <c r="AI854" s="50"/>
      <c r="AJ854" s="50"/>
      <c r="AK854" s="50"/>
      <c r="AL854" s="50"/>
      <c r="AM854" s="50"/>
      <c r="AN854" s="50"/>
      <c r="AO854" s="50"/>
      <c r="AP854" s="50"/>
      <c r="AQ854" s="50"/>
      <c r="AR854" s="50"/>
      <c r="AS854" s="50"/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0"/>
      <c r="BE854" s="50"/>
      <c r="BF854" s="50"/>
      <c r="BG854" s="50"/>
      <c r="BH854" s="50"/>
      <c r="BI854" s="50"/>
      <c r="BJ854" s="50"/>
      <c r="BK854" s="50"/>
      <c r="BL854" s="50"/>
      <c r="BM854" s="50"/>
      <c r="BN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168"/>
      <c r="Z855" s="50"/>
      <c r="AA855" s="50"/>
      <c r="AB855" s="50"/>
      <c r="AC855" s="168"/>
      <c r="AD855" s="168"/>
      <c r="AE855" s="168"/>
      <c r="AF855" s="50"/>
      <c r="AG855" s="50"/>
      <c r="AH855" s="50"/>
      <c r="AI855" s="50"/>
      <c r="AJ855" s="50"/>
      <c r="AK855" s="50"/>
      <c r="AL855" s="50"/>
      <c r="AM855" s="50"/>
      <c r="AN855" s="50"/>
      <c r="AO855" s="50"/>
      <c r="AP855" s="50"/>
      <c r="AQ855" s="50"/>
      <c r="AR855" s="50"/>
      <c r="AS855" s="50"/>
      <c r="AT855" s="50"/>
      <c r="AU855" s="50"/>
      <c r="AV855" s="50"/>
      <c r="AW855" s="50"/>
      <c r="AX855" s="50"/>
      <c r="AY855" s="50"/>
      <c r="AZ855" s="50"/>
      <c r="BA855" s="50"/>
      <c r="BB855" s="50"/>
      <c r="BC855" s="50"/>
      <c r="BD855" s="50"/>
      <c r="BE855" s="50"/>
      <c r="BF855" s="50"/>
      <c r="BG855" s="50"/>
      <c r="BH855" s="50"/>
      <c r="BI855" s="50"/>
      <c r="BJ855" s="50"/>
      <c r="BK855" s="50"/>
      <c r="BL855" s="50"/>
      <c r="BM855" s="50"/>
      <c r="BN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168"/>
      <c r="Z856" s="50"/>
      <c r="AA856" s="50"/>
      <c r="AB856" s="50"/>
      <c r="AC856" s="168"/>
      <c r="AD856" s="168"/>
      <c r="AE856" s="168"/>
      <c r="AF856" s="50"/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50"/>
      <c r="AR856" s="50"/>
      <c r="AS856" s="50"/>
      <c r="AT856" s="50"/>
      <c r="AU856" s="50"/>
      <c r="AV856" s="50"/>
      <c r="AW856" s="50"/>
      <c r="AX856" s="50"/>
      <c r="AY856" s="50"/>
      <c r="AZ856" s="50"/>
      <c r="BA856" s="50"/>
      <c r="BB856" s="50"/>
      <c r="BC856" s="50"/>
      <c r="BD856" s="50"/>
      <c r="BE856" s="50"/>
      <c r="BF856" s="50"/>
      <c r="BG856" s="50"/>
      <c r="BH856" s="50"/>
      <c r="BI856" s="50"/>
      <c r="BJ856" s="50"/>
      <c r="BK856" s="50"/>
      <c r="BL856" s="50"/>
      <c r="BM856" s="50"/>
      <c r="BN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168"/>
      <c r="Z857" s="50"/>
      <c r="AA857" s="50"/>
      <c r="AB857" s="50"/>
      <c r="AC857" s="168"/>
      <c r="AD857" s="168"/>
      <c r="AE857" s="168"/>
      <c r="AF857" s="50"/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50"/>
      <c r="AR857" s="50"/>
      <c r="AS857" s="50"/>
      <c r="AT857" s="50"/>
      <c r="AU857" s="50"/>
      <c r="AV857" s="50"/>
      <c r="AW857" s="50"/>
      <c r="AX857" s="50"/>
      <c r="AY857" s="50"/>
      <c r="AZ857" s="50"/>
      <c r="BA857" s="50"/>
      <c r="BB857" s="50"/>
      <c r="BC857" s="50"/>
      <c r="BD857" s="50"/>
      <c r="BE857" s="50"/>
      <c r="BF857" s="50"/>
      <c r="BG857" s="50"/>
      <c r="BH857" s="50"/>
      <c r="BI857" s="50"/>
      <c r="BJ857" s="50"/>
      <c r="BK857" s="50"/>
      <c r="BL857" s="50"/>
      <c r="BM857" s="50"/>
      <c r="BN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168"/>
      <c r="Z858" s="50"/>
      <c r="AA858" s="50"/>
      <c r="AB858" s="50"/>
      <c r="AC858" s="168"/>
      <c r="AD858" s="168"/>
      <c r="AE858" s="168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/>
      <c r="BE858" s="50"/>
      <c r="BF858" s="50"/>
      <c r="BG858" s="50"/>
      <c r="BH858" s="50"/>
      <c r="BI858" s="50"/>
      <c r="BJ858" s="50"/>
      <c r="BK858" s="50"/>
      <c r="BL858" s="50"/>
      <c r="BM858" s="50"/>
      <c r="BN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168"/>
      <c r="Z859" s="50"/>
      <c r="AA859" s="50"/>
      <c r="AB859" s="50"/>
      <c r="AC859" s="168"/>
      <c r="AD859" s="168"/>
      <c r="AE859" s="168"/>
      <c r="AF859" s="50"/>
      <c r="AG859" s="50"/>
      <c r="AH859" s="50"/>
      <c r="AI859" s="50"/>
      <c r="AJ859" s="50"/>
      <c r="AK859" s="50"/>
      <c r="AL859" s="50"/>
      <c r="AM859" s="50"/>
      <c r="AN859" s="50"/>
      <c r="AO859" s="50"/>
      <c r="AP859" s="50"/>
      <c r="AQ859" s="50"/>
      <c r="AR859" s="50"/>
      <c r="AS859" s="50"/>
      <c r="AT859" s="50"/>
      <c r="AU859" s="50"/>
      <c r="AV859" s="50"/>
      <c r="AW859" s="50"/>
      <c r="AX859" s="50"/>
      <c r="AY859" s="50"/>
      <c r="AZ859" s="50"/>
      <c r="BA859" s="50"/>
      <c r="BB859" s="50"/>
      <c r="BC859" s="50"/>
      <c r="BD859" s="50"/>
      <c r="BE859" s="50"/>
      <c r="BF859" s="50"/>
      <c r="BG859" s="50"/>
      <c r="BH859" s="50"/>
      <c r="BI859" s="50"/>
      <c r="BJ859" s="50"/>
      <c r="BK859" s="50"/>
      <c r="BL859" s="50"/>
      <c r="BM859" s="50"/>
      <c r="BN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168"/>
      <c r="Z860" s="50"/>
      <c r="AA860" s="50"/>
      <c r="AB860" s="50"/>
      <c r="AC860" s="168"/>
      <c r="AD860" s="168"/>
      <c r="AE860" s="168"/>
      <c r="AF860" s="50"/>
      <c r="AG860" s="50"/>
      <c r="AH860" s="50"/>
      <c r="AI860" s="50"/>
      <c r="AJ860" s="50"/>
      <c r="AK860" s="50"/>
      <c r="AL860" s="50"/>
      <c r="AM860" s="50"/>
      <c r="AN860" s="50"/>
      <c r="AO860" s="50"/>
      <c r="AP860" s="50"/>
      <c r="AQ860" s="50"/>
      <c r="AR860" s="50"/>
      <c r="AS860" s="50"/>
      <c r="AT860" s="50"/>
      <c r="AU860" s="50"/>
      <c r="AV860" s="50"/>
      <c r="AW860" s="50"/>
      <c r="AX860" s="50"/>
      <c r="AY860" s="50"/>
      <c r="AZ860" s="50"/>
      <c r="BA860" s="50"/>
      <c r="BB860" s="50"/>
      <c r="BC860" s="50"/>
      <c r="BD860" s="50"/>
      <c r="BE860" s="50"/>
      <c r="BF860" s="50"/>
      <c r="BG860" s="50"/>
      <c r="BH860" s="50"/>
      <c r="BI860" s="50"/>
      <c r="BJ860" s="50"/>
      <c r="BK860" s="50"/>
      <c r="BL860" s="50"/>
      <c r="BM860" s="50"/>
      <c r="BN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168"/>
      <c r="Z861" s="50"/>
      <c r="AA861" s="50"/>
      <c r="AB861" s="50"/>
      <c r="AC861" s="168"/>
      <c r="AD861" s="168"/>
      <c r="AE861" s="168"/>
      <c r="AF861" s="50"/>
      <c r="AG861" s="50"/>
      <c r="AH861" s="50"/>
      <c r="AI861" s="50"/>
      <c r="AJ861" s="50"/>
      <c r="AK861" s="50"/>
      <c r="AL861" s="50"/>
      <c r="AM861" s="50"/>
      <c r="AN861" s="50"/>
      <c r="AO861" s="50"/>
      <c r="AP861" s="50"/>
      <c r="AQ861" s="50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0"/>
      <c r="BE861" s="50"/>
      <c r="BF861" s="50"/>
      <c r="BG861" s="50"/>
      <c r="BH861" s="50"/>
      <c r="BI861" s="50"/>
      <c r="BJ861" s="50"/>
      <c r="BK861" s="50"/>
      <c r="BL861" s="50"/>
      <c r="BM861" s="50"/>
      <c r="BN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168"/>
      <c r="Z862" s="50"/>
      <c r="AA862" s="50"/>
      <c r="AB862" s="50"/>
      <c r="AC862" s="168"/>
      <c r="AD862" s="168"/>
      <c r="AE862" s="168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/>
      <c r="BE862" s="50"/>
      <c r="BF862" s="50"/>
      <c r="BG862" s="50"/>
      <c r="BH862" s="50"/>
      <c r="BI862" s="50"/>
      <c r="BJ862" s="50"/>
      <c r="BK862" s="50"/>
      <c r="BL862" s="50"/>
      <c r="BM862" s="50"/>
      <c r="BN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168"/>
      <c r="Z863" s="50"/>
      <c r="AA863" s="50"/>
      <c r="AB863" s="50"/>
      <c r="AC863" s="168"/>
      <c r="AD863" s="168"/>
      <c r="AE863" s="168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0"/>
      <c r="BE863" s="50"/>
      <c r="BF863" s="50"/>
      <c r="BG863" s="50"/>
      <c r="BH863" s="50"/>
      <c r="BI863" s="50"/>
      <c r="BJ863" s="50"/>
      <c r="BK863" s="50"/>
      <c r="BL863" s="50"/>
      <c r="BM863" s="50"/>
      <c r="BN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168"/>
      <c r="Z864" s="50"/>
      <c r="AA864" s="50"/>
      <c r="AB864" s="50"/>
      <c r="AC864" s="168"/>
      <c r="AD864" s="168"/>
      <c r="AE864" s="168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50"/>
      <c r="BG864" s="50"/>
      <c r="BH864" s="50"/>
      <c r="BI864" s="50"/>
      <c r="BJ864" s="50"/>
      <c r="BK864" s="50"/>
      <c r="BL864" s="50"/>
      <c r="BM864" s="50"/>
      <c r="BN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168"/>
      <c r="Z865" s="50"/>
      <c r="AA865" s="50"/>
      <c r="AB865" s="50"/>
      <c r="AC865" s="168"/>
      <c r="AD865" s="168"/>
      <c r="AE865" s="168"/>
      <c r="AF865" s="50"/>
      <c r="AG865" s="50"/>
      <c r="AH865" s="50"/>
      <c r="AI865" s="50"/>
      <c r="AJ865" s="50"/>
      <c r="AK865" s="50"/>
      <c r="AL865" s="50"/>
      <c r="AM865" s="50"/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  <c r="BL865" s="50"/>
      <c r="BM865" s="50"/>
      <c r="BN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168"/>
      <c r="Z866" s="50"/>
      <c r="AA866" s="50"/>
      <c r="AB866" s="50"/>
      <c r="AC866" s="168"/>
      <c r="AD866" s="168"/>
      <c r="AE866" s="168"/>
      <c r="AF866" s="50"/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0"/>
      <c r="BF866" s="50"/>
      <c r="BG866" s="50"/>
      <c r="BH866" s="50"/>
      <c r="BI866" s="50"/>
      <c r="BJ866" s="50"/>
      <c r="BK866" s="50"/>
      <c r="BL866" s="50"/>
      <c r="BM866" s="50"/>
      <c r="BN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168"/>
      <c r="Z867" s="50"/>
      <c r="AA867" s="50"/>
      <c r="AB867" s="50"/>
      <c r="AC867" s="168"/>
      <c r="AD867" s="168"/>
      <c r="AE867" s="168"/>
      <c r="AF867" s="50"/>
      <c r="AG867" s="50"/>
      <c r="AH867" s="50"/>
      <c r="AI867" s="50"/>
      <c r="AJ867" s="50"/>
      <c r="AK867" s="50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/>
      <c r="BE867" s="50"/>
      <c r="BF867" s="50"/>
      <c r="BG867" s="50"/>
      <c r="BH867" s="50"/>
      <c r="BI867" s="50"/>
      <c r="BJ867" s="50"/>
      <c r="BK867" s="50"/>
      <c r="BL867" s="50"/>
      <c r="BM867" s="50"/>
      <c r="BN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168"/>
      <c r="Z868" s="50"/>
      <c r="AA868" s="50"/>
      <c r="AB868" s="50"/>
      <c r="AC868" s="168"/>
      <c r="AD868" s="168"/>
      <c r="AE868" s="168"/>
      <c r="AF868" s="50"/>
      <c r="AG868" s="50"/>
      <c r="AH868" s="50"/>
      <c r="AI868" s="50"/>
      <c r="AJ868" s="50"/>
      <c r="AK868" s="50"/>
      <c r="AL868" s="50"/>
      <c r="AM868" s="50"/>
      <c r="AN868" s="50"/>
      <c r="AO868" s="50"/>
      <c r="AP868" s="50"/>
      <c r="AQ868" s="50"/>
      <c r="AR868" s="50"/>
      <c r="AS868" s="50"/>
      <c r="AT868" s="50"/>
      <c r="AU868" s="50"/>
      <c r="AV868" s="50"/>
      <c r="AW868" s="50"/>
      <c r="AX868" s="50"/>
      <c r="AY868" s="50"/>
      <c r="AZ868" s="50"/>
      <c r="BA868" s="50"/>
      <c r="BB868" s="50"/>
      <c r="BC868" s="50"/>
      <c r="BD868" s="50"/>
      <c r="BE868" s="50"/>
      <c r="BF868" s="50"/>
      <c r="BG868" s="50"/>
      <c r="BH868" s="50"/>
      <c r="BI868" s="50"/>
      <c r="BJ868" s="50"/>
      <c r="BK868" s="50"/>
      <c r="BL868" s="50"/>
      <c r="BM868" s="50"/>
      <c r="BN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168"/>
      <c r="Z869" s="50"/>
      <c r="AA869" s="50"/>
      <c r="AB869" s="50"/>
      <c r="AC869" s="168"/>
      <c r="AD869" s="168"/>
      <c r="AE869" s="168"/>
      <c r="AF869" s="50"/>
      <c r="AG869" s="50"/>
      <c r="AH869" s="50"/>
      <c r="AI869" s="50"/>
      <c r="AJ869" s="50"/>
      <c r="AK869" s="50"/>
      <c r="AL869" s="50"/>
      <c r="AM869" s="50"/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0"/>
      <c r="BE869" s="50"/>
      <c r="BF869" s="50"/>
      <c r="BG869" s="50"/>
      <c r="BH869" s="50"/>
      <c r="BI869" s="50"/>
      <c r="BJ869" s="50"/>
      <c r="BK869" s="50"/>
      <c r="BL869" s="50"/>
      <c r="BM869" s="50"/>
      <c r="BN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168"/>
      <c r="Z870" s="50"/>
      <c r="AA870" s="50"/>
      <c r="AB870" s="50"/>
      <c r="AC870" s="168"/>
      <c r="AD870" s="168"/>
      <c r="AE870" s="168"/>
      <c r="AF870" s="50"/>
      <c r="AG870" s="50"/>
      <c r="AH870" s="50"/>
      <c r="AI870" s="50"/>
      <c r="AJ870" s="50"/>
      <c r="AK870" s="50"/>
      <c r="AL870" s="50"/>
      <c r="AM870" s="50"/>
      <c r="AN870" s="50"/>
      <c r="AO870" s="50"/>
      <c r="AP870" s="50"/>
      <c r="AQ870" s="50"/>
      <c r="AR870" s="50"/>
      <c r="AS870" s="50"/>
      <c r="AT870" s="50"/>
      <c r="AU870" s="50"/>
      <c r="AV870" s="50"/>
      <c r="AW870" s="50"/>
      <c r="AX870" s="50"/>
      <c r="AY870" s="50"/>
      <c r="AZ870" s="50"/>
      <c r="BA870" s="50"/>
      <c r="BB870" s="50"/>
      <c r="BC870" s="50"/>
      <c r="BD870" s="50"/>
      <c r="BE870" s="50"/>
      <c r="BF870" s="50"/>
      <c r="BG870" s="50"/>
      <c r="BH870" s="50"/>
      <c r="BI870" s="50"/>
      <c r="BJ870" s="50"/>
      <c r="BK870" s="50"/>
      <c r="BL870" s="50"/>
      <c r="BM870" s="50"/>
      <c r="BN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168"/>
      <c r="Z871" s="50"/>
      <c r="AA871" s="50"/>
      <c r="AB871" s="50"/>
      <c r="AC871" s="168"/>
      <c r="AD871" s="168"/>
      <c r="AE871" s="168"/>
      <c r="AF871" s="50"/>
      <c r="AG871" s="50"/>
      <c r="AH871" s="50"/>
      <c r="AI871" s="50"/>
      <c r="AJ871" s="50"/>
      <c r="AK871" s="50"/>
      <c r="AL871" s="50"/>
      <c r="AM871" s="50"/>
      <c r="AN871" s="50"/>
      <c r="AO871" s="50"/>
      <c r="AP871" s="50"/>
      <c r="AQ871" s="50"/>
      <c r="AR871" s="50"/>
      <c r="AS871" s="50"/>
      <c r="AT871" s="50"/>
      <c r="AU871" s="50"/>
      <c r="AV871" s="50"/>
      <c r="AW871" s="50"/>
      <c r="AX871" s="50"/>
      <c r="AY871" s="50"/>
      <c r="AZ871" s="50"/>
      <c r="BA871" s="50"/>
      <c r="BB871" s="50"/>
      <c r="BC871" s="50"/>
      <c r="BD871" s="50"/>
      <c r="BE871" s="50"/>
      <c r="BF871" s="50"/>
      <c r="BG871" s="50"/>
      <c r="BH871" s="50"/>
      <c r="BI871" s="50"/>
      <c r="BJ871" s="50"/>
      <c r="BK871" s="50"/>
      <c r="BL871" s="50"/>
      <c r="BM871" s="50"/>
      <c r="BN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168"/>
      <c r="Z872" s="50"/>
      <c r="AA872" s="50"/>
      <c r="AB872" s="50"/>
      <c r="AC872" s="168"/>
      <c r="AD872" s="168"/>
      <c r="AE872" s="168"/>
      <c r="AF872" s="50"/>
      <c r="AG872" s="50"/>
      <c r="AH872" s="50"/>
      <c r="AI872" s="50"/>
      <c r="AJ872" s="50"/>
      <c r="AK872" s="50"/>
      <c r="AL872" s="50"/>
      <c r="AM872" s="50"/>
      <c r="AN872" s="50"/>
      <c r="AO872" s="50"/>
      <c r="AP872" s="50"/>
      <c r="AQ872" s="50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0"/>
      <c r="BE872" s="50"/>
      <c r="BF872" s="50"/>
      <c r="BG872" s="50"/>
      <c r="BH872" s="50"/>
      <c r="BI872" s="50"/>
      <c r="BJ872" s="50"/>
      <c r="BK872" s="50"/>
      <c r="BL872" s="50"/>
      <c r="BM872" s="50"/>
      <c r="BN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168"/>
      <c r="Z873" s="50"/>
      <c r="AA873" s="50"/>
      <c r="AB873" s="50"/>
      <c r="AC873" s="168"/>
      <c r="AD873" s="168"/>
      <c r="AE873" s="168"/>
      <c r="AF873" s="50"/>
      <c r="AG873" s="50"/>
      <c r="AH873" s="50"/>
      <c r="AI873" s="50"/>
      <c r="AJ873" s="50"/>
      <c r="AK873" s="50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  <c r="AV873" s="50"/>
      <c r="AW873" s="50"/>
      <c r="AX873" s="50"/>
      <c r="AY873" s="50"/>
      <c r="AZ873" s="50"/>
      <c r="BA873" s="50"/>
      <c r="BB873" s="50"/>
      <c r="BC873" s="50"/>
      <c r="BD873" s="50"/>
      <c r="BE873" s="50"/>
      <c r="BF873" s="50"/>
      <c r="BG873" s="50"/>
      <c r="BH873" s="50"/>
      <c r="BI873" s="50"/>
      <c r="BJ873" s="50"/>
      <c r="BK873" s="50"/>
      <c r="BL873" s="50"/>
      <c r="BM873" s="50"/>
      <c r="BN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168"/>
      <c r="Z874" s="50"/>
      <c r="AA874" s="50"/>
      <c r="AB874" s="50"/>
      <c r="AC874" s="168"/>
      <c r="AD874" s="168"/>
      <c r="AE874" s="168"/>
      <c r="AF874" s="50"/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0"/>
      <c r="BE874" s="50"/>
      <c r="BF874" s="50"/>
      <c r="BG874" s="50"/>
      <c r="BH874" s="50"/>
      <c r="BI874" s="50"/>
      <c r="BJ874" s="50"/>
      <c r="BK874" s="50"/>
      <c r="BL874" s="50"/>
      <c r="BM874" s="50"/>
      <c r="BN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168"/>
      <c r="Z875" s="50"/>
      <c r="AA875" s="50"/>
      <c r="AB875" s="50"/>
      <c r="AC875" s="168"/>
      <c r="AD875" s="168"/>
      <c r="AE875" s="168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0"/>
      <c r="BE875" s="50"/>
      <c r="BF875" s="50"/>
      <c r="BG875" s="50"/>
      <c r="BH875" s="50"/>
      <c r="BI875" s="50"/>
      <c r="BJ875" s="50"/>
      <c r="BK875" s="50"/>
      <c r="BL875" s="50"/>
      <c r="BM875" s="50"/>
      <c r="BN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168"/>
      <c r="Z876" s="50"/>
      <c r="AA876" s="50"/>
      <c r="AB876" s="50"/>
      <c r="AC876" s="168"/>
      <c r="AD876" s="168"/>
      <c r="AE876" s="168"/>
      <c r="AF876" s="50"/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50"/>
      <c r="AR876" s="50"/>
      <c r="AS876" s="50"/>
      <c r="AT876" s="50"/>
      <c r="AU876" s="50"/>
      <c r="AV876" s="50"/>
      <c r="AW876" s="50"/>
      <c r="AX876" s="50"/>
      <c r="AY876" s="50"/>
      <c r="AZ876" s="50"/>
      <c r="BA876" s="50"/>
      <c r="BB876" s="50"/>
      <c r="BC876" s="50"/>
      <c r="BD876" s="50"/>
      <c r="BE876" s="50"/>
      <c r="BF876" s="50"/>
      <c r="BG876" s="50"/>
      <c r="BH876" s="50"/>
      <c r="BI876" s="50"/>
      <c r="BJ876" s="50"/>
      <c r="BK876" s="50"/>
      <c r="BL876" s="50"/>
      <c r="BM876" s="50"/>
      <c r="BN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168"/>
      <c r="Z877" s="50"/>
      <c r="AA877" s="50"/>
      <c r="AB877" s="50"/>
      <c r="AC877" s="168"/>
      <c r="AD877" s="168"/>
      <c r="AE877" s="168"/>
      <c r="AF877" s="50"/>
      <c r="AG877" s="50"/>
      <c r="AH877" s="50"/>
      <c r="AI877" s="50"/>
      <c r="AJ877" s="50"/>
      <c r="AK877" s="50"/>
      <c r="AL877" s="50"/>
      <c r="AM877" s="50"/>
      <c r="AN877" s="50"/>
      <c r="AO877" s="50"/>
      <c r="AP877" s="50"/>
      <c r="AQ877" s="50"/>
      <c r="AR877" s="50"/>
      <c r="AS877" s="50"/>
      <c r="AT877" s="50"/>
      <c r="AU877" s="50"/>
      <c r="AV877" s="50"/>
      <c r="AW877" s="50"/>
      <c r="AX877" s="50"/>
      <c r="AY877" s="50"/>
      <c r="AZ877" s="50"/>
      <c r="BA877" s="50"/>
      <c r="BB877" s="50"/>
      <c r="BC877" s="50"/>
      <c r="BD877" s="50"/>
      <c r="BE877" s="50"/>
      <c r="BF877" s="50"/>
      <c r="BG877" s="50"/>
      <c r="BH877" s="50"/>
      <c r="BI877" s="50"/>
      <c r="BJ877" s="50"/>
      <c r="BK877" s="50"/>
      <c r="BL877" s="50"/>
      <c r="BM877" s="50"/>
      <c r="BN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168"/>
      <c r="Z878" s="50"/>
      <c r="AA878" s="50"/>
      <c r="AB878" s="50"/>
      <c r="AC878" s="168"/>
      <c r="AD878" s="168"/>
      <c r="AE878" s="168"/>
      <c r="AF878" s="50"/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0"/>
      <c r="BF878" s="50"/>
      <c r="BG878" s="50"/>
      <c r="BH878" s="50"/>
      <c r="BI878" s="50"/>
      <c r="BJ878" s="50"/>
      <c r="BK878" s="50"/>
      <c r="BL878" s="50"/>
      <c r="BM878" s="50"/>
      <c r="BN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168"/>
      <c r="Z879" s="50"/>
      <c r="AA879" s="50"/>
      <c r="AB879" s="50"/>
      <c r="AC879" s="168"/>
      <c r="AD879" s="168"/>
      <c r="AE879" s="168"/>
      <c r="AF879" s="50"/>
      <c r="AG879" s="50"/>
      <c r="AH879" s="50"/>
      <c r="AI879" s="50"/>
      <c r="AJ879" s="50"/>
      <c r="AK879" s="50"/>
      <c r="AL879" s="50"/>
      <c r="AM879" s="50"/>
      <c r="AN879" s="50"/>
      <c r="AO879" s="50"/>
      <c r="AP879" s="50"/>
      <c r="AQ879" s="50"/>
      <c r="AR879" s="50"/>
      <c r="AS879" s="50"/>
      <c r="AT879" s="50"/>
      <c r="AU879" s="50"/>
      <c r="AV879" s="50"/>
      <c r="AW879" s="50"/>
      <c r="AX879" s="50"/>
      <c r="AY879" s="50"/>
      <c r="AZ879" s="50"/>
      <c r="BA879" s="50"/>
      <c r="BB879" s="50"/>
      <c r="BC879" s="50"/>
      <c r="BD879" s="50"/>
      <c r="BE879" s="50"/>
      <c r="BF879" s="50"/>
      <c r="BG879" s="50"/>
      <c r="BH879" s="50"/>
      <c r="BI879" s="50"/>
      <c r="BJ879" s="50"/>
      <c r="BK879" s="50"/>
      <c r="BL879" s="50"/>
      <c r="BM879" s="50"/>
      <c r="BN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168"/>
      <c r="Z880" s="50"/>
      <c r="AA880" s="50"/>
      <c r="AB880" s="50"/>
      <c r="AC880" s="168"/>
      <c r="AD880" s="168"/>
      <c r="AE880" s="168"/>
      <c r="AF880" s="50"/>
      <c r="AG880" s="50"/>
      <c r="AH880" s="50"/>
      <c r="AI880" s="50"/>
      <c r="AJ880" s="50"/>
      <c r="AK880" s="50"/>
      <c r="AL880" s="50"/>
      <c r="AM880" s="50"/>
      <c r="AN880" s="50"/>
      <c r="AO880" s="50"/>
      <c r="AP880" s="50"/>
      <c r="AQ880" s="50"/>
      <c r="AR880" s="50"/>
      <c r="AS880" s="50"/>
      <c r="AT880" s="50"/>
      <c r="AU880" s="50"/>
      <c r="AV880" s="50"/>
      <c r="AW880" s="50"/>
      <c r="AX880" s="50"/>
      <c r="AY880" s="50"/>
      <c r="AZ880" s="50"/>
      <c r="BA880" s="50"/>
      <c r="BB880" s="50"/>
      <c r="BC880" s="50"/>
      <c r="BD880" s="50"/>
      <c r="BE880" s="50"/>
      <c r="BF880" s="50"/>
      <c r="BG880" s="50"/>
      <c r="BH880" s="50"/>
      <c r="BI880" s="50"/>
      <c r="BJ880" s="50"/>
      <c r="BK880" s="50"/>
      <c r="BL880" s="50"/>
      <c r="BM880" s="50"/>
      <c r="BN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168"/>
      <c r="Z881" s="50"/>
      <c r="AA881" s="50"/>
      <c r="AB881" s="50"/>
      <c r="AC881" s="168"/>
      <c r="AD881" s="168"/>
      <c r="AE881" s="168"/>
      <c r="AF881" s="50"/>
      <c r="AG881" s="50"/>
      <c r="AH881" s="50"/>
      <c r="AI881" s="50"/>
      <c r="AJ881" s="50"/>
      <c r="AK881" s="50"/>
      <c r="AL881" s="50"/>
      <c r="AM881" s="50"/>
      <c r="AN881" s="50"/>
      <c r="AO881" s="50"/>
      <c r="AP881" s="50"/>
      <c r="AQ881" s="50"/>
      <c r="AR881" s="50"/>
      <c r="AS881" s="50"/>
      <c r="AT881" s="50"/>
      <c r="AU881" s="50"/>
      <c r="AV881" s="50"/>
      <c r="AW881" s="50"/>
      <c r="AX881" s="50"/>
      <c r="AY881" s="50"/>
      <c r="AZ881" s="50"/>
      <c r="BA881" s="50"/>
      <c r="BB881" s="50"/>
      <c r="BC881" s="50"/>
      <c r="BD881" s="50"/>
      <c r="BE881" s="50"/>
      <c r="BF881" s="50"/>
      <c r="BG881" s="50"/>
      <c r="BH881" s="50"/>
      <c r="BI881" s="50"/>
      <c r="BJ881" s="50"/>
      <c r="BK881" s="50"/>
      <c r="BL881" s="50"/>
      <c r="BM881" s="50"/>
      <c r="BN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168"/>
      <c r="Z882" s="50"/>
      <c r="AA882" s="50"/>
      <c r="AB882" s="50"/>
      <c r="AC882" s="168"/>
      <c r="AD882" s="168"/>
      <c r="AE882" s="168"/>
      <c r="AF882" s="50"/>
      <c r="AG882" s="50"/>
      <c r="AH882" s="50"/>
      <c r="AI882" s="50"/>
      <c r="AJ882" s="50"/>
      <c r="AK882" s="50"/>
      <c r="AL882" s="50"/>
      <c r="AM882" s="50"/>
      <c r="AN882" s="50"/>
      <c r="AO882" s="50"/>
      <c r="AP882" s="50"/>
      <c r="AQ882" s="50"/>
      <c r="AR882" s="50"/>
      <c r="AS882" s="50"/>
      <c r="AT882" s="50"/>
      <c r="AU882" s="50"/>
      <c r="AV882" s="50"/>
      <c r="AW882" s="50"/>
      <c r="AX882" s="50"/>
      <c r="AY882" s="50"/>
      <c r="AZ882" s="50"/>
      <c r="BA882" s="50"/>
      <c r="BB882" s="50"/>
      <c r="BC882" s="50"/>
      <c r="BD882" s="50"/>
      <c r="BE882" s="50"/>
      <c r="BF882" s="50"/>
      <c r="BG882" s="50"/>
      <c r="BH882" s="50"/>
      <c r="BI882" s="50"/>
      <c r="BJ882" s="50"/>
      <c r="BK882" s="50"/>
      <c r="BL882" s="50"/>
      <c r="BM882" s="50"/>
      <c r="BN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168"/>
      <c r="Z883" s="50"/>
      <c r="AA883" s="50"/>
      <c r="AB883" s="50"/>
      <c r="AC883" s="168"/>
      <c r="AD883" s="168"/>
      <c r="AE883" s="168"/>
      <c r="AF883" s="50"/>
      <c r="AG883" s="50"/>
      <c r="AH883" s="50"/>
      <c r="AI883" s="50"/>
      <c r="AJ883" s="50"/>
      <c r="AK883" s="50"/>
      <c r="AL883" s="50"/>
      <c r="AM883" s="50"/>
      <c r="AN883" s="50"/>
      <c r="AO883" s="50"/>
      <c r="AP883" s="50"/>
      <c r="AQ883" s="50"/>
      <c r="AR883" s="50"/>
      <c r="AS883" s="50"/>
      <c r="AT883" s="50"/>
      <c r="AU883" s="50"/>
      <c r="AV883" s="50"/>
      <c r="AW883" s="50"/>
      <c r="AX883" s="50"/>
      <c r="AY883" s="50"/>
      <c r="AZ883" s="50"/>
      <c r="BA883" s="50"/>
      <c r="BB883" s="50"/>
      <c r="BC883" s="50"/>
      <c r="BD883" s="50"/>
      <c r="BE883" s="50"/>
      <c r="BF883" s="50"/>
      <c r="BG883" s="50"/>
      <c r="BH883" s="50"/>
      <c r="BI883" s="50"/>
      <c r="BJ883" s="50"/>
      <c r="BK883" s="50"/>
      <c r="BL883" s="50"/>
      <c r="BM883" s="50"/>
      <c r="BN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168"/>
      <c r="Z884" s="50"/>
      <c r="AA884" s="50"/>
      <c r="AB884" s="50"/>
      <c r="AC884" s="168"/>
      <c r="AD884" s="168"/>
      <c r="AE884" s="168"/>
      <c r="AF884" s="50"/>
      <c r="AG884" s="50"/>
      <c r="AH884" s="50"/>
      <c r="AI884" s="50"/>
      <c r="AJ884" s="50"/>
      <c r="AK884" s="50"/>
      <c r="AL884" s="50"/>
      <c r="AM884" s="50"/>
      <c r="AN884" s="50"/>
      <c r="AO884" s="50"/>
      <c r="AP884" s="50"/>
      <c r="AQ884" s="50"/>
      <c r="AR884" s="50"/>
      <c r="AS884" s="50"/>
      <c r="AT884" s="50"/>
      <c r="AU884" s="50"/>
      <c r="AV884" s="50"/>
      <c r="AW884" s="50"/>
      <c r="AX884" s="50"/>
      <c r="AY884" s="50"/>
      <c r="AZ884" s="50"/>
      <c r="BA884" s="50"/>
      <c r="BB884" s="50"/>
      <c r="BC884" s="50"/>
      <c r="BD884" s="50"/>
      <c r="BE884" s="50"/>
      <c r="BF884" s="50"/>
      <c r="BG884" s="50"/>
      <c r="BH884" s="50"/>
      <c r="BI884" s="50"/>
      <c r="BJ884" s="50"/>
      <c r="BK884" s="50"/>
      <c r="BL884" s="50"/>
      <c r="BM884" s="50"/>
      <c r="BN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168"/>
      <c r="Z885" s="50"/>
      <c r="AA885" s="50"/>
      <c r="AB885" s="50"/>
      <c r="AC885" s="168"/>
      <c r="AD885" s="168"/>
      <c r="AE885" s="168"/>
      <c r="AF885" s="50"/>
      <c r="AG885" s="50"/>
      <c r="AH885" s="50"/>
      <c r="AI885" s="50"/>
      <c r="AJ885" s="50"/>
      <c r="AK885" s="50"/>
      <c r="AL885" s="50"/>
      <c r="AM885" s="50"/>
      <c r="AN885" s="50"/>
      <c r="AO885" s="50"/>
      <c r="AP885" s="50"/>
      <c r="AQ885" s="50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0"/>
      <c r="BE885" s="50"/>
      <c r="BF885" s="50"/>
      <c r="BG885" s="50"/>
      <c r="BH885" s="50"/>
      <c r="BI885" s="50"/>
      <c r="BJ885" s="50"/>
      <c r="BK885" s="50"/>
      <c r="BL885" s="50"/>
      <c r="BM885" s="50"/>
      <c r="BN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168"/>
      <c r="Z886" s="50"/>
      <c r="AA886" s="50"/>
      <c r="AB886" s="50"/>
      <c r="AC886" s="168"/>
      <c r="AD886" s="168"/>
      <c r="AE886" s="168"/>
      <c r="AF886" s="50"/>
      <c r="AG886" s="50"/>
      <c r="AH886" s="50"/>
      <c r="AI886" s="50"/>
      <c r="AJ886" s="50"/>
      <c r="AK886" s="50"/>
      <c r="AL886" s="50"/>
      <c r="AM886" s="50"/>
      <c r="AN886" s="50"/>
      <c r="AO886" s="50"/>
      <c r="AP886" s="50"/>
      <c r="AQ886" s="50"/>
      <c r="AR886" s="50"/>
      <c r="AS886" s="50"/>
      <c r="AT886" s="50"/>
      <c r="AU886" s="50"/>
      <c r="AV886" s="50"/>
      <c r="AW886" s="50"/>
      <c r="AX886" s="50"/>
      <c r="AY886" s="50"/>
      <c r="AZ886" s="50"/>
      <c r="BA886" s="50"/>
      <c r="BB886" s="50"/>
      <c r="BC886" s="50"/>
      <c r="BD886" s="50"/>
      <c r="BE886" s="50"/>
      <c r="BF886" s="50"/>
      <c r="BG886" s="50"/>
      <c r="BH886" s="50"/>
      <c r="BI886" s="50"/>
      <c r="BJ886" s="50"/>
      <c r="BK886" s="50"/>
      <c r="BL886" s="50"/>
      <c r="BM886" s="50"/>
      <c r="BN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168"/>
      <c r="Z887" s="50"/>
      <c r="AA887" s="50"/>
      <c r="AB887" s="50"/>
      <c r="AC887" s="168"/>
      <c r="AD887" s="168"/>
      <c r="AE887" s="168"/>
      <c r="AF887" s="50"/>
      <c r="AG887" s="50"/>
      <c r="AH887" s="50"/>
      <c r="AI887" s="50"/>
      <c r="AJ887" s="50"/>
      <c r="AK887" s="50"/>
      <c r="AL887" s="50"/>
      <c r="AM887" s="50"/>
      <c r="AN887" s="50"/>
      <c r="AO887" s="50"/>
      <c r="AP887" s="50"/>
      <c r="AQ887" s="50"/>
      <c r="AR887" s="50"/>
      <c r="AS887" s="50"/>
      <c r="AT887" s="50"/>
      <c r="AU887" s="50"/>
      <c r="AV887" s="50"/>
      <c r="AW887" s="50"/>
      <c r="AX887" s="50"/>
      <c r="AY887" s="50"/>
      <c r="AZ887" s="50"/>
      <c r="BA887" s="50"/>
      <c r="BB887" s="50"/>
      <c r="BC887" s="50"/>
      <c r="BD887" s="50"/>
      <c r="BE887" s="50"/>
      <c r="BF887" s="50"/>
      <c r="BG887" s="50"/>
      <c r="BH887" s="50"/>
      <c r="BI887" s="50"/>
      <c r="BJ887" s="50"/>
      <c r="BK887" s="50"/>
      <c r="BL887" s="50"/>
      <c r="BM887" s="50"/>
      <c r="BN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168"/>
      <c r="Z888" s="50"/>
      <c r="AA888" s="50"/>
      <c r="AB888" s="50"/>
      <c r="AC888" s="168"/>
      <c r="AD888" s="168"/>
      <c r="AE888" s="168"/>
      <c r="AF888" s="50"/>
      <c r="AG888" s="50"/>
      <c r="AH888" s="50"/>
      <c r="AI888" s="50"/>
      <c r="AJ888" s="50"/>
      <c r="AK888" s="50"/>
      <c r="AL888" s="50"/>
      <c r="AM888" s="50"/>
      <c r="AN888" s="50"/>
      <c r="AO888" s="50"/>
      <c r="AP888" s="50"/>
      <c r="AQ888" s="50"/>
      <c r="AR888" s="50"/>
      <c r="AS888" s="50"/>
      <c r="AT888" s="50"/>
      <c r="AU888" s="50"/>
      <c r="AV888" s="50"/>
      <c r="AW888" s="50"/>
      <c r="AX888" s="50"/>
      <c r="AY888" s="50"/>
      <c r="AZ888" s="50"/>
      <c r="BA888" s="50"/>
      <c r="BB888" s="50"/>
      <c r="BC888" s="50"/>
      <c r="BD888" s="50"/>
      <c r="BE888" s="50"/>
      <c r="BF888" s="50"/>
      <c r="BG888" s="50"/>
      <c r="BH888" s="50"/>
      <c r="BI888" s="50"/>
      <c r="BJ888" s="50"/>
      <c r="BK888" s="50"/>
      <c r="BL888" s="50"/>
      <c r="BM888" s="50"/>
      <c r="BN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168"/>
      <c r="Z889" s="50"/>
      <c r="AA889" s="50"/>
      <c r="AB889" s="50"/>
      <c r="AC889" s="168"/>
      <c r="AD889" s="168"/>
      <c r="AE889" s="168"/>
      <c r="AF889" s="50"/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50"/>
      <c r="AR889" s="50"/>
      <c r="AS889" s="50"/>
      <c r="AT889" s="50"/>
      <c r="AU889" s="50"/>
      <c r="AV889" s="50"/>
      <c r="AW889" s="50"/>
      <c r="AX889" s="50"/>
      <c r="AY889" s="50"/>
      <c r="AZ889" s="50"/>
      <c r="BA889" s="50"/>
      <c r="BB889" s="50"/>
      <c r="BC889" s="50"/>
      <c r="BD889" s="50"/>
      <c r="BE889" s="50"/>
      <c r="BF889" s="50"/>
      <c r="BG889" s="50"/>
      <c r="BH889" s="50"/>
      <c r="BI889" s="50"/>
      <c r="BJ889" s="50"/>
      <c r="BK889" s="50"/>
      <c r="BL889" s="50"/>
      <c r="BM889" s="50"/>
      <c r="BN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168"/>
      <c r="Z890" s="50"/>
      <c r="AA890" s="50"/>
      <c r="AB890" s="50"/>
      <c r="AC890" s="168"/>
      <c r="AD890" s="168"/>
      <c r="AE890" s="168"/>
      <c r="AF890" s="50"/>
      <c r="AG890" s="50"/>
      <c r="AH890" s="50"/>
      <c r="AI890" s="50"/>
      <c r="AJ890" s="50"/>
      <c r="AK890" s="50"/>
      <c r="AL890" s="50"/>
      <c r="AM890" s="50"/>
      <c r="AN890" s="50"/>
      <c r="AO890" s="50"/>
      <c r="AP890" s="50"/>
      <c r="AQ890" s="50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/>
      <c r="BE890" s="50"/>
      <c r="BF890" s="50"/>
      <c r="BG890" s="50"/>
      <c r="BH890" s="50"/>
      <c r="BI890" s="50"/>
      <c r="BJ890" s="50"/>
      <c r="BK890" s="50"/>
      <c r="BL890" s="50"/>
      <c r="BM890" s="50"/>
      <c r="BN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168"/>
      <c r="Z891" s="50"/>
      <c r="AA891" s="50"/>
      <c r="AB891" s="50"/>
      <c r="AC891" s="168"/>
      <c r="AD891" s="168"/>
      <c r="AE891" s="168"/>
      <c r="AF891" s="50"/>
      <c r="AG891" s="50"/>
      <c r="AH891" s="50"/>
      <c r="AI891" s="50"/>
      <c r="AJ891" s="50"/>
      <c r="AK891" s="50"/>
      <c r="AL891" s="50"/>
      <c r="AM891" s="50"/>
      <c r="AN891" s="50"/>
      <c r="AO891" s="50"/>
      <c r="AP891" s="50"/>
      <c r="AQ891" s="50"/>
      <c r="AR891" s="50"/>
      <c r="AS891" s="50"/>
      <c r="AT891" s="50"/>
      <c r="AU891" s="50"/>
      <c r="AV891" s="50"/>
      <c r="AW891" s="50"/>
      <c r="AX891" s="50"/>
      <c r="AY891" s="50"/>
      <c r="AZ891" s="50"/>
      <c r="BA891" s="50"/>
      <c r="BB891" s="50"/>
      <c r="BC891" s="50"/>
      <c r="BD891" s="50"/>
      <c r="BE891" s="50"/>
      <c r="BF891" s="50"/>
      <c r="BG891" s="50"/>
      <c r="BH891" s="50"/>
      <c r="BI891" s="50"/>
      <c r="BJ891" s="50"/>
      <c r="BK891" s="50"/>
      <c r="BL891" s="50"/>
      <c r="BM891" s="50"/>
      <c r="BN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168"/>
      <c r="Z892" s="50"/>
      <c r="AA892" s="50"/>
      <c r="AB892" s="50"/>
      <c r="AC892" s="168"/>
      <c r="AD892" s="168"/>
      <c r="AE892" s="168"/>
      <c r="AF892" s="50"/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50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0"/>
      <c r="BE892" s="50"/>
      <c r="BF892" s="50"/>
      <c r="BG892" s="50"/>
      <c r="BH892" s="50"/>
      <c r="BI892" s="50"/>
      <c r="BJ892" s="50"/>
      <c r="BK892" s="50"/>
      <c r="BL892" s="50"/>
      <c r="BM892" s="50"/>
      <c r="BN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168"/>
      <c r="Z893" s="50"/>
      <c r="AA893" s="50"/>
      <c r="AB893" s="50"/>
      <c r="AC893" s="168"/>
      <c r="AD893" s="168"/>
      <c r="AE893" s="168"/>
      <c r="AF893" s="50"/>
      <c r="AG893" s="50"/>
      <c r="AH893" s="50"/>
      <c r="AI893" s="50"/>
      <c r="AJ893" s="50"/>
      <c r="AK893" s="50"/>
      <c r="AL893" s="50"/>
      <c r="AM893" s="50"/>
      <c r="AN893" s="50"/>
      <c r="AO893" s="50"/>
      <c r="AP893" s="50"/>
      <c r="AQ893" s="50"/>
      <c r="AR893" s="50"/>
      <c r="AS893" s="50"/>
      <c r="AT893" s="50"/>
      <c r="AU893" s="50"/>
      <c r="AV893" s="50"/>
      <c r="AW893" s="50"/>
      <c r="AX893" s="50"/>
      <c r="AY893" s="50"/>
      <c r="AZ893" s="50"/>
      <c r="BA893" s="50"/>
      <c r="BB893" s="50"/>
      <c r="BC893" s="50"/>
      <c r="BD893" s="50"/>
      <c r="BE893" s="50"/>
      <c r="BF893" s="50"/>
      <c r="BG893" s="50"/>
      <c r="BH893" s="50"/>
      <c r="BI893" s="50"/>
      <c r="BJ893" s="50"/>
      <c r="BK893" s="50"/>
      <c r="BL893" s="50"/>
      <c r="BM893" s="50"/>
      <c r="BN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168"/>
      <c r="Z894" s="50"/>
      <c r="AA894" s="50"/>
      <c r="AB894" s="50"/>
      <c r="AC894" s="168"/>
      <c r="AD894" s="168"/>
      <c r="AE894" s="168"/>
      <c r="AF894" s="50"/>
      <c r="AG894" s="50"/>
      <c r="AH894" s="50"/>
      <c r="AI894" s="50"/>
      <c r="AJ894" s="50"/>
      <c r="AK894" s="50"/>
      <c r="AL894" s="50"/>
      <c r="AM894" s="50"/>
      <c r="AN894" s="50"/>
      <c r="AO894" s="50"/>
      <c r="AP894" s="50"/>
      <c r="AQ894" s="50"/>
      <c r="AR894" s="50"/>
      <c r="AS894" s="50"/>
      <c r="AT894" s="50"/>
      <c r="AU894" s="50"/>
      <c r="AV894" s="50"/>
      <c r="AW894" s="50"/>
      <c r="AX894" s="50"/>
      <c r="AY894" s="50"/>
      <c r="AZ894" s="50"/>
      <c r="BA894" s="50"/>
      <c r="BB894" s="50"/>
      <c r="BC894" s="50"/>
      <c r="BD894" s="50"/>
      <c r="BE894" s="50"/>
      <c r="BF894" s="50"/>
      <c r="BG894" s="50"/>
      <c r="BH894" s="50"/>
      <c r="BI894" s="50"/>
      <c r="BJ894" s="50"/>
      <c r="BK894" s="50"/>
      <c r="BL894" s="50"/>
      <c r="BM894" s="50"/>
      <c r="BN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168"/>
      <c r="Z895" s="50"/>
      <c r="AA895" s="50"/>
      <c r="AB895" s="50"/>
      <c r="AC895" s="168"/>
      <c r="AD895" s="168"/>
      <c r="AE895" s="168"/>
      <c r="AF895" s="50"/>
      <c r="AG895" s="50"/>
      <c r="AH895" s="50"/>
      <c r="AI895" s="50"/>
      <c r="AJ895" s="50"/>
      <c r="AK895" s="50"/>
      <c r="AL895" s="50"/>
      <c r="AM895" s="50"/>
      <c r="AN895" s="50"/>
      <c r="AO895" s="50"/>
      <c r="AP895" s="50"/>
      <c r="AQ895" s="50"/>
      <c r="AR895" s="50"/>
      <c r="AS895" s="50"/>
      <c r="AT895" s="50"/>
      <c r="AU895" s="50"/>
      <c r="AV895" s="50"/>
      <c r="AW895" s="50"/>
      <c r="AX895" s="50"/>
      <c r="AY895" s="50"/>
      <c r="AZ895" s="50"/>
      <c r="BA895" s="50"/>
      <c r="BB895" s="50"/>
      <c r="BC895" s="50"/>
      <c r="BD895" s="50"/>
      <c r="BE895" s="50"/>
      <c r="BF895" s="50"/>
      <c r="BG895" s="50"/>
      <c r="BH895" s="50"/>
      <c r="BI895" s="50"/>
      <c r="BJ895" s="50"/>
      <c r="BK895" s="50"/>
      <c r="BL895" s="50"/>
      <c r="BM895" s="50"/>
      <c r="BN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168"/>
      <c r="Z896" s="50"/>
      <c r="AA896" s="50"/>
      <c r="AB896" s="50"/>
      <c r="AC896" s="168"/>
      <c r="AD896" s="168"/>
      <c r="AE896" s="168"/>
      <c r="AF896" s="50"/>
      <c r="AG896" s="50"/>
      <c r="AH896" s="50"/>
      <c r="AI896" s="50"/>
      <c r="AJ896" s="50"/>
      <c r="AK896" s="50"/>
      <c r="AL896" s="50"/>
      <c r="AM896" s="50"/>
      <c r="AN896" s="50"/>
      <c r="AO896" s="50"/>
      <c r="AP896" s="50"/>
      <c r="AQ896" s="50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0"/>
      <c r="BE896" s="50"/>
      <c r="BF896" s="50"/>
      <c r="BG896" s="50"/>
      <c r="BH896" s="50"/>
      <c r="BI896" s="50"/>
      <c r="BJ896" s="50"/>
      <c r="BK896" s="50"/>
      <c r="BL896" s="50"/>
      <c r="BM896" s="50"/>
      <c r="BN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168"/>
      <c r="Z897" s="50"/>
      <c r="AA897" s="50"/>
      <c r="AB897" s="50"/>
      <c r="AC897" s="168"/>
      <c r="AD897" s="168"/>
      <c r="AE897" s="168"/>
      <c r="AF897" s="50"/>
      <c r="AG897" s="50"/>
      <c r="AH897" s="50"/>
      <c r="AI897" s="50"/>
      <c r="AJ897" s="50"/>
      <c r="AK897" s="50"/>
      <c r="AL897" s="50"/>
      <c r="AM897" s="50"/>
      <c r="AN897" s="50"/>
      <c r="AO897" s="50"/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/>
      <c r="BE897" s="50"/>
      <c r="BF897" s="50"/>
      <c r="BG897" s="50"/>
      <c r="BH897" s="50"/>
      <c r="BI897" s="50"/>
      <c r="BJ897" s="50"/>
      <c r="BK897" s="50"/>
      <c r="BL897" s="50"/>
      <c r="BM897" s="50"/>
      <c r="BN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168"/>
      <c r="Z898" s="50"/>
      <c r="AA898" s="50"/>
      <c r="AB898" s="50"/>
      <c r="AC898" s="168"/>
      <c r="AD898" s="168"/>
      <c r="AE898" s="168"/>
      <c r="AF898" s="50"/>
      <c r="AG898" s="50"/>
      <c r="AH898" s="50"/>
      <c r="AI898" s="50"/>
      <c r="AJ898" s="50"/>
      <c r="AK898" s="50"/>
      <c r="AL898" s="50"/>
      <c r="AM898" s="50"/>
      <c r="AN898" s="50"/>
      <c r="AO898" s="50"/>
      <c r="AP898" s="50"/>
      <c r="AQ898" s="50"/>
      <c r="AR898" s="50"/>
      <c r="AS898" s="50"/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0"/>
      <c r="BE898" s="50"/>
      <c r="BF898" s="50"/>
      <c r="BG898" s="50"/>
      <c r="BH898" s="50"/>
      <c r="BI898" s="50"/>
      <c r="BJ898" s="50"/>
      <c r="BK898" s="50"/>
      <c r="BL898" s="50"/>
      <c r="BM898" s="50"/>
      <c r="BN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168"/>
      <c r="Z899" s="50"/>
      <c r="AA899" s="50"/>
      <c r="AB899" s="50"/>
      <c r="AC899" s="168"/>
      <c r="AD899" s="168"/>
      <c r="AE899" s="168"/>
      <c r="AF899" s="50"/>
      <c r="AG899" s="50"/>
      <c r="AH899" s="50"/>
      <c r="AI899" s="50"/>
      <c r="AJ899" s="50"/>
      <c r="AK899" s="50"/>
      <c r="AL899" s="50"/>
      <c r="AM899" s="50"/>
      <c r="AN899" s="50"/>
      <c r="AO899" s="50"/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/>
      <c r="BE899" s="50"/>
      <c r="BF899" s="50"/>
      <c r="BG899" s="50"/>
      <c r="BH899" s="50"/>
      <c r="BI899" s="50"/>
      <c r="BJ899" s="50"/>
      <c r="BK899" s="50"/>
      <c r="BL899" s="50"/>
      <c r="BM899" s="50"/>
      <c r="BN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168"/>
      <c r="Z900" s="50"/>
      <c r="AA900" s="50"/>
      <c r="AB900" s="50"/>
      <c r="AC900" s="168"/>
      <c r="AD900" s="168"/>
      <c r="AE900" s="168"/>
      <c r="AF900" s="50"/>
      <c r="AG900" s="50"/>
      <c r="AH900" s="50"/>
      <c r="AI900" s="50"/>
      <c r="AJ900" s="50"/>
      <c r="AK900" s="50"/>
      <c r="AL900" s="50"/>
      <c r="AM900" s="50"/>
      <c r="AN900" s="50"/>
      <c r="AO900" s="50"/>
      <c r="AP900" s="50"/>
      <c r="AQ900" s="50"/>
      <c r="AR900" s="50"/>
      <c r="AS900" s="50"/>
      <c r="AT900" s="50"/>
      <c r="AU900" s="50"/>
      <c r="AV900" s="50"/>
      <c r="AW900" s="50"/>
      <c r="AX900" s="50"/>
      <c r="AY900" s="50"/>
      <c r="AZ900" s="50"/>
      <c r="BA900" s="50"/>
      <c r="BB900" s="50"/>
      <c r="BC900" s="50"/>
      <c r="BD900" s="50"/>
      <c r="BE900" s="50"/>
      <c r="BF900" s="50"/>
      <c r="BG900" s="50"/>
      <c r="BH900" s="50"/>
      <c r="BI900" s="50"/>
      <c r="BJ900" s="50"/>
      <c r="BK900" s="50"/>
      <c r="BL900" s="50"/>
      <c r="BM900" s="50"/>
      <c r="BN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168"/>
      <c r="Z901" s="50"/>
      <c r="AA901" s="50"/>
      <c r="AB901" s="50"/>
      <c r="AC901" s="168"/>
      <c r="AD901" s="168"/>
      <c r="AE901" s="168"/>
      <c r="AF901" s="50"/>
      <c r="AG901" s="50"/>
      <c r="AH901" s="50"/>
      <c r="AI901" s="50"/>
      <c r="AJ901" s="50"/>
      <c r="AK901" s="50"/>
      <c r="AL901" s="50"/>
      <c r="AM901" s="50"/>
      <c r="AN901" s="50"/>
      <c r="AO901" s="50"/>
      <c r="AP901" s="50"/>
      <c r="AQ901" s="50"/>
      <c r="AR901" s="50"/>
      <c r="AS901" s="50"/>
      <c r="AT901" s="50"/>
      <c r="AU901" s="50"/>
      <c r="AV901" s="50"/>
      <c r="AW901" s="50"/>
      <c r="AX901" s="50"/>
      <c r="AY901" s="50"/>
      <c r="AZ901" s="50"/>
      <c r="BA901" s="50"/>
      <c r="BB901" s="50"/>
      <c r="BC901" s="50"/>
      <c r="BD901" s="50"/>
      <c r="BE901" s="50"/>
      <c r="BF901" s="50"/>
      <c r="BG901" s="50"/>
      <c r="BH901" s="50"/>
      <c r="BI901" s="50"/>
      <c r="BJ901" s="50"/>
      <c r="BK901" s="50"/>
      <c r="BL901" s="50"/>
      <c r="BM901" s="50"/>
      <c r="BN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168"/>
      <c r="Z902" s="50"/>
      <c r="AA902" s="50"/>
      <c r="AB902" s="50"/>
      <c r="AC902" s="168"/>
      <c r="AD902" s="168"/>
      <c r="AE902" s="168"/>
      <c r="AF902" s="50"/>
      <c r="AG902" s="50"/>
      <c r="AH902" s="50"/>
      <c r="AI902" s="50"/>
      <c r="AJ902" s="50"/>
      <c r="AK902" s="50"/>
      <c r="AL902" s="50"/>
      <c r="AM902" s="50"/>
      <c r="AN902" s="50"/>
      <c r="AO902" s="50"/>
      <c r="AP902" s="50"/>
      <c r="AQ902" s="50"/>
      <c r="AR902" s="50"/>
      <c r="AS902" s="50"/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0"/>
      <c r="BE902" s="50"/>
      <c r="BF902" s="50"/>
      <c r="BG902" s="50"/>
      <c r="BH902" s="50"/>
      <c r="BI902" s="50"/>
      <c r="BJ902" s="50"/>
      <c r="BK902" s="50"/>
      <c r="BL902" s="50"/>
      <c r="BM902" s="50"/>
      <c r="BN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168"/>
      <c r="Z903" s="50"/>
      <c r="AA903" s="50"/>
      <c r="AB903" s="50"/>
      <c r="AC903" s="168"/>
      <c r="AD903" s="168"/>
      <c r="AE903" s="168"/>
      <c r="AF903" s="50"/>
      <c r="AG903" s="50"/>
      <c r="AH903" s="50"/>
      <c r="AI903" s="50"/>
      <c r="AJ903" s="50"/>
      <c r="AK903" s="50"/>
      <c r="AL903" s="50"/>
      <c r="AM903" s="50"/>
      <c r="AN903" s="50"/>
      <c r="AO903" s="50"/>
      <c r="AP903" s="50"/>
      <c r="AQ903" s="50"/>
      <c r="AR903" s="50"/>
      <c r="AS903" s="50"/>
      <c r="AT903" s="50"/>
      <c r="AU903" s="50"/>
      <c r="AV903" s="50"/>
      <c r="AW903" s="50"/>
      <c r="AX903" s="50"/>
      <c r="AY903" s="50"/>
      <c r="AZ903" s="50"/>
      <c r="BA903" s="50"/>
      <c r="BB903" s="50"/>
      <c r="BC903" s="50"/>
      <c r="BD903" s="50"/>
      <c r="BE903" s="50"/>
      <c r="BF903" s="50"/>
      <c r="BG903" s="50"/>
      <c r="BH903" s="50"/>
      <c r="BI903" s="50"/>
      <c r="BJ903" s="50"/>
      <c r="BK903" s="50"/>
      <c r="BL903" s="50"/>
      <c r="BM903" s="50"/>
      <c r="BN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168"/>
      <c r="Z904" s="50"/>
      <c r="AA904" s="50"/>
      <c r="AB904" s="50"/>
      <c r="AC904" s="168"/>
      <c r="AD904" s="168"/>
      <c r="AE904" s="168"/>
      <c r="AF904" s="50"/>
      <c r="AG904" s="50"/>
      <c r="AH904" s="50"/>
      <c r="AI904" s="50"/>
      <c r="AJ904" s="50"/>
      <c r="AK904" s="50"/>
      <c r="AL904" s="50"/>
      <c r="AM904" s="50"/>
      <c r="AN904" s="50"/>
      <c r="AO904" s="50"/>
      <c r="AP904" s="50"/>
      <c r="AQ904" s="50"/>
      <c r="AR904" s="50"/>
      <c r="AS904" s="50"/>
      <c r="AT904" s="50"/>
      <c r="AU904" s="50"/>
      <c r="AV904" s="50"/>
      <c r="AW904" s="50"/>
      <c r="AX904" s="50"/>
      <c r="AY904" s="50"/>
      <c r="AZ904" s="50"/>
      <c r="BA904" s="50"/>
      <c r="BB904" s="50"/>
      <c r="BC904" s="50"/>
      <c r="BD904" s="50"/>
      <c r="BE904" s="50"/>
      <c r="BF904" s="50"/>
      <c r="BG904" s="50"/>
      <c r="BH904" s="50"/>
      <c r="BI904" s="50"/>
      <c r="BJ904" s="50"/>
      <c r="BK904" s="50"/>
      <c r="BL904" s="50"/>
      <c r="BM904" s="50"/>
      <c r="BN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168"/>
      <c r="Z905" s="50"/>
      <c r="AA905" s="50"/>
      <c r="AB905" s="50"/>
      <c r="AC905" s="168"/>
      <c r="AD905" s="168"/>
      <c r="AE905" s="168"/>
      <c r="AF905" s="50"/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/>
      <c r="BE905" s="50"/>
      <c r="BF905" s="50"/>
      <c r="BG905" s="50"/>
      <c r="BH905" s="50"/>
      <c r="BI905" s="50"/>
      <c r="BJ905" s="50"/>
      <c r="BK905" s="50"/>
      <c r="BL905" s="50"/>
      <c r="BM905" s="50"/>
      <c r="BN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168"/>
      <c r="Z906" s="50"/>
      <c r="AA906" s="50"/>
      <c r="AB906" s="50"/>
      <c r="AC906" s="168"/>
      <c r="AD906" s="168"/>
      <c r="AE906" s="168"/>
      <c r="AF906" s="50"/>
      <c r="AG906" s="50"/>
      <c r="AH906" s="50"/>
      <c r="AI906" s="50"/>
      <c r="AJ906" s="50"/>
      <c r="AK906" s="50"/>
      <c r="AL906" s="50"/>
      <c r="AM906" s="50"/>
      <c r="AN906" s="50"/>
      <c r="AO906" s="50"/>
      <c r="AP906" s="50"/>
      <c r="AQ906" s="50"/>
      <c r="AR906" s="50"/>
      <c r="AS906" s="50"/>
      <c r="AT906" s="50"/>
      <c r="AU906" s="50"/>
      <c r="AV906" s="50"/>
      <c r="AW906" s="50"/>
      <c r="AX906" s="50"/>
      <c r="AY906" s="50"/>
      <c r="AZ906" s="50"/>
      <c r="BA906" s="50"/>
      <c r="BB906" s="50"/>
      <c r="BC906" s="50"/>
      <c r="BD906" s="50"/>
      <c r="BE906" s="50"/>
      <c r="BF906" s="50"/>
      <c r="BG906" s="50"/>
      <c r="BH906" s="50"/>
      <c r="BI906" s="50"/>
      <c r="BJ906" s="50"/>
      <c r="BK906" s="50"/>
      <c r="BL906" s="50"/>
      <c r="BM906" s="50"/>
      <c r="BN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168"/>
      <c r="Z907" s="50"/>
      <c r="AA907" s="50"/>
      <c r="AB907" s="50"/>
      <c r="AC907" s="168"/>
      <c r="AD907" s="168"/>
      <c r="AE907" s="168"/>
      <c r="AF907" s="50"/>
      <c r="AG907" s="50"/>
      <c r="AH907" s="50"/>
      <c r="AI907" s="50"/>
      <c r="AJ907" s="50"/>
      <c r="AK907" s="50"/>
      <c r="AL907" s="50"/>
      <c r="AM907" s="50"/>
      <c r="AN907" s="50"/>
      <c r="AO907" s="50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/>
      <c r="BB907" s="50"/>
      <c r="BC907" s="50"/>
      <c r="BD907" s="50"/>
      <c r="BE907" s="50"/>
      <c r="BF907" s="50"/>
      <c r="BG907" s="50"/>
      <c r="BH907" s="50"/>
      <c r="BI907" s="50"/>
      <c r="BJ907" s="50"/>
      <c r="BK907" s="50"/>
      <c r="BL907" s="50"/>
      <c r="BM907" s="50"/>
      <c r="BN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168"/>
      <c r="Z908" s="50"/>
      <c r="AA908" s="50"/>
      <c r="AB908" s="50"/>
      <c r="AC908" s="168"/>
      <c r="AD908" s="168"/>
      <c r="AE908" s="168"/>
      <c r="AF908" s="50"/>
      <c r="AG908" s="50"/>
      <c r="AH908" s="50"/>
      <c r="AI908" s="50"/>
      <c r="AJ908" s="50"/>
      <c r="AK908" s="50"/>
      <c r="AL908" s="50"/>
      <c r="AM908" s="50"/>
      <c r="AN908" s="50"/>
      <c r="AO908" s="50"/>
      <c r="AP908" s="50"/>
      <c r="AQ908" s="50"/>
      <c r="AR908" s="50"/>
      <c r="AS908" s="50"/>
      <c r="AT908" s="50"/>
      <c r="AU908" s="50"/>
      <c r="AV908" s="50"/>
      <c r="AW908" s="50"/>
      <c r="AX908" s="50"/>
      <c r="AY908" s="50"/>
      <c r="AZ908" s="50"/>
      <c r="BA908" s="50"/>
      <c r="BB908" s="50"/>
      <c r="BC908" s="50"/>
      <c r="BD908" s="50"/>
      <c r="BE908" s="50"/>
      <c r="BF908" s="50"/>
      <c r="BG908" s="50"/>
      <c r="BH908" s="50"/>
      <c r="BI908" s="50"/>
      <c r="BJ908" s="50"/>
      <c r="BK908" s="50"/>
      <c r="BL908" s="50"/>
      <c r="BM908" s="50"/>
      <c r="BN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168"/>
      <c r="Z909" s="50"/>
      <c r="AA909" s="50"/>
      <c r="AB909" s="50"/>
      <c r="AC909" s="168"/>
      <c r="AD909" s="168"/>
      <c r="AE909" s="168"/>
      <c r="AF909" s="50"/>
      <c r="AG909" s="50"/>
      <c r="AH909" s="50"/>
      <c r="AI909" s="50"/>
      <c r="AJ909" s="50"/>
      <c r="AK909" s="50"/>
      <c r="AL909" s="50"/>
      <c r="AM909" s="50"/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/>
      <c r="BB909" s="50"/>
      <c r="BC909" s="50"/>
      <c r="BD909" s="50"/>
      <c r="BE909" s="50"/>
      <c r="BF909" s="50"/>
      <c r="BG909" s="50"/>
      <c r="BH909" s="50"/>
      <c r="BI909" s="50"/>
      <c r="BJ909" s="50"/>
      <c r="BK909" s="50"/>
      <c r="BL909" s="50"/>
      <c r="BM909" s="50"/>
      <c r="BN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168"/>
      <c r="Z910" s="50"/>
      <c r="AA910" s="50"/>
      <c r="AB910" s="50"/>
      <c r="AC910" s="168"/>
      <c r="AD910" s="168"/>
      <c r="AE910" s="168"/>
      <c r="AF910" s="50"/>
      <c r="AG910" s="50"/>
      <c r="AH910" s="50"/>
      <c r="AI910" s="50"/>
      <c r="AJ910" s="50"/>
      <c r="AK910" s="50"/>
      <c r="AL910" s="50"/>
      <c r="AM910" s="50"/>
      <c r="AN910" s="50"/>
      <c r="AO910" s="50"/>
      <c r="AP910" s="50"/>
      <c r="AQ910" s="50"/>
      <c r="AR910" s="50"/>
      <c r="AS910" s="50"/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0"/>
      <c r="BE910" s="50"/>
      <c r="BF910" s="50"/>
      <c r="BG910" s="50"/>
      <c r="BH910" s="50"/>
      <c r="BI910" s="50"/>
      <c r="BJ910" s="50"/>
      <c r="BK910" s="50"/>
      <c r="BL910" s="50"/>
      <c r="BM910" s="50"/>
      <c r="BN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168"/>
      <c r="Z911" s="50"/>
      <c r="AA911" s="50"/>
      <c r="AB911" s="50"/>
      <c r="AC911" s="168"/>
      <c r="AD911" s="168"/>
      <c r="AE911" s="168"/>
      <c r="AF911" s="50"/>
      <c r="AG911" s="50"/>
      <c r="AH911" s="50"/>
      <c r="AI911" s="50"/>
      <c r="AJ911" s="50"/>
      <c r="AK911" s="50"/>
      <c r="AL911" s="50"/>
      <c r="AM911" s="50"/>
      <c r="AN911" s="50"/>
      <c r="AO911" s="50"/>
      <c r="AP911" s="50"/>
      <c r="AQ911" s="50"/>
      <c r="AR911" s="50"/>
      <c r="AS911" s="50"/>
      <c r="AT911" s="50"/>
      <c r="AU911" s="50"/>
      <c r="AV911" s="50"/>
      <c r="AW911" s="50"/>
      <c r="AX911" s="50"/>
      <c r="AY911" s="50"/>
      <c r="AZ911" s="50"/>
      <c r="BA911" s="50"/>
      <c r="BB911" s="50"/>
      <c r="BC911" s="50"/>
      <c r="BD911" s="50"/>
      <c r="BE911" s="50"/>
      <c r="BF911" s="50"/>
      <c r="BG911" s="50"/>
      <c r="BH911" s="50"/>
      <c r="BI911" s="50"/>
      <c r="BJ911" s="50"/>
      <c r="BK911" s="50"/>
      <c r="BL911" s="50"/>
      <c r="BM911" s="50"/>
      <c r="BN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168"/>
      <c r="Z912" s="50"/>
      <c r="AA912" s="50"/>
      <c r="AB912" s="50"/>
      <c r="AC912" s="168"/>
      <c r="AD912" s="168"/>
      <c r="AE912" s="168"/>
      <c r="AF912" s="50"/>
      <c r="AG912" s="50"/>
      <c r="AH912" s="50"/>
      <c r="AI912" s="50"/>
      <c r="AJ912" s="50"/>
      <c r="AK912" s="50"/>
      <c r="AL912" s="50"/>
      <c r="AM912" s="50"/>
      <c r="AN912" s="50"/>
      <c r="AO912" s="50"/>
      <c r="AP912" s="50"/>
      <c r="AQ912" s="50"/>
      <c r="AR912" s="50"/>
      <c r="AS912" s="50"/>
      <c r="AT912" s="50"/>
      <c r="AU912" s="50"/>
      <c r="AV912" s="50"/>
      <c r="AW912" s="50"/>
      <c r="AX912" s="50"/>
      <c r="AY912" s="50"/>
      <c r="AZ912" s="50"/>
      <c r="BA912" s="50"/>
      <c r="BB912" s="50"/>
      <c r="BC912" s="50"/>
      <c r="BD912" s="50"/>
      <c r="BE912" s="50"/>
      <c r="BF912" s="50"/>
      <c r="BG912" s="50"/>
      <c r="BH912" s="50"/>
      <c r="BI912" s="50"/>
      <c r="BJ912" s="50"/>
      <c r="BK912" s="50"/>
      <c r="BL912" s="50"/>
      <c r="BM912" s="50"/>
      <c r="BN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168"/>
      <c r="Z913" s="50"/>
      <c r="AA913" s="50"/>
      <c r="AB913" s="50"/>
      <c r="AC913" s="168"/>
      <c r="AD913" s="168"/>
      <c r="AE913" s="168"/>
      <c r="AF913" s="50"/>
      <c r="AG913" s="50"/>
      <c r="AH913" s="50"/>
      <c r="AI913" s="50"/>
      <c r="AJ913" s="50"/>
      <c r="AK913" s="50"/>
      <c r="AL913" s="50"/>
      <c r="AM913" s="50"/>
      <c r="AN913" s="50"/>
      <c r="AO913" s="50"/>
      <c r="AP913" s="50"/>
      <c r="AQ913" s="50"/>
      <c r="AR913" s="50"/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/>
      <c r="BE913" s="50"/>
      <c r="BF913" s="50"/>
      <c r="BG913" s="50"/>
      <c r="BH913" s="50"/>
      <c r="BI913" s="50"/>
      <c r="BJ913" s="50"/>
      <c r="BK913" s="50"/>
      <c r="BL913" s="50"/>
      <c r="BM913" s="50"/>
      <c r="BN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168"/>
      <c r="Z914" s="50"/>
      <c r="AA914" s="50"/>
      <c r="AB914" s="50"/>
      <c r="AC914" s="168"/>
      <c r="AD914" s="168"/>
      <c r="AE914" s="168"/>
      <c r="AF914" s="50"/>
      <c r="AG914" s="50"/>
      <c r="AH914" s="50"/>
      <c r="AI914" s="50"/>
      <c r="AJ914" s="50"/>
      <c r="AK914" s="50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/>
      <c r="BE914" s="50"/>
      <c r="BF914" s="50"/>
      <c r="BG914" s="50"/>
      <c r="BH914" s="50"/>
      <c r="BI914" s="50"/>
      <c r="BJ914" s="50"/>
      <c r="BK914" s="50"/>
      <c r="BL914" s="50"/>
      <c r="BM914" s="50"/>
      <c r="BN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168"/>
      <c r="Z915" s="50"/>
      <c r="AA915" s="50"/>
      <c r="AB915" s="50"/>
      <c r="AC915" s="168"/>
      <c r="AD915" s="168"/>
      <c r="AE915" s="168"/>
      <c r="AF915" s="50"/>
      <c r="AG915" s="50"/>
      <c r="AH915" s="50"/>
      <c r="AI915" s="50"/>
      <c r="AJ915" s="50"/>
      <c r="AK915" s="50"/>
      <c r="AL915" s="50"/>
      <c r="AM915" s="50"/>
      <c r="AN915" s="50"/>
      <c r="AO915" s="50"/>
      <c r="AP915" s="50"/>
      <c r="AQ915" s="50"/>
      <c r="AR915" s="50"/>
      <c r="AS915" s="50"/>
      <c r="AT915" s="50"/>
      <c r="AU915" s="50"/>
      <c r="AV915" s="50"/>
      <c r="AW915" s="50"/>
      <c r="AX915" s="50"/>
      <c r="AY915" s="50"/>
      <c r="AZ915" s="50"/>
      <c r="BA915" s="50"/>
      <c r="BB915" s="50"/>
      <c r="BC915" s="50"/>
      <c r="BD915" s="50"/>
      <c r="BE915" s="50"/>
      <c r="BF915" s="50"/>
      <c r="BG915" s="50"/>
      <c r="BH915" s="50"/>
      <c r="BI915" s="50"/>
      <c r="BJ915" s="50"/>
      <c r="BK915" s="50"/>
      <c r="BL915" s="50"/>
      <c r="BM915" s="50"/>
      <c r="BN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168"/>
      <c r="Z916" s="50"/>
      <c r="AA916" s="50"/>
      <c r="AB916" s="50"/>
      <c r="AC916" s="168"/>
      <c r="AD916" s="168"/>
      <c r="AE916" s="168"/>
      <c r="AF916" s="50"/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/>
      <c r="BE916" s="50"/>
      <c r="BF916" s="50"/>
      <c r="BG916" s="50"/>
      <c r="BH916" s="50"/>
      <c r="BI916" s="50"/>
      <c r="BJ916" s="50"/>
      <c r="BK916" s="50"/>
      <c r="BL916" s="50"/>
      <c r="BM916" s="50"/>
      <c r="BN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168"/>
      <c r="Z917" s="50"/>
      <c r="AA917" s="50"/>
      <c r="AB917" s="50"/>
      <c r="AC917" s="168"/>
      <c r="AD917" s="168"/>
      <c r="AE917" s="168"/>
      <c r="AF917" s="50"/>
      <c r="AG917" s="50"/>
      <c r="AH917" s="50"/>
      <c r="AI917" s="50"/>
      <c r="AJ917" s="50"/>
      <c r="AK917" s="50"/>
      <c r="AL917" s="50"/>
      <c r="AM917" s="50"/>
      <c r="AN917" s="50"/>
      <c r="AO917" s="50"/>
      <c r="AP917" s="50"/>
      <c r="AQ917" s="50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0"/>
      <c r="BE917" s="50"/>
      <c r="BF917" s="50"/>
      <c r="BG917" s="50"/>
      <c r="BH917" s="50"/>
      <c r="BI917" s="50"/>
      <c r="BJ917" s="50"/>
      <c r="BK917" s="50"/>
      <c r="BL917" s="50"/>
      <c r="BM917" s="50"/>
      <c r="BN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168"/>
      <c r="Z918" s="50"/>
      <c r="AA918" s="50"/>
      <c r="AB918" s="50"/>
      <c r="AC918" s="168"/>
      <c r="AD918" s="168"/>
      <c r="AE918" s="168"/>
      <c r="AF918" s="50"/>
      <c r="AG918" s="50"/>
      <c r="AH918" s="50"/>
      <c r="AI918" s="50"/>
      <c r="AJ918" s="50"/>
      <c r="AK918" s="50"/>
      <c r="AL918" s="50"/>
      <c r="AM918" s="50"/>
      <c r="AN918" s="50"/>
      <c r="AO918" s="50"/>
      <c r="AP918" s="50"/>
      <c r="AQ918" s="50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0"/>
      <c r="BE918" s="50"/>
      <c r="BF918" s="50"/>
      <c r="BG918" s="50"/>
      <c r="BH918" s="50"/>
      <c r="BI918" s="50"/>
      <c r="BJ918" s="50"/>
      <c r="BK918" s="50"/>
      <c r="BL918" s="50"/>
      <c r="BM918" s="50"/>
      <c r="BN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168"/>
      <c r="Z919" s="50"/>
      <c r="AA919" s="50"/>
      <c r="AB919" s="50"/>
      <c r="AC919" s="168"/>
      <c r="AD919" s="168"/>
      <c r="AE919" s="168"/>
      <c r="AF919" s="50"/>
      <c r="AG919" s="50"/>
      <c r="AH919" s="50"/>
      <c r="AI919" s="50"/>
      <c r="AJ919" s="50"/>
      <c r="AK919" s="50"/>
      <c r="AL919" s="50"/>
      <c r="AM919" s="50"/>
      <c r="AN919" s="50"/>
      <c r="AO919" s="50"/>
      <c r="AP919" s="50"/>
      <c r="AQ919" s="50"/>
      <c r="AR919" s="50"/>
      <c r="AS919" s="50"/>
      <c r="AT919" s="50"/>
      <c r="AU919" s="50"/>
      <c r="AV919" s="50"/>
      <c r="AW919" s="50"/>
      <c r="AX919" s="50"/>
      <c r="AY919" s="50"/>
      <c r="AZ919" s="50"/>
      <c r="BA919" s="50"/>
      <c r="BB919" s="50"/>
      <c r="BC919" s="50"/>
      <c r="BD919" s="50"/>
      <c r="BE919" s="50"/>
      <c r="BF919" s="50"/>
      <c r="BG919" s="50"/>
      <c r="BH919" s="50"/>
      <c r="BI919" s="50"/>
      <c r="BJ919" s="50"/>
      <c r="BK919" s="50"/>
      <c r="BL919" s="50"/>
      <c r="BM919" s="50"/>
      <c r="BN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168"/>
      <c r="Z920" s="50"/>
      <c r="AA920" s="50"/>
      <c r="AB920" s="50"/>
      <c r="AC920" s="168"/>
      <c r="AD920" s="168"/>
      <c r="AE920" s="168"/>
      <c r="AF920" s="50"/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/>
      <c r="BE920" s="50"/>
      <c r="BF920" s="50"/>
      <c r="BG920" s="50"/>
      <c r="BH920" s="50"/>
      <c r="BI920" s="50"/>
      <c r="BJ920" s="50"/>
      <c r="BK920" s="50"/>
      <c r="BL920" s="50"/>
      <c r="BM920" s="50"/>
      <c r="BN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168"/>
      <c r="Z921" s="50"/>
      <c r="AA921" s="50"/>
      <c r="AB921" s="50"/>
      <c r="AC921" s="168"/>
      <c r="AD921" s="168"/>
      <c r="AE921" s="168"/>
      <c r="AF921" s="50"/>
      <c r="AG921" s="50"/>
      <c r="AH921" s="50"/>
      <c r="AI921" s="50"/>
      <c r="AJ921" s="50"/>
      <c r="AK921" s="50"/>
      <c r="AL921" s="50"/>
      <c r="AM921" s="50"/>
      <c r="AN921" s="50"/>
      <c r="AO921" s="50"/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/>
      <c r="BE921" s="50"/>
      <c r="BF921" s="50"/>
      <c r="BG921" s="50"/>
      <c r="BH921" s="50"/>
      <c r="BI921" s="50"/>
      <c r="BJ921" s="50"/>
      <c r="BK921" s="50"/>
      <c r="BL921" s="50"/>
      <c r="BM921" s="50"/>
      <c r="BN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168"/>
      <c r="Z922" s="50"/>
      <c r="AA922" s="50"/>
      <c r="AB922" s="50"/>
      <c r="AC922" s="168"/>
      <c r="AD922" s="168"/>
      <c r="AE922" s="168"/>
      <c r="AF922" s="50"/>
      <c r="AG922" s="50"/>
      <c r="AH922" s="50"/>
      <c r="AI922" s="50"/>
      <c r="AJ922" s="50"/>
      <c r="AK922" s="50"/>
      <c r="AL922" s="50"/>
      <c r="AM922" s="50"/>
      <c r="AN922" s="50"/>
      <c r="AO922" s="50"/>
      <c r="AP922" s="50"/>
      <c r="AQ922" s="50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/>
      <c r="BE922" s="50"/>
      <c r="BF922" s="50"/>
      <c r="BG922" s="50"/>
      <c r="BH922" s="50"/>
      <c r="BI922" s="50"/>
      <c r="BJ922" s="50"/>
      <c r="BK922" s="50"/>
      <c r="BL922" s="50"/>
      <c r="BM922" s="50"/>
      <c r="BN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168"/>
      <c r="Z923" s="50"/>
      <c r="AA923" s="50"/>
      <c r="AB923" s="50"/>
      <c r="AC923" s="168"/>
      <c r="AD923" s="168"/>
      <c r="AE923" s="168"/>
      <c r="AF923" s="50"/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/>
      <c r="BE923" s="50"/>
      <c r="BF923" s="50"/>
      <c r="BG923" s="50"/>
      <c r="BH923" s="50"/>
      <c r="BI923" s="50"/>
      <c r="BJ923" s="50"/>
      <c r="BK923" s="50"/>
      <c r="BL923" s="50"/>
      <c r="BM923" s="50"/>
      <c r="BN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168"/>
      <c r="Z924" s="50"/>
      <c r="AA924" s="50"/>
      <c r="AB924" s="50"/>
      <c r="AC924" s="168"/>
      <c r="AD924" s="168"/>
      <c r="AE924" s="168"/>
      <c r="AF924" s="50"/>
      <c r="AG924" s="50"/>
      <c r="AH924" s="50"/>
      <c r="AI924" s="50"/>
      <c r="AJ924" s="50"/>
      <c r="AK924" s="50"/>
      <c r="AL924" s="50"/>
      <c r="AM924" s="50"/>
      <c r="AN924" s="50"/>
      <c r="AO924" s="50"/>
      <c r="AP924" s="50"/>
      <c r="AQ924" s="50"/>
      <c r="AR924" s="50"/>
      <c r="AS924" s="50"/>
      <c r="AT924" s="50"/>
      <c r="AU924" s="50"/>
      <c r="AV924" s="50"/>
      <c r="AW924" s="50"/>
      <c r="AX924" s="50"/>
      <c r="AY924" s="50"/>
      <c r="AZ924" s="50"/>
      <c r="BA924" s="50"/>
      <c r="BB924" s="50"/>
      <c r="BC924" s="50"/>
      <c r="BD924" s="50"/>
      <c r="BE924" s="50"/>
      <c r="BF924" s="50"/>
      <c r="BG924" s="50"/>
      <c r="BH924" s="50"/>
      <c r="BI924" s="50"/>
      <c r="BJ924" s="50"/>
      <c r="BK924" s="50"/>
      <c r="BL924" s="50"/>
      <c r="BM924" s="50"/>
      <c r="BN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168"/>
      <c r="Z925" s="50"/>
      <c r="AA925" s="50"/>
      <c r="AB925" s="50"/>
      <c r="AC925" s="168"/>
      <c r="AD925" s="168"/>
      <c r="AE925" s="168"/>
      <c r="AF925" s="50"/>
      <c r="AG925" s="50"/>
      <c r="AH925" s="50"/>
      <c r="AI925" s="50"/>
      <c r="AJ925" s="50"/>
      <c r="AK925" s="50"/>
      <c r="AL925" s="50"/>
      <c r="AM925" s="50"/>
      <c r="AN925" s="50"/>
      <c r="AO925" s="50"/>
      <c r="AP925" s="50"/>
      <c r="AQ925" s="50"/>
      <c r="AR925" s="50"/>
      <c r="AS925" s="50"/>
      <c r="AT925" s="50"/>
      <c r="AU925" s="50"/>
      <c r="AV925" s="50"/>
      <c r="AW925" s="50"/>
      <c r="AX925" s="50"/>
      <c r="AY925" s="50"/>
      <c r="AZ925" s="50"/>
      <c r="BA925" s="50"/>
      <c r="BB925" s="50"/>
      <c r="BC925" s="50"/>
      <c r="BD925" s="50"/>
      <c r="BE925" s="50"/>
      <c r="BF925" s="50"/>
      <c r="BG925" s="50"/>
      <c r="BH925" s="50"/>
      <c r="BI925" s="50"/>
      <c r="BJ925" s="50"/>
      <c r="BK925" s="50"/>
      <c r="BL925" s="50"/>
      <c r="BM925" s="50"/>
      <c r="BN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168"/>
      <c r="Z926" s="50"/>
      <c r="AA926" s="50"/>
      <c r="AB926" s="50"/>
      <c r="AC926" s="168"/>
      <c r="AD926" s="168"/>
      <c r="AE926" s="168"/>
      <c r="AF926" s="50"/>
      <c r="AG926" s="50"/>
      <c r="AH926" s="50"/>
      <c r="AI926" s="50"/>
      <c r="AJ926" s="50"/>
      <c r="AK926" s="50"/>
      <c r="AL926" s="50"/>
      <c r="AM926" s="50"/>
      <c r="AN926" s="50"/>
      <c r="AO926" s="50"/>
      <c r="AP926" s="50"/>
      <c r="AQ926" s="50"/>
      <c r="AR926" s="50"/>
      <c r="AS926" s="50"/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0"/>
      <c r="BE926" s="50"/>
      <c r="BF926" s="50"/>
      <c r="BG926" s="50"/>
      <c r="BH926" s="50"/>
      <c r="BI926" s="50"/>
      <c r="BJ926" s="50"/>
      <c r="BK926" s="50"/>
      <c r="BL926" s="50"/>
      <c r="BM926" s="50"/>
      <c r="BN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168"/>
      <c r="Z927" s="50"/>
      <c r="AA927" s="50"/>
      <c r="AB927" s="50"/>
      <c r="AC927" s="168"/>
      <c r="AD927" s="168"/>
      <c r="AE927" s="168"/>
      <c r="AF927" s="50"/>
      <c r="AG927" s="50"/>
      <c r="AH927" s="50"/>
      <c r="AI927" s="50"/>
      <c r="AJ927" s="50"/>
      <c r="AK927" s="50"/>
      <c r="AL927" s="50"/>
      <c r="AM927" s="50"/>
      <c r="AN927" s="50"/>
      <c r="AO927" s="50"/>
      <c r="AP927" s="50"/>
      <c r="AQ927" s="50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0"/>
      <c r="BE927" s="50"/>
      <c r="BF927" s="50"/>
      <c r="BG927" s="50"/>
      <c r="BH927" s="50"/>
      <c r="BI927" s="50"/>
      <c r="BJ927" s="50"/>
      <c r="BK927" s="50"/>
      <c r="BL927" s="50"/>
      <c r="BM927" s="50"/>
      <c r="BN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168"/>
      <c r="Z928" s="50"/>
      <c r="AA928" s="50"/>
      <c r="AB928" s="50"/>
      <c r="AC928" s="168"/>
      <c r="AD928" s="168"/>
      <c r="AE928" s="168"/>
      <c r="AF928" s="50"/>
      <c r="AG928" s="50"/>
      <c r="AH928" s="50"/>
      <c r="AI928" s="50"/>
      <c r="AJ928" s="50"/>
      <c r="AK928" s="50"/>
      <c r="AL928" s="50"/>
      <c r="AM928" s="50"/>
      <c r="AN928" s="50"/>
      <c r="AO928" s="50"/>
      <c r="AP928" s="50"/>
      <c r="AQ928" s="50"/>
      <c r="AR928" s="50"/>
      <c r="AS928" s="50"/>
      <c r="AT928" s="50"/>
      <c r="AU928" s="50"/>
      <c r="AV928" s="50"/>
      <c r="AW928" s="50"/>
      <c r="AX928" s="50"/>
      <c r="AY928" s="50"/>
      <c r="AZ928" s="50"/>
      <c r="BA928" s="50"/>
      <c r="BB928" s="50"/>
      <c r="BC928" s="50"/>
      <c r="BD928" s="50"/>
      <c r="BE928" s="50"/>
      <c r="BF928" s="50"/>
      <c r="BG928" s="50"/>
      <c r="BH928" s="50"/>
      <c r="BI928" s="50"/>
      <c r="BJ928" s="50"/>
      <c r="BK928" s="50"/>
      <c r="BL928" s="50"/>
      <c r="BM928" s="50"/>
      <c r="BN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168"/>
      <c r="Z929" s="50"/>
      <c r="AA929" s="50"/>
      <c r="AB929" s="50"/>
      <c r="AC929" s="168"/>
      <c r="AD929" s="168"/>
      <c r="AE929" s="168"/>
      <c r="AF929" s="50"/>
      <c r="AG929" s="50"/>
      <c r="AH929" s="50"/>
      <c r="AI929" s="50"/>
      <c r="AJ929" s="50"/>
      <c r="AK929" s="50"/>
      <c r="AL929" s="50"/>
      <c r="AM929" s="50"/>
      <c r="AN929" s="50"/>
      <c r="AO929" s="50"/>
      <c r="AP929" s="50"/>
      <c r="AQ929" s="50"/>
      <c r="AR929" s="50"/>
      <c r="AS929" s="50"/>
      <c r="AT929" s="50"/>
      <c r="AU929" s="50"/>
      <c r="AV929" s="50"/>
      <c r="AW929" s="50"/>
      <c r="AX929" s="50"/>
      <c r="AY929" s="50"/>
      <c r="AZ929" s="50"/>
      <c r="BA929" s="50"/>
      <c r="BB929" s="50"/>
      <c r="BC929" s="50"/>
      <c r="BD929" s="50"/>
      <c r="BE929" s="50"/>
      <c r="BF929" s="50"/>
      <c r="BG929" s="50"/>
      <c r="BH929" s="50"/>
      <c r="BI929" s="50"/>
      <c r="BJ929" s="50"/>
      <c r="BK929" s="50"/>
      <c r="BL929" s="50"/>
      <c r="BM929" s="50"/>
      <c r="BN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168"/>
      <c r="Z930" s="50"/>
      <c r="AA930" s="50"/>
      <c r="AB930" s="50"/>
      <c r="AC930" s="168"/>
      <c r="AD930" s="168"/>
      <c r="AE930" s="168"/>
      <c r="AF930" s="50"/>
      <c r="AG930" s="50"/>
      <c r="AH930" s="50"/>
      <c r="AI930" s="50"/>
      <c r="AJ930" s="50"/>
      <c r="AK930" s="50"/>
      <c r="AL930" s="50"/>
      <c r="AM930" s="50"/>
      <c r="AN930" s="50"/>
      <c r="AO930" s="50"/>
      <c r="AP930" s="50"/>
      <c r="AQ930" s="50"/>
      <c r="AR930" s="50"/>
      <c r="AS930" s="50"/>
      <c r="AT930" s="50"/>
      <c r="AU930" s="50"/>
      <c r="AV930" s="50"/>
      <c r="AW930" s="50"/>
      <c r="AX930" s="50"/>
      <c r="AY930" s="50"/>
      <c r="AZ930" s="50"/>
      <c r="BA930" s="50"/>
      <c r="BB930" s="50"/>
      <c r="BC930" s="50"/>
      <c r="BD930" s="50"/>
      <c r="BE930" s="50"/>
      <c r="BF930" s="50"/>
      <c r="BG930" s="50"/>
      <c r="BH930" s="50"/>
      <c r="BI930" s="50"/>
      <c r="BJ930" s="50"/>
      <c r="BK930" s="50"/>
      <c r="BL930" s="50"/>
      <c r="BM930" s="50"/>
      <c r="BN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168"/>
      <c r="Z931" s="50"/>
      <c r="AA931" s="50"/>
      <c r="AB931" s="50"/>
      <c r="AC931" s="168"/>
      <c r="AD931" s="168"/>
      <c r="AE931" s="168"/>
      <c r="AF931" s="50"/>
      <c r="AG931" s="50"/>
      <c r="AH931" s="50"/>
      <c r="AI931" s="50"/>
      <c r="AJ931" s="50"/>
      <c r="AK931" s="50"/>
      <c r="AL931" s="50"/>
      <c r="AM931" s="50"/>
      <c r="AN931" s="50"/>
      <c r="AO931" s="50"/>
      <c r="AP931" s="50"/>
      <c r="AQ931" s="50"/>
      <c r="AR931" s="50"/>
      <c r="AS931" s="50"/>
      <c r="AT931" s="50"/>
      <c r="AU931" s="50"/>
      <c r="AV931" s="50"/>
      <c r="AW931" s="50"/>
      <c r="AX931" s="50"/>
      <c r="AY931" s="50"/>
      <c r="AZ931" s="50"/>
      <c r="BA931" s="50"/>
      <c r="BB931" s="50"/>
      <c r="BC931" s="50"/>
      <c r="BD931" s="50"/>
      <c r="BE931" s="50"/>
      <c r="BF931" s="50"/>
      <c r="BG931" s="50"/>
      <c r="BH931" s="50"/>
      <c r="BI931" s="50"/>
      <c r="BJ931" s="50"/>
      <c r="BK931" s="50"/>
      <c r="BL931" s="50"/>
      <c r="BM931" s="50"/>
      <c r="BN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168"/>
      <c r="Z932" s="50"/>
      <c r="AA932" s="50"/>
      <c r="AB932" s="50"/>
      <c r="AC932" s="168"/>
      <c r="AD932" s="168"/>
      <c r="AE932" s="168"/>
      <c r="AF932" s="50"/>
      <c r="AG932" s="50"/>
      <c r="AH932" s="50"/>
      <c r="AI932" s="50"/>
      <c r="AJ932" s="50"/>
      <c r="AK932" s="50"/>
      <c r="AL932" s="50"/>
      <c r="AM932" s="50"/>
      <c r="AN932" s="50"/>
      <c r="AO932" s="50"/>
      <c r="AP932" s="50"/>
      <c r="AQ932" s="50"/>
      <c r="AR932" s="50"/>
      <c r="AS932" s="50"/>
      <c r="AT932" s="50"/>
      <c r="AU932" s="50"/>
      <c r="AV932" s="50"/>
      <c r="AW932" s="50"/>
      <c r="AX932" s="50"/>
      <c r="AY932" s="50"/>
      <c r="AZ932" s="50"/>
      <c r="BA932" s="50"/>
      <c r="BB932" s="50"/>
      <c r="BC932" s="50"/>
      <c r="BD932" s="50"/>
      <c r="BE932" s="50"/>
      <c r="BF932" s="50"/>
      <c r="BG932" s="50"/>
      <c r="BH932" s="50"/>
      <c r="BI932" s="50"/>
      <c r="BJ932" s="50"/>
      <c r="BK932" s="50"/>
      <c r="BL932" s="50"/>
      <c r="BM932" s="50"/>
      <c r="BN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168"/>
      <c r="Z933" s="50"/>
      <c r="AA933" s="50"/>
      <c r="AB933" s="50"/>
      <c r="AC933" s="168"/>
      <c r="AD933" s="168"/>
      <c r="AE933" s="168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/>
      <c r="AR933" s="50"/>
      <c r="AS933" s="50"/>
      <c r="AT933" s="50"/>
      <c r="AU933" s="50"/>
      <c r="AV933" s="50"/>
      <c r="AW933" s="50"/>
      <c r="AX933" s="50"/>
      <c r="AY933" s="50"/>
      <c r="AZ933" s="50"/>
      <c r="BA933" s="50"/>
      <c r="BB933" s="50"/>
      <c r="BC933" s="50"/>
      <c r="BD933" s="50"/>
      <c r="BE933" s="50"/>
      <c r="BF933" s="50"/>
      <c r="BG933" s="50"/>
      <c r="BH933" s="50"/>
      <c r="BI933" s="50"/>
      <c r="BJ933" s="50"/>
      <c r="BK933" s="50"/>
      <c r="BL933" s="50"/>
      <c r="BM933" s="50"/>
      <c r="BN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168"/>
      <c r="Z934" s="50"/>
      <c r="AA934" s="50"/>
      <c r="AB934" s="50"/>
      <c r="AC934" s="168"/>
      <c r="AD934" s="168"/>
      <c r="AE934" s="168"/>
      <c r="AF934" s="50"/>
      <c r="AG934" s="50"/>
      <c r="AH934" s="50"/>
      <c r="AI934" s="50"/>
      <c r="AJ934" s="50"/>
      <c r="AK934" s="50"/>
      <c r="AL934" s="50"/>
      <c r="AM934" s="50"/>
      <c r="AN934" s="50"/>
      <c r="AO934" s="50"/>
      <c r="AP934" s="50"/>
      <c r="AQ934" s="50"/>
      <c r="AR934" s="50"/>
      <c r="AS934" s="50"/>
      <c r="AT934" s="50"/>
      <c r="AU934" s="50"/>
      <c r="AV934" s="50"/>
      <c r="AW934" s="50"/>
      <c r="AX934" s="50"/>
      <c r="AY934" s="50"/>
      <c r="AZ934" s="50"/>
      <c r="BA934" s="50"/>
      <c r="BB934" s="50"/>
      <c r="BC934" s="50"/>
      <c r="BD934" s="50"/>
      <c r="BE934" s="50"/>
      <c r="BF934" s="50"/>
      <c r="BG934" s="50"/>
      <c r="BH934" s="50"/>
      <c r="BI934" s="50"/>
      <c r="BJ934" s="50"/>
      <c r="BK934" s="50"/>
      <c r="BL934" s="50"/>
      <c r="BM934" s="50"/>
      <c r="BN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168"/>
      <c r="Z935" s="50"/>
      <c r="AA935" s="50"/>
      <c r="AB935" s="50"/>
      <c r="AC935" s="168"/>
      <c r="AD935" s="168"/>
      <c r="AE935" s="168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/>
      <c r="AR935" s="50"/>
      <c r="AS935" s="50"/>
      <c r="AT935" s="50"/>
      <c r="AU935" s="50"/>
      <c r="AV935" s="50"/>
      <c r="AW935" s="50"/>
      <c r="AX935" s="50"/>
      <c r="AY935" s="50"/>
      <c r="AZ935" s="50"/>
      <c r="BA935" s="50"/>
      <c r="BB935" s="50"/>
      <c r="BC935" s="50"/>
      <c r="BD935" s="50"/>
      <c r="BE935" s="50"/>
      <c r="BF935" s="50"/>
      <c r="BG935" s="50"/>
      <c r="BH935" s="50"/>
      <c r="BI935" s="50"/>
      <c r="BJ935" s="50"/>
      <c r="BK935" s="50"/>
      <c r="BL935" s="50"/>
      <c r="BM935" s="50"/>
      <c r="BN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168"/>
      <c r="Z936" s="50"/>
      <c r="AA936" s="50"/>
      <c r="AB936" s="50"/>
      <c r="AC936" s="168"/>
      <c r="AD936" s="168"/>
      <c r="AE936" s="168"/>
      <c r="AF936" s="50"/>
      <c r="AG936" s="50"/>
      <c r="AH936" s="50"/>
      <c r="AI936" s="50"/>
      <c r="AJ936" s="50"/>
      <c r="AK936" s="50"/>
      <c r="AL936" s="50"/>
      <c r="AM936" s="50"/>
      <c r="AN936" s="50"/>
      <c r="AO936" s="50"/>
      <c r="AP936" s="50"/>
      <c r="AQ936" s="50"/>
      <c r="AR936" s="50"/>
      <c r="AS936" s="50"/>
      <c r="AT936" s="50"/>
      <c r="AU936" s="50"/>
      <c r="AV936" s="50"/>
      <c r="AW936" s="50"/>
      <c r="AX936" s="50"/>
      <c r="AY936" s="50"/>
      <c r="AZ936" s="50"/>
      <c r="BA936" s="50"/>
      <c r="BB936" s="50"/>
      <c r="BC936" s="50"/>
      <c r="BD936" s="50"/>
      <c r="BE936" s="50"/>
      <c r="BF936" s="50"/>
      <c r="BG936" s="50"/>
      <c r="BH936" s="50"/>
      <c r="BI936" s="50"/>
      <c r="BJ936" s="50"/>
      <c r="BK936" s="50"/>
      <c r="BL936" s="50"/>
      <c r="BM936" s="50"/>
      <c r="BN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168"/>
      <c r="Z937" s="50"/>
      <c r="AA937" s="50"/>
      <c r="AB937" s="50"/>
      <c r="AC937" s="168"/>
      <c r="AD937" s="168"/>
      <c r="AE937" s="168"/>
      <c r="AF937" s="50"/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/>
      <c r="AR937" s="50"/>
      <c r="AS937" s="50"/>
      <c r="AT937" s="50"/>
      <c r="AU937" s="50"/>
      <c r="AV937" s="50"/>
      <c r="AW937" s="50"/>
      <c r="AX937" s="50"/>
      <c r="AY937" s="50"/>
      <c r="AZ937" s="50"/>
      <c r="BA937" s="50"/>
      <c r="BB937" s="50"/>
      <c r="BC937" s="50"/>
      <c r="BD937" s="50"/>
      <c r="BE937" s="50"/>
      <c r="BF937" s="50"/>
      <c r="BG937" s="50"/>
      <c r="BH937" s="50"/>
      <c r="BI937" s="50"/>
      <c r="BJ937" s="50"/>
      <c r="BK937" s="50"/>
      <c r="BL937" s="50"/>
      <c r="BM937" s="50"/>
      <c r="BN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168"/>
      <c r="Z938" s="50"/>
      <c r="AA938" s="50"/>
      <c r="AB938" s="50"/>
      <c r="AC938" s="168"/>
      <c r="AD938" s="168"/>
      <c r="AE938" s="168"/>
      <c r="AF938" s="50"/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0"/>
      <c r="BE938" s="50"/>
      <c r="BF938" s="50"/>
      <c r="BG938" s="50"/>
      <c r="BH938" s="50"/>
      <c r="BI938" s="50"/>
      <c r="BJ938" s="50"/>
      <c r="BK938" s="50"/>
      <c r="BL938" s="50"/>
      <c r="BM938" s="50"/>
      <c r="BN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168"/>
      <c r="Z939" s="50"/>
      <c r="AA939" s="50"/>
      <c r="AB939" s="50"/>
      <c r="AC939" s="168"/>
      <c r="AD939" s="168"/>
      <c r="AE939" s="168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/>
      <c r="AR939" s="50"/>
      <c r="AS939" s="50"/>
      <c r="AT939" s="50"/>
      <c r="AU939" s="50"/>
      <c r="AV939" s="50"/>
      <c r="AW939" s="50"/>
      <c r="AX939" s="50"/>
      <c r="AY939" s="50"/>
      <c r="AZ939" s="50"/>
      <c r="BA939" s="50"/>
      <c r="BB939" s="50"/>
      <c r="BC939" s="50"/>
      <c r="BD939" s="50"/>
      <c r="BE939" s="50"/>
      <c r="BF939" s="50"/>
      <c r="BG939" s="50"/>
      <c r="BH939" s="50"/>
      <c r="BI939" s="50"/>
      <c r="BJ939" s="50"/>
      <c r="BK939" s="50"/>
      <c r="BL939" s="50"/>
      <c r="BM939" s="50"/>
      <c r="BN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168"/>
      <c r="Z940" s="50"/>
      <c r="AA940" s="50"/>
      <c r="AB940" s="50"/>
      <c r="AC940" s="168"/>
      <c r="AD940" s="168"/>
      <c r="AE940" s="168"/>
      <c r="AF940" s="50"/>
      <c r="AG940" s="50"/>
      <c r="AH940" s="50"/>
      <c r="AI940" s="50"/>
      <c r="AJ940" s="50"/>
      <c r="AK940" s="50"/>
      <c r="AL940" s="50"/>
      <c r="AM940" s="50"/>
      <c r="AN940" s="50"/>
      <c r="AO940" s="50"/>
      <c r="AP940" s="50"/>
      <c r="AQ940" s="50"/>
      <c r="AR940" s="50"/>
      <c r="AS940" s="50"/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0"/>
      <c r="BE940" s="50"/>
      <c r="BF940" s="50"/>
      <c r="BG940" s="50"/>
      <c r="BH940" s="50"/>
      <c r="BI940" s="50"/>
      <c r="BJ940" s="50"/>
      <c r="BK940" s="50"/>
      <c r="BL940" s="50"/>
      <c r="BM940" s="50"/>
      <c r="BN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168"/>
      <c r="Z941" s="50"/>
      <c r="AA941" s="50"/>
      <c r="AB941" s="50"/>
      <c r="AC941" s="168"/>
      <c r="AD941" s="168"/>
      <c r="AE941" s="168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50"/>
      <c r="AU941" s="50"/>
      <c r="AV941" s="50"/>
      <c r="AW941" s="50"/>
      <c r="AX941" s="50"/>
      <c r="AY941" s="50"/>
      <c r="AZ941" s="50"/>
      <c r="BA941" s="50"/>
      <c r="BB941" s="50"/>
      <c r="BC941" s="50"/>
      <c r="BD941" s="50"/>
      <c r="BE941" s="50"/>
      <c r="BF941" s="50"/>
      <c r="BG941" s="50"/>
      <c r="BH941" s="50"/>
      <c r="BI941" s="50"/>
      <c r="BJ941" s="50"/>
      <c r="BK941" s="50"/>
      <c r="BL941" s="50"/>
      <c r="BM941" s="50"/>
      <c r="BN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168"/>
      <c r="Z942" s="50"/>
      <c r="AA942" s="50"/>
      <c r="AB942" s="50"/>
      <c r="AC942" s="168"/>
      <c r="AD942" s="168"/>
      <c r="AE942" s="168"/>
      <c r="AF942" s="50"/>
      <c r="AG942" s="50"/>
      <c r="AH942" s="50"/>
      <c r="AI942" s="50"/>
      <c r="AJ942" s="50"/>
      <c r="AK942" s="50"/>
      <c r="AL942" s="50"/>
      <c r="AM942" s="50"/>
      <c r="AN942" s="50"/>
      <c r="AO942" s="50"/>
      <c r="AP942" s="50"/>
      <c r="AQ942" s="50"/>
      <c r="AR942" s="50"/>
      <c r="AS942" s="50"/>
      <c r="AT942" s="50"/>
      <c r="AU942" s="50"/>
      <c r="AV942" s="50"/>
      <c r="AW942" s="50"/>
      <c r="AX942" s="50"/>
      <c r="AY942" s="50"/>
      <c r="AZ942" s="50"/>
      <c r="BA942" s="50"/>
      <c r="BB942" s="50"/>
      <c r="BC942" s="50"/>
      <c r="BD942" s="50"/>
      <c r="BE942" s="50"/>
      <c r="BF942" s="50"/>
      <c r="BG942" s="50"/>
      <c r="BH942" s="50"/>
      <c r="BI942" s="50"/>
      <c r="BJ942" s="50"/>
      <c r="BK942" s="50"/>
      <c r="BL942" s="50"/>
      <c r="BM942" s="50"/>
      <c r="BN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168"/>
      <c r="Z943" s="50"/>
      <c r="AA943" s="50"/>
      <c r="AB943" s="50"/>
      <c r="AC943" s="168"/>
      <c r="AD943" s="168"/>
      <c r="AE943" s="168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50"/>
      <c r="AU943" s="50"/>
      <c r="AV943" s="50"/>
      <c r="AW943" s="50"/>
      <c r="AX943" s="50"/>
      <c r="AY943" s="50"/>
      <c r="AZ943" s="50"/>
      <c r="BA943" s="50"/>
      <c r="BB943" s="50"/>
      <c r="BC943" s="50"/>
      <c r="BD943" s="50"/>
      <c r="BE943" s="50"/>
      <c r="BF943" s="50"/>
      <c r="BG943" s="50"/>
      <c r="BH943" s="50"/>
      <c r="BI943" s="50"/>
      <c r="BJ943" s="50"/>
      <c r="BK943" s="50"/>
      <c r="BL943" s="50"/>
      <c r="BM943" s="50"/>
      <c r="BN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168"/>
      <c r="Z944" s="50"/>
      <c r="AA944" s="50"/>
      <c r="AB944" s="50"/>
      <c r="AC944" s="168"/>
      <c r="AD944" s="168"/>
      <c r="AE944" s="168"/>
      <c r="AF944" s="50"/>
      <c r="AG944" s="50"/>
      <c r="AH944" s="50"/>
      <c r="AI944" s="50"/>
      <c r="AJ944" s="50"/>
      <c r="AK944" s="50"/>
      <c r="AL944" s="50"/>
      <c r="AM944" s="50"/>
      <c r="AN944" s="50"/>
      <c r="AO944" s="50"/>
      <c r="AP944" s="50"/>
      <c r="AQ944" s="50"/>
      <c r="AR944" s="50"/>
      <c r="AS944" s="50"/>
      <c r="AT944" s="50"/>
      <c r="AU944" s="50"/>
      <c r="AV944" s="50"/>
      <c r="AW944" s="50"/>
      <c r="AX944" s="50"/>
      <c r="AY944" s="50"/>
      <c r="AZ944" s="50"/>
      <c r="BA944" s="50"/>
      <c r="BB944" s="50"/>
      <c r="BC944" s="50"/>
      <c r="BD944" s="50"/>
      <c r="BE944" s="50"/>
      <c r="BF944" s="50"/>
      <c r="BG944" s="50"/>
      <c r="BH944" s="50"/>
      <c r="BI944" s="50"/>
      <c r="BJ944" s="50"/>
      <c r="BK944" s="50"/>
      <c r="BL944" s="50"/>
      <c r="BM944" s="50"/>
      <c r="BN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168"/>
      <c r="Z945" s="50"/>
      <c r="AA945" s="50"/>
      <c r="AB945" s="50"/>
      <c r="AC945" s="168"/>
      <c r="AD945" s="168"/>
      <c r="AE945" s="168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/>
      <c r="BB945" s="50"/>
      <c r="BC945" s="50"/>
      <c r="BD945" s="50"/>
      <c r="BE945" s="50"/>
      <c r="BF945" s="50"/>
      <c r="BG945" s="50"/>
      <c r="BH945" s="50"/>
      <c r="BI945" s="50"/>
      <c r="BJ945" s="50"/>
      <c r="BK945" s="50"/>
      <c r="BL945" s="50"/>
      <c r="BM945" s="50"/>
      <c r="BN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168"/>
      <c r="Z946" s="50"/>
      <c r="AA946" s="50"/>
      <c r="AB946" s="50"/>
      <c r="AC946" s="168"/>
      <c r="AD946" s="168"/>
      <c r="AE946" s="168"/>
      <c r="AF946" s="50"/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/>
      <c r="AR946" s="50"/>
      <c r="AS946" s="50"/>
      <c r="AT946" s="50"/>
      <c r="AU946" s="50"/>
      <c r="AV946" s="50"/>
      <c r="AW946" s="50"/>
      <c r="AX946" s="50"/>
      <c r="AY946" s="50"/>
      <c r="AZ946" s="50"/>
      <c r="BA946" s="50"/>
      <c r="BB946" s="50"/>
      <c r="BC946" s="50"/>
      <c r="BD946" s="50"/>
      <c r="BE946" s="50"/>
      <c r="BF946" s="50"/>
      <c r="BG946" s="50"/>
      <c r="BH946" s="50"/>
      <c r="BI946" s="50"/>
      <c r="BJ946" s="50"/>
      <c r="BK946" s="50"/>
      <c r="BL946" s="50"/>
      <c r="BM946" s="50"/>
      <c r="BN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168"/>
      <c r="Z947" s="50"/>
      <c r="AA947" s="50"/>
      <c r="AB947" s="50"/>
      <c r="AC947" s="168"/>
      <c r="AD947" s="168"/>
      <c r="AE947" s="168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/>
      <c r="BB947" s="50"/>
      <c r="BC947" s="50"/>
      <c r="BD947" s="50"/>
      <c r="BE947" s="50"/>
      <c r="BF947" s="50"/>
      <c r="BG947" s="50"/>
      <c r="BH947" s="50"/>
      <c r="BI947" s="50"/>
      <c r="BJ947" s="50"/>
      <c r="BK947" s="50"/>
      <c r="BL947" s="50"/>
      <c r="BM947" s="50"/>
      <c r="BN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168"/>
      <c r="Z948" s="50"/>
      <c r="AA948" s="50"/>
      <c r="AB948" s="50"/>
      <c r="AC948" s="168"/>
      <c r="AD948" s="168"/>
      <c r="AE948" s="168"/>
      <c r="AF948" s="50"/>
      <c r="AG948" s="50"/>
      <c r="AH948" s="50"/>
      <c r="AI948" s="50"/>
      <c r="AJ948" s="50"/>
      <c r="AK948" s="50"/>
      <c r="AL948" s="50"/>
      <c r="AM948" s="50"/>
      <c r="AN948" s="50"/>
      <c r="AO948" s="50"/>
      <c r="AP948" s="50"/>
      <c r="AQ948" s="50"/>
      <c r="AR948" s="50"/>
      <c r="AS948" s="50"/>
      <c r="AT948" s="50"/>
      <c r="AU948" s="50"/>
      <c r="AV948" s="50"/>
      <c r="AW948" s="50"/>
      <c r="AX948" s="50"/>
      <c r="AY948" s="50"/>
      <c r="AZ948" s="50"/>
      <c r="BA948" s="50"/>
      <c r="BB948" s="50"/>
      <c r="BC948" s="50"/>
      <c r="BD948" s="50"/>
      <c r="BE948" s="50"/>
      <c r="BF948" s="50"/>
      <c r="BG948" s="50"/>
      <c r="BH948" s="50"/>
      <c r="BI948" s="50"/>
      <c r="BJ948" s="50"/>
      <c r="BK948" s="50"/>
      <c r="BL948" s="50"/>
      <c r="BM948" s="50"/>
      <c r="BN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168"/>
      <c r="Z949" s="50"/>
      <c r="AA949" s="50"/>
      <c r="AB949" s="50"/>
      <c r="AC949" s="168"/>
      <c r="AD949" s="168"/>
      <c r="AE949" s="168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/>
      <c r="BB949" s="50"/>
      <c r="BC949" s="50"/>
      <c r="BD949" s="50"/>
      <c r="BE949" s="50"/>
      <c r="BF949" s="50"/>
      <c r="BG949" s="50"/>
      <c r="BH949" s="50"/>
      <c r="BI949" s="50"/>
      <c r="BJ949" s="50"/>
      <c r="BK949" s="50"/>
      <c r="BL949" s="50"/>
      <c r="BM949" s="50"/>
      <c r="BN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168"/>
      <c r="Z950" s="50"/>
      <c r="AA950" s="50"/>
      <c r="AB950" s="50"/>
      <c r="AC950" s="168"/>
      <c r="AD950" s="168"/>
      <c r="AE950" s="168"/>
      <c r="AF950" s="50"/>
      <c r="AG950" s="50"/>
      <c r="AH950" s="50"/>
      <c r="AI950" s="50"/>
      <c r="AJ950" s="50"/>
      <c r="AK950" s="50"/>
      <c r="AL950" s="50"/>
      <c r="AM950" s="50"/>
      <c r="AN950" s="50"/>
      <c r="AO950" s="50"/>
      <c r="AP950" s="50"/>
      <c r="AQ950" s="50"/>
      <c r="AR950" s="50"/>
      <c r="AS950" s="50"/>
      <c r="AT950" s="50"/>
      <c r="AU950" s="50"/>
      <c r="AV950" s="50"/>
      <c r="AW950" s="50"/>
      <c r="AX950" s="50"/>
      <c r="AY950" s="50"/>
      <c r="AZ950" s="50"/>
      <c r="BA950" s="50"/>
      <c r="BB950" s="50"/>
      <c r="BC950" s="50"/>
      <c r="BD950" s="50"/>
      <c r="BE950" s="50"/>
      <c r="BF950" s="50"/>
      <c r="BG950" s="50"/>
      <c r="BH950" s="50"/>
      <c r="BI950" s="50"/>
      <c r="BJ950" s="50"/>
      <c r="BK950" s="50"/>
      <c r="BL950" s="50"/>
      <c r="BM950" s="50"/>
      <c r="BN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168"/>
      <c r="Z951" s="50"/>
      <c r="AA951" s="50"/>
      <c r="AB951" s="50"/>
      <c r="AC951" s="168"/>
      <c r="AD951" s="168"/>
      <c r="AE951" s="168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0"/>
      <c r="BE951" s="50"/>
      <c r="BF951" s="50"/>
      <c r="BG951" s="50"/>
      <c r="BH951" s="50"/>
      <c r="BI951" s="50"/>
      <c r="BJ951" s="50"/>
      <c r="BK951" s="50"/>
      <c r="BL951" s="50"/>
      <c r="BM951" s="50"/>
      <c r="BN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168"/>
      <c r="Z952" s="50"/>
      <c r="AA952" s="50"/>
      <c r="AB952" s="50"/>
      <c r="AC952" s="168"/>
      <c r="AD952" s="168"/>
      <c r="AE952" s="168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0"/>
      <c r="BE952" s="50"/>
      <c r="BF952" s="50"/>
      <c r="BG952" s="50"/>
      <c r="BH952" s="50"/>
      <c r="BI952" s="50"/>
      <c r="BJ952" s="50"/>
      <c r="BK952" s="50"/>
      <c r="BL952" s="50"/>
      <c r="BM952" s="50"/>
      <c r="BN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168"/>
      <c r="Z953" s="50"/>
      <c r="AA953" s="50"/>
      <c r="AB953" s="50"/>
      <c r="AC953" s="168"/>
      <c r="AD953" s="168"/>
      <c r="AE953" s="168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0"/>
      <c r="BC953" s="50"/>
      <c r="BD953" s="50"/>
      <c r="BE953" s="50"/>
      <c r="BF953" s="50"/>
      <c r="BG953" s="50"/>
      <c r="BH953" s="50"/>
      <c r="BI953" s="50"/>
      <c r="BJ953" s="50"/>
      <c r="BK953" s="50"/>
      <c r="BL953" s="50"/>
      <c r="BM953" s="50"/>
      <c r="BN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168"/>
      <c r="Z954" s="50"/>
      <c r="AA954" s="50"/>
      <c r="AB954" s="50"/>
      <c r="AC954" s="168"/>
      <c r="AD954" s="168"/>
      <c r="AE954" s="168"/>
      <c r="AF954" s="50"/>
      <c r="AG954" s="50"/>
      <c r="AH954" s="50"/>
      <c r="AI954" s="50"/>
      <c r="AJ954" s="50"/>
      <c r="AK954" s="50"/>
      <c r="AL954" s="50"/>
      <c r="AM954" s="50"/>
      <c r="AN954" s="50"/>
      <c r="AO954" s="50"/>
      <c r="AP954" s="50"/>
      <c r="AQ954" s="50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0"/>
      <c r="BC954" s="50"/>
      <c r="BD954" s="50"/>
      <c r="BE954" s="50"/>
      <c r="BF954" s="50"/>
      <c r="BG954" s="50"/>
      <c r="BH954" s="50"/>
      <c r="BI954" s="50"/>
      <c r="BJ954" s="50"/>
      <c r="BK954" s="50"/>
      <c r="BL954" s="50"/>
      <c r="BM954" s="50"/>
      <c r="BN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168"/>
      <c r="Z955" s="50"/>
      <c r="AA955" s="50"/>
      <c r="AB955" s="50"/>
      <c r="AC955" s="168"/>
      <c r="AD955" s="168"/>
      <c r="AE955" s="168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/>
      <c r="AR955" s="50"/>
      <c r="AS955" s="50"/>
      <c r="AT955" s="50"/>
      <c r="AU955" s="50"/>
      <c r="AV955" s="50"/>
      <c r="AW955" s="50"/>
      <c r="AX955" s="50"/>
      <c r="AY955" s="50"/>
      <c r="AZ955" s="50"/>
      <c r="BA955" s="50"/>
      <c r="BB955" s="50"/>
      <c r="BC955" s="50"/>
      <c r="BD955" s="50"/>
      <c r="BE955" s="50"/>
      <c r="BF955" s="50"/>
      <c r="BG955" s="50"/>
      <c r="BH955" s="50"/>
      <c r="BI955" s="50"/>
      <c r="BJ955" s="50"/>
      <c r="BK955" s="50"/>
      <c r="BL955" s="50"/>
      <c r="BM955" s="50"/>
      <c r="BN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168"/>
      <c r="Z956" s="50"/>
      <c r="AA956" s="50"/>
      <c r="AB956" s="50"/>
      <c r="AC956" s="168"/>
      <c r="AD956" s="168"/>
      <c r="AE956" s="168"/>
      <c r="AF956" s="50"/>
      <c r="AG956" s="50"/>
      <c r="AH956" s="50"/>
      <c r="AI956" s="50"/>
      <c r="AJ956" s="50"/>
      <c r="AK956" s="50"/>
      <c r="AL956" s="50"/>
      <c r="AM956" s="50"/>
      <c r="AN956" s="50"/>
      <c r="AO956" s="50"/>
      <c r="AP956" s="50"/>
      <c r="AQ956" s="50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0"/>
      <c r="BC956" s="50"/>
      <c r="BD956" s="50"/>
      <c r="BE956" s="50"/>
      <c r="BF956" s="50"/>
      <c r="BG956" s="50"/>
      <c r="BH956" s="50"/>
      <c r="BI956" s="50"/>
      <c r="BJ956" s="50"/>
      <c r="BK956" s="50"/>
      <c r="BL956" s="50"/>
      <c r="BM956" s="50"/>
      <c r="BN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168"/>
      <c r="Z957" s="50"/>
      <c r="AA957" s="50"/>
      <c r="AB957" s="50"/>
      <c r="AC957" s="168"/>
      <c r="AD957" s="168"/>
      <c r="AE957" s="168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/>
      <c r="AR957" s="50"/>
      <c r="AS957" s="50"/>
      <c r="AT957" s="50"/>
      <c r="AU957" s="50"/>
      <c r="AV957" s="50"/>
      <c r="AW957" s="50"/>
      <c r="AX957" s="50"/>
      <c r="AY957" s="50"/>
      <c r="AZ957" s="50"/>
      <c r="BA957" s="50"/>
      <c r="BB957" s="50"/>
      <c r="BC957" s="50"/>
      <c r="BD957" s="50"/>
      <c r="BE957" s="50"/>
      <c r="BF957" s="50"/>
      <c r="BG957" s="50"/>
      <c r="BH957" s="50"/>
      <c r="BI957" s="50"/>
      <c r="BJ957" s="50"/>
      <c r="BK957" s="50"/>
      <c r="BL957" s="50"/>
      <c r="BM957" s="50"/>
      <c r="BN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168"/>
      <c r="Z958" s="50"/>
      <c r="AA958" s="50"/>
      <c r="AB958" s="50"/>
      <c r="AC958" s="168"/>
      <c r="AD958" s="168"/>
      <c r="AE958" s="168"/>
      <c r="AF958" s="50"/>
      <c r="AG958" s="50"/>
      <c r="AH958" s="50"/>
      <c r="AI958" s="50"/>
      <c r="AJ958" s="50"/>
      <c r="AK958" s="50"/>
      <c r="AL958" s="50"/>
      <c r="AM958" s="50"/>
      <c r="AN958" s="50"/>
      <c r="AO958" s="50"/>
      <c r="AP958" s="50"/>
      <c r="AQ958" s="50"/>
      <c r="AR958" s="50"/>
      <c r="AS958" s="50"/>
      <c r="AT958" s="50"/>
      <c r="AU958" s="50"/>
      <c r="AV958" s="50"/>
      <c r="AW958" s="50"/>
      <c r="AX958" s="50"/>
      <c r="AY958" s="50"/>
      <c r="AZ958" s="50"/>
      <c r="BA958" s="50"/>
      <c r="BB958" s="50"/>
      <c r="BC958" s="50"/>
      <c r="BD958" s="50"/>
      <c r="BE958" s="50"/>
      <c r="BF958" s="50"/>
      <c r="BG958" s="50"/>
      <c r="BH958" s="50"/>
      <c r="BI958" s="50"/>
      <c r="BJ958" s="50"/>
      <c r="BK958" s="50"/>
      <c r="BL958" s="50"/>
      <c r="BM958" s="50"/>
      <c r="BN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168"/>
      <c r="Z959" s="50"/>
      <c r="AA959" s="50"/>
      <c r="AB959" s="50"/>
      <c r="AC959" s="168"/>
      <c r="AD959" s="168"/>
      <c r="AE959" s="168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0"/>
      <c r="BD959" s="50"/>
      <c r="BE959" s="50"/>
      <c r="BF959" s="50"/>
      <c r="BG959" s="50"/>
      <c r="BH959" s="50"/>
      <c r="BI959" s="50"/>
      <c r="BJ959" s="50"/>
      <c r="BK959" s="50"/>
      <c r="BL959" s="50"/>
      <c r="BM959" s="50"/>
      <c r="BN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168"/>
      <c r="Z960" s="50"/>
      <c r="AA960" s="50"/>
      <c r="AB960" s="50"/>
      <c r="AC960" s="168"/>
      <c r="AD960" s="168"/>
      <c r="AE960" s="168"/>
      <c r="AF960" s="50"/>
      <c r="AG960" s="50"/>
      <c r="AH960" s="50"/>
      <c r="AI960" s="50"/>
      <c r="AJ960" s="50"/>
      <c r="AK960" s="50"/>
      <c r="AL960" s="50"/>
      <c r="AM960" s="50"/>
      <c r="AN960" s="50"/>
      <c r="AO960" s="50"/>
      <c r="AP960" s="50"/>
      <c r="AQ960" s="50"/>
      <c r="AR960" s="50"/>
      <c r="AS960" s="50"/>
      <c r="AT960" s="50"/>
      <c r="AU960" s="50"/>
      <c r="AV960" s="50"/>
      <c r="AW960" s="50"/>
      <c r="AX960" s="50"/>
      <c r="AY960" s="50"/>
      <c r="AZ960" s="50"/>
      <c r="BA960" s="50"/>
      <c r="BB960" s="50"/>
      <c r="BC960" s="50"/>
      <c r="BD960" s="50"/>
      <c r="BE960" s="50"/>
      <c r="BF960" s="50"/>
      <c r="BG960" s="50"/>
      <c r="BH960" s="50"/>
      <c r="BI960" s="50"/>
      <c r="BJ960" s="50"/>
      <c r="BK960" s="50"/>
      <c r="BL960" s="50"/>
      <c r="BM960" s="50"/>
      <c r="BN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168"/>
      <c r="Z961" s="50"/>
      <c r="AA961" s="50"/>
      <c r="AB961" s="50"/>
      <c r="AC961" s="168"/>
      <c r="AD961" s="168"/>
      <c r="AE961" s="168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0"/>
      <c r="BE961" s="50"/>
      <c r="BF961" s="50"/>
      <c r="BG961" s="50"/>
      <c r="BH961" s="50"/>
      <c r="BI961" s="50"/>
      <c r="BJ961" s="50"/>
      <c r="BK961" s="50"/>
      <c r="BL961" s="50"/>
      <c r="BM961" s="50"/>
      <c r="BN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168"/>
      <c r="Z962" s="50"/>
      <c r="AA962" s="50"/>
      <c r="AB962" s="50"/>
      <c r="AC962" s="168"/>
      <c r="AD962" s="168"/>
      <c r="AE962" s="168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0"/>
      <c r="BF962" s="50"/>
      <c r="BG962" s="50"/>
      <c r="BH962" s="50"/>
      <c r="BI962" s="50"/>
      <c r="BJ962" s="50"/>
      <c r="BK962" s="50"/>
      <c r="BL962" s="50"/>
      <c r="BM962" s="50"/>
      <c r="BN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168"/>
      <c r="Z963" s="50"/>
      <c r="AA963" s="50"/>
      <c r="AB963" s="50"/>
      <c r="AC963" s="168"/>
      <c r="AD963" s="168"/>
      <c r="AE963" s="168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/>
      <c r="AR963" s="50"/>
      <c r="AS963" s="50"/>
      <c r="AT963" s="50"/>
      <c r="AU963" s="50"/>
      <c r="AV963" s="50"/>
      <c r="AW963" s="50"/>
      <c r="AX963" s="50"/>
      <c r="AY963" s="50"/>
      <c r="AZ963" s="50"/>
      <c r="BA963" s="50"/>
      <c r="BB963" s="50"/>
      <c r="BC963" s="50"/>
      <c r="BD963" s="50"/>
      <c r="BE963" s="50"/>
      <c r="BF963" s="50"/>
      <c r="BG963" s="50"/>
      <c r="BH963" s="50"/>
      <c r="BI963" s="50"/>
      <c r="BJ963" s="50"/>
      <c r="BK963" s="50"/>
      <c r="BL963" s="50"/>
      <c r="BM963" s="50"/>
      <c r="BN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168"/>
      <c r="Z964" s="50"/>
      <c r="AA964" s="50"/>
      <c r="AB964" s="50"/>
      <c r="AC964" s="168"/>
      <c r="AD964" s="168"/>
      <c r="AE964" s="168"/>
      <c r="AF964" s="50"/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/>
      <c r="BE964" s="50"/>
      <c r="BF964" s="50"/>
      <c r="BG964" s="50"/>
      <c r="BH964" s="50"/>
      <c r="BI964" s="50"/>
      <c r="BJ964" s="50"/>
      <c r="BK964" s="50"/>
      <c r="BL964" s="50"/>
      <c r="BM964" s="50"/>
      <c r="BN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168"/>
      <c r="Z965" s="50"/>
      <c r="AA965" s="50"/>
      <c r="AB965" s="50"/>
      <c r="AC965" s="168"/>
      <c r="AD965" s="168"/>
      <c r="AE965" s="168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0"/>
      <c r="BF965" s="50"/>
      <c r="BG965" s="50"/>
      <c r="BH965" s="50"/>
      <c r="BI965" s="50"/>
      <c r="BJ965" s="50"/>
      <c r="BK965" s="50"/>
      <c r="BL965" s="50"/>
      <c r="BM965" s="50"/>
      <c r="BN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168"/>
      <c r="Z966" s="50"/>
      <c r="AA966" s="50"/>
      <c r="AB966" s="50"/>
      <c r="AC966" s="168"/>
      <c r="AD966" s="168"/>
      <c r="AE966" s="168"/>
      <c r="AF966" s="50"/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0"/>
      <c r="BE966" s="50"/>
      <c r="BF966" s="50"/>
      <c r="BG966" s="50"/>
      <c r="BH966" s="50"/>
      <c r="BI966" s="50"/>
      <c r="BJ966" s="50"/>
      <c r="BK966" s="50"/>
      <c r="BL966" s="50"/>
      <c r="BM966" s="50"/>
      <c r="BN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168"/>
      <c r="Z967" s="50"/>
      <c r="AA967" s="50"/>
      <c r="AB967" s="50"/>
      <c r="AC967" s="168"/>
      <c r="AD967" s="168"/>
      <c r="AE967" s="168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/>
      <c r="BE967" s="50"/>
      <c r="BF967" s="50"/>
      <c r="BG967" s="50"/>
      <c r="BH967" s="50"/>
      <c r="BI967" s="50"/>
      <c r="BJ967" s="50"/>
      <c r="BK967" s="50"/>
      <c r="BL967" s="50"/>
      <c r="BM967" s="50"/>
      <c r="BN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168"/>
      <c r="Z968" s="50"/>
      <c r="AA968" s="50"/>
      <c r="AB968" s="50"/>
      <c r="AC968" s="168"/>
      <c r="AD968" s="168"/>
      <c r="AE968" s="168"/>
      <c r="AF968" s="50"/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0"/>
      <c r="BE968" s="50"/>
      <c r="BF968" s="50"/>
      <c r="BG968" s="50"/>
      <c r="BH968" s="50"/>
      <c r="BI968" s="50"/>
      <c r="BJ968" s="50"/>
      <c r="BK968" s="50"/>
      <c r="BL968" s="50"/>
      <c r="BM968" s="50"/>
      <c r="BN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168"/>
      <c r="Z969" s="50"/>
      <c r="AA969" s="50"/>
      <c r="AB969" s="50"/>
      <c r="AC969" s="168"/>
      <c r="AD969" s="168"/>
      <c r="AE969" s="168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/>
      <c r="BE969" s="50"/>
      <c r="BF969" s="50"/>
      <c r="BG969" s="50"/>
      <c r="BH969" s="50"/>
      <c r="BI969" s="50"/>
      <c r="BJ969" s="50"/>
      <c r="BK969" s="50"/>
      <c r="BL969" s="50"/>
      <c r="BM969" s="50"/>
      <c r="BN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168"/>
      <c r="Z970" s="50"/>
      <c r="AA970" s="50"/>
      <c r="AB970" s="50"/>
      <c r="AC970" s="168"/>
      <c r="AD970" s="168"/>
      <c r="AE970" s="168"/>
      <c r="AF970" s="50"/>
      <c r="AG970" s="50"/>
      <c r="AH970" s="50"/>
      <c r="AI970" s="50"/>
      <c r="AJ970" s="50"/>
      <c r="AK970" s="50"/>
      <c r="AL970" s="50"/>
      <c r="AM970" s="50"/>
      <c r="AN970" s="50"/>
      <c r="AO970" s="50"/>
      <c r="AP970" s="50"/>
      <c r="AQ970" s="50"/>
      <c r="AR970" s="50"/>
      <c r="AS970" s="50"/>
      <c r="AT970" s="50"/>
      <c r="AU970" s="50"/>
      <c r="AV970" s="50"/>
      <c r="AW970" s="50"/>
      <c r="AX970" s="50"/>
      <c r="AY970" s="50"/>
      <c r="AZ970" s="50"/>
      <c r="BA970" s="50"/>
      <c r="BB970" s="50"/>
      <c r="BC970" s="50"/>
      <c r="BD970" s="50"/>
      <c r="BE970" s="50"/>
      <c r="BF970" s="50"/>
      <c r="BG970" s="50"/>
      <c r="BH970" s="50"/>
      <c r="BI970" s="50"/>
      <c r="BJ970" s="50"/>
      <c r="BK970" s="50"/>
      <c r="BL970" s="50"/>
      <c r="BM970" s="50"/>
      <c r="BN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168"/>
      <c r="Z971" s="50"/>
      <c r="AA971" s="50"/>
      <c r="AB971" s="50"/>
      <c r="AC971" s="168"/>
      <c r="AD971" s="168"/>
      <c r="AE971" s="168"/>
      <c r="AF971" s="50"/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50"/>
      <c r="AU971" s="50"/>
      <c r="AV971" s="50"/>
      <c r="AW971" s="50"/>
      <c r="AX971" s="50"/>
      <c r="AY971" s="50"/>
      <c r="AZ971" s="50"/>
      <c r="BA971" s="50"/>
      <c r="BB971" s="50"/>
      <c r="BC971" s="50"/>
      <c r="BD971" s="50"/>
      <c r="BE971" s="50"/>
      <c r="BF971" s="50"/>
      <c r="BG971" s="50"/>
      <c r="BH971" s="50"/>
      <c r="BI971" s="50"/>
      <c r="BJ971" s="50"/>
      <c r="BK971" s="50"/>
      <c r="BL971" s="50"/>
      <c r="BM971" s="50"/>
      <c r="BN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168"/>
      <c r="Z972" s="50"/>
      <c r="AA972" s="50"/>
      <c r="AB972" s="50"/>
      <c r="AC972" s="168"/>
      <c r="AD972" s="168"/>
      <c r="AE972" s="168"/>
      <c r="AF972" s="50"/>
      <c r="AG972" s="50"/>
      <c r="AH972" s="50"/>
      <c r="AI972" s="50"/>
      <c r="AJ972" s="50"/>
      <c r="AK972" s="50"/>
      <c r="AL972" s="50"/>
      <c r="AM972" s="50"/>
      <c r="AN972" s="50"/>
      <c r="AO972" s="50"/>
      <c r="AP972" s="50"/>
      <c r="AQ972" s="50"/>
      <c r="AR972" s="50"/>
      <c r="AS972" s="50"/>
      <c r="AT972" s="50"/>
      <c r="AU972" s="50"/>
      <c r="AV972" s="50"/>
      <c r="AW972" s="50"/>
      <c r="AX972" s="50"/>
      <c r="AY972" s="50"/>
      <c r="AZ972" s="50"/>
      <c r="BA972" s="50"/>
      <c r="BB972" s="50"/>
      <c r="BC972" s="50"/>
      <c r="BD972" s="50"/>
      <c r="BE972" s="50"/>
      <c r="BF972" s="50"/>
      <c r="BG972" s="50"/>
      <c r="BH972" s="50"/>
      <c r="BI972" s="50"/>
      <c r="BJ972" s="50"/>
      <c r="BK972" s="50"/>
      <c r="BL972" s="50"/>
      <c r="BM972" s="50"/>
      <c r="BN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168"/>
      <c r="Z973" s="50"/>
      <c r="AA973" s="50"/>
      <c r="AB973" s="50"/>
      <c r="AC973" s="168"/>
      <c r="AD973" s="168"/>
      <c r="AE973" s="168"/>
      <c r="AF973" s="50"/>
      <c r="AG973" s="50"/>
      <c r="AH973" s="50"/>
      <c r="AI973" s="50"/>
      <c r="AJ973" s="50"/>
      <c r="AK973" s="50"/>
      <c r="AL973" s="50"/>
      <c r="AM973" s="50"/>
      <c r="AN973" s="50"/>
      <c r="AO973" s="50"/>
      <c r="AP973" s="50"/>
      <c r="AQ973" s="50"/>
      <c r="AR973" s="50"/>
      <c r="AS973" s="50"/>
      <c r="AT973" s="50"/>
      <c r="AU973" s="50"/>
      <c r="AV973" s="50"/>
      <c r="AW973" s="50"/>
      <c r="AX973" s="50"/>
      <c r="AY973" s="50"/>
      <c r="AZ973" s="50"/>
      <c r="BA973" s="50"/>
      <c r="BB973" s="50"/>
      <c r="BC973" s="50"/>
      <c r="BD973" s="50"/>
      <c r="BE973" s="50"/>
      <c r="BF973" s="50"/>
      <c r="BG973" s="50"/>
      <c r="BH973" s="50"/>
      <c r="BI973" s="50"/>
      <c r="BJ973" s="50"/>
      <c r="BK973" s="50"/>
      <c r="BL973" s="50"/>
      <c r="BM973" s="50"/>
      <c r="BN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168"/>
      <c r="Z974" s="50"/>
      <c r="AA974" s="50"/>
      <c r="AB974" s="50"/>
      <c r="AC974" s="168"/>
      <c r="AD974" s="168"/>
      <c r="AE974" s="168"/>
      <c r="AF974" s="50"/>
      <c r="AG974" s="50"/>
      <c r="AH974" s="50"/>
      <c r="AI974" s="50"/>
      <c r="AJ974" s="50"/>
      <c r="AK974" s="50"/>
      <c r="AL974" s="50"/>
      <c r="AM974" s="50"/>
      <c r="AN974" s="50"/>
      <c r="AO974" s="50"/>
      <c r="AP974" s="50"/>
      <c r="AQ974" s="50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/>
      <c r="BE974" s="50"/>
      <c r="BF974" s="50"/>
      <c r="BG974" s="50"/>
      <c r="BH974" s="50"/>
      <c r="BI974" s="50"/>
      <c r="BJ974" s="50"/>
      <c r="BK974" s="50"/>
      <c r="BL974" s="50"/>
      <c r="BM974" s="50"/>
      <c r="BN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168"/>
      <c r="Z975" s="50"/>
      <c r="AA975" s="50"/>
      <c r="AB975" s="50"/>
      <c r="AC975" s="168"/>
      <c r="AD975" s="168"/>
      <c r="AE975" s="168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/>
      <c r="AR975" s="50"/>
      <c r="AS975" s="50"/>
      <c r="AT975" s="50"/>
      <c r="AU975" s="50"/>
      <c r="AV975" s="50"/>
      <c r="AW975" s="50"/>
      <c r="AX975" s="50"/>
      <c r="AY975" s="50"/>
      <c r="AZ975" s="50"/>
      <c r="BA975" s="50"/>
      <c r="BB975" s="50"/>
      <c r="BC975" s="50"/>
      <c r="BD975" s="50"/>
      <c r="BE975" s="50"/>
      <c r="BF975" s="50"/>
      <c r="BG975" s="50"/>
      <c r="BH975" s="50"/>
      <c r="BI975" s="50"/>
      <c r="BJ975" s="50"/>
      <c r="BK975" s="50"/>
      <c r="BL975" s="50"/>
      <c r="BM975" s="50"/>
      <c r="BN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168"/>
      <c r="Z976" s="50"/>
      <c r="AA976" s="50"/>
      <c r="AB976" s="50"/>
      <c r="AC976" s="168"/>
      <c r="AD976" s="168"/>
      <c r="AE976" s="168"/>
      <c r="AF976" s="50"/>
      <c r="AG976" s="50"/>
      <c r="AH976" s="50"/>
      <c r="AI976" s="50"/>
      <c r="AJ976" s="50"/>
      <c r="AK976" s="50"/>
      <c r="AL976" s="50"/>
      <c r="AM976" s="50"/>
      <c r="AN976" s="50"/>
      <c r="AO976" s="50"/>
      <c r="AP976" s="50"/>
      <c r="AQ976" s="50"/>
      <c r="AR976" s="50"/>
      <c r="AS976" s="50"/>
      <c r="AT976" s="50"/>
      <c r="AU976" s="50"/>
      <c r="AV976" s="50"/>
      <c r="AW976" s="50"/>
      <c r="AX976" s="50"/>
      <c r="AY976" s="50"/>
      <c r="AZ976" s="50"/>
      <c r="BA976" s="50"/>
      <c r="BB976" s="50"/>
      <c r="BC976" s="50"/>
      <c r="BD976" s="50"/>
      <c r="BE976" s="50"/>
      <c r="BF976" s="50"/>
      <c r="BG976" s="50"/>
      <c r="BH976" s="50"/>
      <c r="BI976" s="50"/>
      <c r="BJ976" s="50"/>
      <c r="BK976" s="50"/>
      <c r="BL976" s="50"/>
      <c r="BM976" s="50"/>
      <c r="BN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168"/>
      <c r="Z977" s="50"/>
      <c r="AA977" s="50"/>
      <c r="AB977" s="50"/>
      <c r="AC977" s="168"/>
      <c r="AD977" s="168"/>
      <c r="AE977" s="168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50"/>
      <c r="AU977" s="50"/>
      <c r="AV977" s="50"/>
      <c r="AW977" s="50"/>
      <c r="AX977" s="50"/>
      <c r="AY977" s="50"/>
      <c r="AZ977" s="50"/>
      <c r="BA977" s="50"/>
      <c r="BB977" s="50"/>
      <c r="BC977" s="50"/>
      <c r="BD977" s="50"/>
      <c r="BE977" s="50"/>
      <c r="BF977" s="50"/>
      <c r="BG977" s="50"/>
      <c r="BH977" s="50"/>
      <c r="BI977" s="50"/>
      <c r="BJ977" s="50"/>
      <c r="BK977" s="50"/>
      <c r="BL977" s="50"/>
      <c r="BM977" s="50"/>
      <c r="BN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168"/>
      <c r="Z978" s="50"/>
      <c r="AA978" s="50"/>
      <c r="AB978" s="50"/>
      <c r="AC978" s="168"/>
      <c r="AD978" s="168"/>
      <c r="AE978" s="168"/>
      <c r="AF978" s="50"/>
      <c r="AG978" s="50"/>
      <c r="AH978" s="50"/>
      <c r="AI978" s="50"/>
      <c r="AJ978" s="50"/>
      <c r="AK978" s="50"/>
      <c r="AL978" s="50"/>
      <c r="AM978" s="50"/>
      <c r="AN978" s="50"/>
      <c r="AO978" s="50"/>
      <c r="AP978" s="50"/>
      <c r="AQ978" s="50"/>
      <c r="AR978" s="50"/>
      <c r="AS978" s="50"/>
      <c r="AT978" s="50"/>
      <c r="AU978" s="50"/>
      <c r="AV978" s="50"/>
      <c r="AW978" s="50"/>
      <c r="AX978" s="50"/>
      <c r="AY978" s="50"/>
      <c r="AZ978" s="50"/>
      <c r="BA978" s="50"/>
      <c r="BB978" s="50"/>
      <c r="BC978" s="50"/>
      <c r="BD978" s="50"/>
      <c r="BE978" s="50"/>
      <c r="BF978" s="50"/>
      <c r="BG978" s="50"/>
      <c r="BH978" s="50"/>
      <c r="BI978" s="50"/>
      <c r="BJ978" s="50"/>
      <c r="BK978" s="50"/>
      <c r="BL978" s="50"/>
      <c r="BM978" s="50"/>
      <c r="BN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168"/>
      <c r="Z979" s="50"/>
      <c r="AA979" s="50"/>
      <c r="AB979" s="50"/>
      <c r="AC979" s="168"/>
      <c r="AD979" s="168"/>
      <c r="AE979" s="168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0"/>
      <c r="BE979" s="50"/>
      <c r="BF979" s="50"/>
      <c r="BG979" s="50"/>
      <c r="BH979" s="50"/>
      <c r="BI979" s="50"/>
      <c r="BJ979" s="50"/>
      <c r="BK979" s="50"/>
      <c r="BL979" s="50"/>
      <c r="BM979" s="50"/>
      <c r="BN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168"/>
      <c r="Z980" s="50"/>
      <c r="AA980" s="50"/>
      <c r="AB980" s="50"/>
      <c r="AC980" s="168"/>
      <c r="AD980" s="168"/>
      <c r="AE980" s="168"/>
      <c r="AF980" s="50"/>
      <c r="AG980" s="50"/>
      <c r="AH980" s="50"/>
      <c r="AI980" s="50"/>
      <c r="AJ980" s="50"/>
      <c r="AK980" s="50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  <c r="AV980" s="50"/>
      <c r="AW980" s="50"/>
      <c r="AX980" s="50"/>
      <c r="AY980" s="50"/>
      <c r="AZ980" s="50"/>
      <c r="BA980" s="50"/>
      <c r="BB980" s="50"/>
      <c r="BC980" s="50"/>
      <c r="BD980" s="50"/>
      <c r="BE980" s="50"/>
      <c r="BF980" s="50"/>
      <c r="BG980" s="50"/>
      <c r="BH980" s="50"/>
      <c r="BI980" s="50"/>
      <c r="BJ980" s="50"/>
      <c r="BK980" s="50"/>
      <c r="BL980" s="50"/>
      <c r="BM980" s="50"/>
      <c r="BN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168"/>
      <c r="Z981" s="50"/>
      <c r="AA981" s="50"/>
      <c r="AB981" s="50"/>
      <c r="AC981" s="168"/>
      <c r="AD981" s="168"/>
      <c r="AE981" s="168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0"/>
      <c r="BE981" s="50"/>
      <c r="BF981" s="50"/>
      <c r="BG981" s="50"/>
      <c r="BH981" s="50"/>
      <c r="BI981" s="50"/>
      <c r="BJ981" s="50"/>
      <c r="BK981" s="50"/>
      <c r="BL981" s="50"/>
      <c r="BM981" s="50"/>
      <c r="BN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168"/>
      <c r="Z982" s="50"/>
      <c r="AA982" s="50"/>
      <c r="AB982" s="50"/>
      <c r="AC982" s="168"/>
      <c r="AD982" s="168"/>
      <c r="AE982" s="168"/>
      <c r="AF982" s="50"/>
      <c r="AG982" s="50"/>
      <c r="AH982" s="50"/>
      <c r="AI982" s="50"/>
      <c r="AJ982" s="50"/>
      <c r="AK982" s="50"/>
      <c r="AL982" s="50"/>
      <c r="AM982" s="50"/>
      <c r="AN982" s="50"/>
      <c r="AO982" s="50"/>
      <c r="AP982" s="50"/>
      <c r="AQ982" s="50"/>
      <c r="AR982" s="50"/>
      <c r="AS982" s="50"/>
      <c r="AT982" s="50"/>
      <c r="AU982" s="50"/>
      <c r="AV982" s="50"/>
      <c r="AW982" s="50"/>
      <c r="AX982" s="50"/>
      <c r="AY982" s="50"/>
      <c r="AZ982" s="50"/>
      <c r="BA982" s="50"/>
      <c r="BB982" s="50"/>
      <c r="BC982" s="50"/>
      <c r="BD982" s="50"/>
      <c r="BE982" s="50"/>
      <c r="BF982" s="50"/>
      <c r="BG982" s="50"/>
      <c r="BH982" s="50"/>
      <c r="BI982" s="50"/>
      <c r="BJ982" s="50"/>
      <c r="BK982" s="50"/>
      <c r="BL982" s="50"/>
      <c r="BM982" s="50"/>
      <c r="BN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168"/>
      <c r="Z983" s="50"/>
      <c r="AA983" s="50"/>
      <c r="AB983" s="50"/>
      <c r="AC983" s="168"/>
      <c r="AD983" s="168"/>
      <c r="AE983" s="168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50"/>
      <c r="AU983" s="50"/>
      <c r="AV983" s="50"/>
      <c r="AW983" s="50"/>
      <c r="AX983" s="50"/>
      <c r="AY983" s="50"/>
      <c r="AZ983" s="50"/>
      <c r="BA983" s="50"/>
      <c r="BB983" s="50"/>
      <c r="BC983" s="50"/>
      <c r="BD983" s="50"/>
      <c r="BE983" s="50"/>
      <c r="BF983" s="50"/>
      <c r="BG983" s="50"/>
      <c r="BH983" s="50"/>
      <c r="BI983" s="50"/>
      <c r="BJ983" s="50"/>
      <c r="BK983" s="50"/>
      <c r="BL983" s="50"/>
      <c r="BM983" s="50"/>
      <c r="BN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168"/>
      <c r="Z984" s="50"/>
      <c r="AA984" s="50"/>
      <c r="AB984" s="50"/>
      <c r="AC984" s="168"/>
      <c r="AD984" s="168"/>
      <c r="AE984" s="168"/>
      <c r="AF984" s="50"/>
      <c r="AG984" s="50"/>
      <c r="AH984" s="50"/>
      <c r="AI984" s="50"/>
      <c r="AJ984" s="50"/>
      <c r="AK984" s="50"/>
      <c r="AL984" s="50"/>
      <c r="AM984" s="50"/>
      <c r="AN984" s="50"/>
      <c r="AO984" s="50"/>
      <c r="AP984" s="50"/>
      <c r="AQ984" s="50"/>
      <c r="AR984" s="50"/>
      <c r="AS984" s="50"/>
      <c r="AT984" s="50"/>
      <c r="AU984" s="50"/>
      <c r="AV984" s="50"/>
      <c r="AW984" s="50"/>
      <c r="AX984" s="50"/>
      <c r="AY984" s="50"/>
      <c r="AZ984" s="50"/>
      <c r="BA984" s="50"/>
      <c r="BB984" s="50"/>
      <c r="BC984" s="50"/>
      <c r="BD984" s="50"/>
      <c r="BE984" s="50"/>
      <c r="BF984" s="50"/>
      <c r="BG984" s="50"/>
      <c r="BH984" s="50"/>
      <c r="BI984" s="50"/>
      <c r="BJ984" s="50"/>
      <c r="BK984" s="50"/>
      <c r="BL984" s="50"/>
      <c r="BM984" s="50"/>
      <c r="BN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168"/>
      <c r="Z985" s="50"/>
      <c r="AA985" s="50"/>
      <c r="AB985" s="50"/>
      <c r="AC985" s="168"/>
      <c r="AD985" s="168"/>
      <c r="AE985" s="168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/>
      <c r="BB985" s="50"/>
      <c r="BC985" s="50"/>
      <c r="BD985" s="50"/>
      <c r="BE985" s="50"/>
      <c r="BF985" s="50"/>
      <c r="BG985" s="50"/>
      <c r="BH985" s="50"/>
      <c r="BI985" s="50"/>
      <c r="BJ985" s="50"/>
      <c r="BK985" s="50"/>
      <c r="BL985" s="50"/>
      <c r="BM985" s="50"/>
      <c r="BN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168"/>
      <c r="Z986" s="50"/>
      <c r="AA986" s="50"/>
      <c r="AB986" s="50"/>
      <c r="AC986" s="168"/>
      <c r="AD986" s="168"/>
      <c r="AE986" s="168"/>
      <c r="AF986" s="50"/>
      <c r="AG986" s="50"/>
      <c r="AH986" s="50"/>
      <c r="AI986" s="50"/>
      <c r="AJ986" s="50"/>
      <c r="AK986" s="50"/>
      <c r="AL986" s="50"/>
      <c r="AM986" s="50"/>
      <c r="AN986" s="50"/>
      <c r="AO986" s="50"/>
      <c r="AP986" s="50"/>
      <c r="AQ986" s="50"/>
      <c r="AR986" s="50"/>
      <c r="AS986" s="50"/>
      <c r="AT986" s="50"/>
      <c r="AU986" s="50"/>
      <c r="AV986" s="50"/>
      <c r="AW986" s="50"/>
      <c r="AX986" s="50"/>
      <c r="AY986" s="50"/>
      <c r="AZ986" s="50"/>
      <c r="BA986" s="50"/>
      <c r="BB986" s="50"/>
      <c r="BC986" s="50"/>
      <c r="BD986" s="50"/>
      <c r="BE986" s="50"/>
      <c r="BF986" s="50"/>
      <c r="BG986" s="50"/>
      <c r="BH986" s="50"/>
      <c r="BI986" s="50"/>
      <c r="BJ986" s="50"/>
      <c r="BK986" s="50"/>
      <c r="BL986" s="50"/>
      <c r="BM986" s="50"/>
      <c r="BN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168"/>
      <c r="Z987" s="50"/>
      <c r="AA987" s="50"/>
      <c r="AB987" s="50"/>
      <c r="AC987" s="168"/>
      <c r="AD987" s="168"/>
      <c r="AE987" s="168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0"/>
      <c r="BE987" s="50"/>
      <c r="BF987" s="50"/>
      <c r="BG987" s="50"/>
      <c r="BH987" s="50"/>
      <c r="BI987" s="50"/>
      <c r="BJ987" s="50"/>
      <c r="BK987" s="50"/>
      <c r="BL987" s="50"/>
      <c r="BM987" s="50"/>
      <c r="BN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168"/>
      <c r="Z988" s="50"/>
      <c r="AA988" s="50"/>
      <c r="AB988" s="50"/>
      <c r="AC988" s="168"/>
      <c r="AD988" s="168"/>
      <c r="AE988" s="168"/>
      <c r="AF988" s="50"/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50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0"/>
      <c r="BE988" s="50"/>
      <c r="BF988" s="50"/>
      <c r="BG988" s="50"/>
      <c r="BH988" s="50"/>
      <c r="BI988" s="50"/>
      <c r="BJ988" s="50"/>
      <c r="BK988" s="50"/>
      <c r="BL988" s="50"/>
      <c r="BM988" s="50"/>
      <c r="BN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168"/>
      <c r="Z989" s="50"/>
      <c r="AA989" s="50"/>
      <c r="AB989" s="50"/>
      <c r="AC989" s="168"/>
      <c r="AD989" s="168"/>
      <c r="AE989" s="168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0"/>
      <c r="BE989" s="50"/>
      <c r="BF989" s="50"/>
      <c r="BG989" s="50"/>
      <c r="BH989" s="50"/>
      <c r="BI989" s="50"/>
      <c r="BJ989" s="50"/>
      <c r="BK989" s="50"/>
      <c r="BL989" s="50"/>
      <c r="BM989" s="50"/>
      <c r="BN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168"/>
      <c r="Z990" s="50"/>
      <c r="AA990" s="50"/>
      <c r="AB990" s="50"/>
      <c r="AC990" s="168"/>
      <c r="AD990" s="168"/>
      <c r="AE990" s="168"/>
      <c r="AF990" s="50"/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/>
      <c r="BE990" s="50"/>
      <c r="BF990" s="50"/>
      <c r="BG990" s="50"/>
      <c r="BH990" s="50"/>
      <c r="BI990" s="50"/>
      <c r="BJ990" s="50"/>
      <c r="BK990" s="50"/>
      <c r="BL990" s="50"/>
      <c r="BM990" s="50"/>
      <c r="BN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168"/>
      <c r="Z991" s="50"/>
      <c r="AA991" s="50"/>
      <c r="AB991" s="50"/>
      <c r="AC991" s="168"/>
      <c r="AD991" s="168"/>
      <c r="AE991" s="168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0"/>
      <c r="BE991" s="50"/>
      <c r="BF991" s="50"/>
      <c r="BG991" s="50"/>
      <c r="BH991" s="50"/>
      <c r="BI991" s="50"/>
      <c r="BJ991" s="50"/>
      <c r="BK991" s="50"/>
      <c r="BL991" s="50"/>
      <c r="BM991" s="50"/>
      <c r="BN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168"/>
      <c r="Z992" s="50"/>
      <c r="AA992" s="50"/>
      <c r="AB992" s="50"/>
      <c r="AC992" s="168"/>
      <c r="AD992" s="168"/>
      <c r="AE992" s="168"/>
      <c r="AF992" s="50"/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50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0"/>
      <c r="BE992" s="50"/>
      <c r="BF992" s="50"/>
      <c r="BG992" s="50"/>
      <c r="BH992" s="50"/>
      <c r="BI992" s="50"/>
      <c r="BJ992" s="50"/>
      <c r="BK992" s="50"/>
      <c r="BL992" s="50"/>
      <c r="BM992" s="50"/>
      <c r="BN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168"/>
      <c r="Z993" s="50"/>
      <c r="AA993" s="50"/>
      <c r="AB993" s="50"/>
      <c r="AC993" s="168"/>
      <c r="AD993" s="168"/>
      <c r="AE993" s="168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0"/>
      <c r="BE993" s="50"/>
      <c r="BF993" s="50"/>
      <c r="BG993" s="50"/>
      <c r="BH993" s="50"/>
      <c r="BI993" s="50"/>
      <c r="BJ993" s="50"/>
      <c r="BK993" s="50"/>
      <c r="BL993" s="50"/>
      <c r="BM993" s="50"/>
      <c r="BN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168"/>
      <c r="Z994" s="50"/>
      <c r="AA994" s="50"/>
      <c r="AB994" s="50"/>
      <c r="AC994" s="168"/>
      <c r="AD994" s="168"/>
      <c r="AE994" s="168"/>
      <c r="AF994" s="50"/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50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/>
      <c r="BE994" s="50"/>
      <c r="BF994" s="50"/>
      <c r="BG994" s="50"/>
      <c r="BH994" s="50"/>
      <c r="BI994" s="50"/>
      <c r="BJ994" s="50"/>
      <c r="BK994" s="50"/>
      <c r="BL994" s="50"/>
      <c r="BM994" s="50"/>
      <c r="BN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168"/>
      <c r="Z995" s="50"/>
      <c r="AA995" s="50"/>
      <c r="AB995" s="50"/>
      <c r="AC995" s="168"/>
      <c r="AD995" s="168"/>
      <c r="AE995" s="168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/>
      <c r="AR995" s="50"/>
      <c r="AS995" s="50"/>
      <c r="AT995" s="50"/>
      <c r="AU995" s="50"/>
      <c r="AV995" s="50"/>
      <c r="AW995" s="50"/>
      <c r="AX995" s="50"/>
      <c r="AY995" s="50"/>
      <c r="AZ995" s="50"/>
      <c r="BA995" s="50"/>
      <c r="BB995" s="50"/>
      <c r="BC995" s="50"/>
      <c r="BD995" s="50"/>
      <c r="BE995" s="50"/>
      <c r="BF995" s="50"/>
      <c r="BG995" s="50"/>
      <c r="BH995" s="50"/>
      <c r="BI995" s="50"/>
      <c r="BJ995" s="50"/>
      <c r="BK995" s="50"/>
      <c r="BL995" s="50"/>
      <c r="BM995" s="50"/>
      <c r="BN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168"/>
      <c r="Z996" s="50"/>
      <c r="AA996" s="50"/>
      <c r="AB996" s="50"/>
      <c r="AC996" s="168"/>
      <c r="AD996" s="168"/>
      <c r="AE996" s="168"/>
      <c r="AF996" s="50"/>
      <c r="AG996" s="50"/>
      <c r="AH996" s="50"/>
      <c r="AI996" s="50"/>
      <c r="AJ996" s="50"/>
      <c r="AK996" s="50"/>
      <c r="AL996" s="50"/>
      <c r="AM996" s="50"/>
      <c r="AN996" s="50"/>
      <c r="AO996" s="50"/>
      <c r="AP996" s="50"/>
      <c r="AQ996" s="50"/>
      <c r="AR996" s="50"/>
      <c r="AS996" s="50"/>
      <c r="AT996" s="50"/>
      <c r="AU996" s="50"/>
      <c r="AV996" s="50"/>
      <c r="AW996" s="50"/>
      <c r="AX996" s="50"/>
      <c r="AY996" s="50"/>
      <c r="AZ996" s="50"/>
      <c r="BA996" s="50"/>
      <c r="BB996" s="50"/>
      <c r="BC996" s="50"/>
      <c r="BD996" s="50"/>
      <c r="BE996" s="50"/>
      <c r="BF996" s="50"/>
      <c r="BG996" s="50"/>
      <c r="BH996" s="50"/>
      <c r="BI996" s="50"/>
      <c r="BJ996" s="50"/>
      <c r="BK996" s="50"/>
      <c r="BL996" s="50"/>
      <c r="BM996" s="50"/>
      <c r="BN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168"/>
      <c r="Z997" s="50"/>
      <c r="AA997" s="50"/>
      <c r="AB997" s="50"/>
      <c r="AC997" s="168"/>
      <c r="AD997" s="168"/>
      <c r="AE997" s="168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/>
      <c r="AR997" s="50"/>
      <c r="AS997" s="50"/>
      <c r="AT997" s="50"/>
      <c r="AU997" s="50"/>
      <c r="AV997" s="50"/>
      <c r="AW997" s="50"/>
      <c r="AX997" s="50"/>
      <c r="AY997" s="50"/>
      <c r="AZ997" s="50"/>
      <c r="BA997" s="50"/>
      <c r="BB997" s="50"/>
      <c r="BC997" s="50"/>
      <c r="BD997" s="50"/>
      <c r="BE997" s="50"/>
      <c r="BF997" s="50"/>
      <c r="BG997" s="50"/>
      <c r="BH997" s="50"/>
      <c r="BI997" s="50"/>
      <c r="BJ997" s="50"/>
      <c r="BK997" s="50"/>
      <c r="BL997" s="50"/>
      <c r="BM997" s="50"/>
      <c r="BN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168"/>
      <c r="Z998" s="50"/>
      <c r="AA998" s="50"/>
      <c r="AB998" s="50"/>
      <c r="AC998" s="168"/>
      <c r="AD998" s="168"/>
      <c r="AE998" s="168"/>
      <c r="AF998" s="50"/>
      <c r="AG998" s="50"/>
      <c r="AH998" s="50"/>
      <c r="AI998" s="50"/>
      <c r="AJ998" s="50"/>
      <c r="AK998" s="50"/>
      <c r="AL998" s="50"/>
      <c r="AM998" s="50"/>
      <c r="AN998" s="50"/>
      <c r="AO998" s="50"/>
      <c r="AP998" s="50"/>
      <c r="AQ998" s="50"/>
      <c r="AR998" s="50"/>
      <c r="AS998" s="50"/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0"/>
      <c r="BE998" s="50"/>
      <c r="BF998" s="50"/>
      <c r="BG998" s="50"/>
      <c r="BH998" s="50"/>
      <c r="BI998" s="50"/>
      <c r="BJ998" s="50"/>
      <c r="BK998" s="50"/>
      <c r="BL998" s="50"/>
      <c r="BM998" s="50"/>
      <c r="BN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168"/>
      <c r="Z999" s="50"/>
      <c r="AA999" s="50"/>
      <c r="AB999" s="50"/>
      <c r="AC999" s="168"/>
      <c r="AD999" s="168"/>
      <c r="AE999" s="168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0"/>
      <c r="BE999" s="50"/>
      <c r="BF999" s="50"/>
      <c r="BG999" s="50"/>
      <c r="BH999" s="50"/>
      <c r="BI999" s="50"/>
      <c r="BJ999" s="50"/>
      <c r="BK999" s="50"/>
      <c r="BL999" s="50"/>
      <c r="BM999" s="50"/>
      <c r="BN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168"/>
      <c r="Z1000" s="50"/>
      <c r="AA1000" s="50"/>
      <c r="AB1000" s="50"/>
      <c r="AC1000" s="168"/>
      <c r="AD1000" s="168"/>
      <c r="AE1000" s="168"/>
      <c r="AF1000" s="50"/>
      <c r="AG1000" s="50"/>
      <c r="AH1000" s="50"/>
      <c r="AI1000" s="50"/>
      <c r="AJ1000" s="50"/>
      <c r="AK1000" s="50"/>
      <c r="AL1000" s="50"/>
      <c r="AM1000" s="50"/>
      <c r="AN1000" s="50"/>
      <c r="AO1000" s="50"/>
      <c r="AP1000" s="50"/>
      <c r="AQ1000" s="50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0"/>
      <c r="BE1000" s="50"/>
      <c r="BF1000" s="50"/>
      <c r="BG1000" s="50"/>
      <c r="BH1000" s="50"/>
      <c r="BI1000" s="50"/>
      <c r="BJ1000" s="50"/>
      <c r="BK1000" s="50"/>
      <c r="BL1000" s="50"/>
      <c r="BM1000" s="50"/>
      <c r="BN1000" s="50"/>
    </row>
    <row r="1001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168"/>
      <c r="Z1001" s="50"/>
      <c r="AA1001" s="50"/>
      <c r="AB1001" s="50"/>
      <c r="AC1001" s="168"/>
      <c r="AD1001" s="168"/>
      <c r="AE1001" s="168"/>
      <c r="AF1001" s="50"/>
      <c r="AG1001" s="50"/>
      <c r="AH1001" s="50"/>
      <c r="AI1001" s="50"/>
      <c r="AJ1001" s="50"/>
      <c r="AK1001" s="50"/>
      <c r="AL1001" s="50"/>
      <c r="AM1001" s="50"/>
      <c r="AN1001" s="50"/>
      <c r="AO1001" s="50"/>
      <c r="AP1001" s="50"/>
      <c r="AQ1001" s="50"/>
      <c r="AR1001" s="50"/>
      <c r="AS1001" s="50"/>
      <c r="AT1001" s="50"/>
      <c r="AU1001" s="50"/>
      <c r="AV1001" s="50"/>
      <c r="AW1001" s="50"/>
      <c r="AX1001" s="50"/>
      <c r="AY1001" s="50"/>
      <c r="AZ1001" s="50"/>
      <c r="BA1001" s="50"/>
      <c r="BB1001" s="50"/>
      <c r="BC1001" s="50"/>
      <c r="BD1001" s="50"/>
      <c r="BE1001" s="50"/>
      <c r="BF1001" s="50"/>
      <c r="BG1001" s="50"/>
      <c r="BH1001" s="50"/>
      <c r="BI1001" s="50"/>
      <c r="BJ1001" s="50"/>
      <c r="BK1001" s="50"/>
      <c r="BL1001" s="50"/>
      <c r="BM1001" s="50"/>
      <c r="BN1001" s="50"/>
    </row>
    <row r="1002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168"/>
      <c r="Z1002" s="50"/>
      <c r="AA1002" s="50"/>
      <c r="AB1002" s="50"/>
      <c r="AC1002" s="168"/>
      <c r="AD1002" s="168"/>
      <c r="AE1002" s="168"/>
      <c r="AF1002" s="50"/>
      <c r="AG1002" s="50"/>
      <c r="AH1002" s="50"/>
      <c r="AI1002" s="50"/>
      <c r="AJ1002" s="50"/>
      <c r="AK1002" s="50"/>
      <c r="AL1002" s="50"/>
      <c r="AM1002" s="50"/>
      <c r="AN1002" s="50"/>
      <c r="AO1002" s="50"/>
      <c r="AP1002" s="50"/>
      <c r="AQ1002" s="50"/>
      <c r="AR1002" s="50"/>
      <c r="AS1002" s="50"/>
      <c r="AT1002" s="50"/>
      <c r="AU1002" s="50"/>
      <c r="AV1002" s="50"/>
      <c r="AW1002" s="50"/>
      <c r="AX1002" s="50"/>
      <c r="AY1002" s="50"/>
      <c r="AZ1002" s="50"/>
      <c r="BA1002" s="50"/>
      <c r="BB1002" s="50"/>
      <c r="BC1002" s="50"/>
      <c r="BD1002" s="50"/>
      <c r="BE1002" s="50"/>
      <c r="BF1002" s="50"/>
      <c r="BG1002" s="50"/>
      <c r="BH1002" s="50"/>
      <c r="BI1002" s="50"/>
      <c r="BJ1002" s="50"/>
      <c r="BK1002" s="50"/>
      <c r="BL1002" s="50"/>
      <c r="BM1002" s="50"/>
      <c r="BN1002" s="50"/>
    </row>
    <row r="1003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168"/>
      <c r="Z1003" s="50"/>
      <c r="AA1003" s="50"/>
      <c r="AB1003" s="50"/>
      <c r="AC1003" s="168"/>
      <c r="AD1003" s="168"/>
      <c r="AE1003" s="168"/>
      <c r="AF1003" s="50"/>
      <c r="AG1003" s="50"/>
      <c r="AH1003" s="50"/>
      <c r="AI1003" s="50"/>
      <c r="AJ1003" s="50"/>
      <c r="AK1003" s="50"/>
      <c r="AL1003" s="50"/>
      <c r="AM1003" s="50"/>
      <c r="AN1003" s="50"/>
      <c r="AO1003" s="50"/>
      <c r="AP1003" s="50"/>
      <c r="AQ1003" s="50"/>
      <c r="AR1003" s="50"/>
      <c r="AS1003" s="50"/>
      <c r="AT1003" s="50"/>
      <c r="AU1003" s="50"/>
      <c r="AV1003" s="50"/>
      <c r="AW1003" s="50"/>
      <c r="AX1003" s="50"/>
      <c r="AY1003" s="50"/>
      <c r="AZ1003" s="50"/>
      <c r="BA1003" s="50"/>
      <c r="BB1003" s="50"/>
      <c r="BC1003" s="50"/>
      <c r="BD1003" s="50"/>
      <c r="BE1003" s="50"/>
      <c r="BF1003" s="50"/>
      <c r="BG1003" s="50"/>
      <c r="BH1003" s="50"/>
      <c r="BI1003" s="50"/>
      <c r="BJ1003" s="50"/>
      <c r="BK1003" s="50"/>
      <c r="BL1003" s="50"/>
      <c r="BM1003" s="50"/>
      <c r="BN1003" s="50"/>
    </row>
  </sheetData>
  <conditionalFormatting sqref="E12:H12 J12:M12">
    <cfRule type="expression" dxfId="7" priority="1">
      <formula> SUM($N12:$Y12) &gt; 0</formula>
    </cfRule>
  </conditionalFormatting>
  <conditionalFormatting sqref="M8">
    <cfRule type="expression" dxfId="7" priority="2">
      <formula> SUM($N7:$Y7) &gt;0</formula>
    </cfRule>
  </conditionalFormatting>
  <conditionalFormatting sqref="K8">
    <cfRule type="expression" dxfId="7" priority="3">
      <formula> SUM($N7:$Y7) &gt;0</formula>
    </cfRule>
  </conditionalFormatting>
  <conditionalFormatting sqref="G8 H8:H9">
    <cfRule type="expression" dxfId="7" priority="4">
      <formula> SUM($N7:$Y7) &gt;0</formula>
    </cfRule>
  </conditionalFormatting>
  <conditionalFormatting sqref="F8">
    <cfRule type="expression" dxfId="7" priority="5">
      <formula> SUM($N7:$Y7) &gt;0</formula>
    </cfRule>
  </conditionalFormatting>
  <conditionalFormatting sqref="E8">
    <cfRule type="expression" dxfId="7" priority="6">
      <formula> SUM($N7:$Y7) &gt;0</formula>
    </cfRule>
  </conditionalFormatting>
  <conditionalFormatting sqref="D2:D32 E2:E6 F2:F7 G2:H6 J2:J32 K2:K6 L2:L32 M2:M6 N2:Y32 AE2:AE32 E9:H32 K9:K32 M9:M32 AI12:AJ32">
    <cfRule type="expression" dxfId="7" priority="7">
      <formula> SUM($N2:$Y2) &gt;0</formula>
    </cfRule>
  </conditionalFormatting>
  <conditionalFormatting sqref="AD2:AD32">
    <cfRule type="colorScale" priority="8">
      <colorScale>
        <cfvo type="min"/>
        <cfvo type="max"/>
        <color rgb="FF999999"/>
        <color rgb="FFFFFFFF"/>
      </colorScale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59" width="6.38"/>
  </cols>
  <sheetData>
    <row r="1">
      <c r="A1" s="159" t="s">
        <v>229</v>
      </c>
    </row>
    <row r="2">
      <c r="B2" t="s">
        <v>230</v>
      </c>
      <c r="D2" t="s">
        <v>231</v>
      </c>
      <c r="F2" t="s">
        <v>232</v>
      </c>
      <c r="H2" t="s">
        <v>233</v>
      </c>
      <c r="J2" t="s">
        <v>234</v>
      </c>
      <c r="L2" t="s">
        <v>235</v>
      </c>
      <c r="N2" t="s">
        <v>236</v>
      </c>
      <c r="P2" t="s">
        <v>237</v>
      </c>
      <c r="R2" t="s">
        <v>238</v>
      </c>
      <c r="T2" t="s">
        <v>239</v>
      </c>
      <c r="V2" t="s">
        <v>240</v>
      </c>
      <c r="X2" t="s">
        <v>241</v>
      </c>
    </row>
    <row r="3">
      <c r="A3" t="s">
        <v>242</v>
      </c>
      <c r="B3" t="s">
        <v>243</v>
      </c>
      <c r="C3" t="s">
        <v>244</v>
      </c>
      <c r="D3" t="s">
        <v>243</v>
      </c>
      <c r="E3" t="s">
        <v>244</v>
      </c>
      <c r="F3" t="s">
        <v>243</v>
      </c>
      <c r="G3" t="s">
        <v>244</v>
      </c>
      <c r="H3" t="s">
        <v>243</v>
      </c>
      <c r="I3" t="s">
        <v>244</v>
      </c>
      <c r="J3" t="s">
        <v>243</v>
      </c>
      <c r="K3" t="s">
        <v>244</v>
      </c>
      <c r="L3" t="s">
        <v>243</v>
      </c>
      <c r="M3" t="s">
        <v>244</v>
      </c>
      <c r="N3" t="s">
        <v>243</v>
      </c>
      <c r="O3" t="s">
        <v>244</v>
      </c>
      <c r="P3" t="s">
        <v>243</v>
      </c>
      <c r="Q3" t="s">
        <v>244</v>
      </c>
      <c r="R3" t="s">
        <v>243</v>
      </c>
      <c r="S3" t="s">
        <v>244</v>
      </c>
      <c r="T3" t="s">
        <v>243</v>
      </c>
      <c r="U3" t="s">
        <v>244</v>
      </c>
      <c r="V3" t="s">
        <v>243</v>
      </c>
      <c r="W3" t="s">
        <v>244</v>
      </c>
      <c r="X3" t="s">
        <v>243</v>
      </c>
      <c r="Y3" t="s">
        <v>244</v>
      </c>
    </row>
    <row r="4">
      <c r="A4">
        <v>1.0</v>
      </c>
      <c r="B4">
        <v>751.0</v>
      </c>
      <c r="C4">
        <v>1638.0</v>
      </c>
      <c r="D4">
        <v>731.0</v>
      </c>
      <c r="E4">
        <v>1717.0</v>
      </c>
      <c r="F4">
        <v>649.0</v>
      </c>
      <c r="G4">
        <v>1758.0</v>
      </c>
      <c r="H4">
        <v>551.0</v>
      </c>
      <c r="I4">
        <v>1839.0</v>
      </c>
      <c r="J4">
        <v>459.0</v>
      </c>
      <c r="K4">
        <v>1918.0</v>
      </c>
      <c r="L4">
        <v>425.0</v>
      </c>
      <c r="M4">
        <v>1952.0</v>
      </c>
      <c r="N4">
        <v>426.0</v>
      </c>
      <c r="O4">
        <v>2003.0</v>
      </c>
      <c r="P4">
        <v>455.0</v>
      </c>
      <c r="Q4">
        <v>1938.0</v>
      </c>
      <c r="R4">
        <v>532.0</v>
      </c>
      <c r="S4">
        <v>1848.0</v>
      </c>
      <c r="T4">
        <v>609.0</v>
      </c>
      <c r="U4">
        <v>1751.0</v>
      </c>
      <c r="V4">
        <v>650.0</v>
      </c>
      <c r="W4">
        <v>1657.0</v>
      </c>
      <c r="X4">
        <v>730.0</v>
      </c>
      <c r="Y4">
        <v>1629.0</v>
      </c>
    </row>
    <row r="5">
      <c r="A5">
        <v>2.0</v>
      </c>
      <c r="B5">
        <v>751.0</v>
      </c>
      <c r="C5">
        <v>1639.0</v>
      </c>
      <c r="D5">
        <v>730.0</v>
      </c>
      <c r="E5">
        <v>1719.0</v>
      </c>
      <c r="F5">
        <v>647.0</v>
      </c>
      <c r="G5">
        <v>1759.0</v>
      </c>
      <c r="H5">
        <v>549.0</v>
      </c>
      <c r="I5">
        <v>1840.0</v>
      </c>
      <c r="J5">
        <v>457.0</v>
      </c>
      <c r="K5">
        <v>1919.0</v>
      </c>
      <c r="L5">
        <v>425.0</v>
      </c>
      <c r="M5">
        <v>1953.0</v>
      </c>
      <c r="N5">
        <v>426.0</v>
      </c>
      <c r="O5">
        <v>2003.0</v>
      </c>
      <c r="P5">
        <v>456.0</v>
      </c>
      <c r="Q5">
        <v>1937.0</v>
      </c>
      <c r="R5">
        <v>533.0</v>
      </c>
      <c r="S5">
        <v>1846.0</v>
      </c>
      <c r="T5">
        <v>610.0</v>
      </c>
      <c r="U5">
        <v>1749.0</v>
      </c>
      <c r="V5">
        <v>652.0</v>
      </c>
      <c r="W5">
        <v>1656.0</v>
      </c>
      <c r="X5">
        <v>732.0</v>
      </c>
      <c r="Y5">
        <v>1628.0</v>
      </c>
    </row>
    <row r="6">
      <c r="A6">
        <v>3.0</v>
      </c>
      <c r="B6">
        <v>751.0</v>
      </c>
      <c r="C6">
        <v>1640.0</v>
      </c>
      <c r="D6">
        <v>729.0</v>
      </c>
      <c r="E6">
        <v>1720.0</v>
      </c>
      <c r="F6">
        <v>645.0</v>
      </c>
      <c r="G6">
        <v>1801.0</v>
      </c>
      <c r="H6">
        <v>547.0</v>
      </c>
      <c r="I6">
        <v>1842.0</v>
      </c>
      <c r="J6">
        <v>456.0</v>
      </c>
      <c r="K6">
        <v>1920.0</v>
      </c>
      <c r="L6">
        <v>424.0</v>
      </c>
      <c r="M6">
        <v>1954.0</v>
      </c>
      <c r="N6">
        <v>427.0</v>
      </c>
      <c r="O6">
        <v>2002.0</v>
      </c>
      <c r="P6">
        <v>457.0</v>
      </c>
      <c r="Q6">
        <v>1936.0</v>
      </c>
      <c r="R6">
        <v>535.0</v>
      </c>
      <c r="S6">
        <v>1844.0</v>
      </c>
      <c r="T6">
        <v>611.0</v>
      </c>
      <c r="U6">
        <v>1747.0</v>
      </c>
      <c r="V6">
        <v>653.0</v>
      </c>
      <c r="W6">
        <v>1655.0</v>
      </c>
      <c r="X6">
        <v>733.0</v>
      </c>
      <c r="Y6">
        <v>1628.0</v>
      </c>
    </row>
    <row r="7">
      <c r="A7">
        <v>4.0</v>
      </c>
      <c r="B7">
        <v>751.0</v>
      </c>
      <c r="C7">
        <v>1641.0</v>
      </c>
      <c r="D7">
        <v>728.0</v>
      </c>
      <c r="E7">
        <v>1722.0</v>
      </c>
      <c r="F7">
        <v>643.0</v>
      </c>
      <c r="G7">
        <v>1802.0</v>
      </c>
      <c r="H7">
        <v>545.0</v>
      </c>
      <c r="I7">
        <v>1843.0</v>
      </c>
      <c r="J7">
        <v>454.0</v>
      </c>
      <c r="K7">
        <v>1921.0</v>
      </c>
      <c r="L7">
        <v>424.0</v>
      </c>
      <c r="M7">
        <v>1955.0</v>
      </c>
      <c r="N7">
        <v>428.0</v>
      </c>
      <c r="O7">
        <v>2002.0</v>
      </c>
      <c r="P7">
        <v>458.0</v>
      </c>
      <c r="Q7">
        <v>1934.0</v>
      </c>
      <c r="R7">
        <v>536.0</v>
      </c>
      <c r="S7">
        <v>1842.0</v>
      </c>
      <c r="T7">
        <v>613.0</v>
      </c>
      <c r="U7">
        <v>1745.0</v>
      </c>
      <c r="V7">
        <v>655.0</v>
      </c>
      <c r="W7">
        <v>1653.0</v>
      </c>
      <c r="X7">
        <v>734.0</v>
      </c>
      <c r="Y7">
        <v>1628.0</v>
      </c>
    </row>
    <row r="8">
      <c r="A8">
        <v>5.0</v>
      </c>
      <c r="B8">
        <v>751.0</v>
      </c>
      <c r="C8">
        <v>1642.0</v>
      </c>
      <c r="D8">
        <v>726.0</v>
      </c>
      <c r="E8">
        <v>1723.0</v>
      </c>
      <c r="F8">
        <v>642.0</v>
      </c>
      <c r="G8">
        <v>1803.0</v>
      </c>
      <c r="H8">
        <v>543.0</v>
      </c>
      <c r="I8">
        <v>1844.0</v>
      </c>
      <c r="J8">
        <v>453.0</v>
      </c>
      <c r="K8">
        <v>1923.0</v>
      </c>
      <c r="L8">
        <v>423.0</v>
      </c>
      <c r="M8">
        <v>1955.0</v>
      </c>
      <c r="N8">
        <v>428.0</v>
      </c>
      <c r="O8">
        <v>2002.0</v>
      </c>
      <c r="P8">
        <v>459.0</v>
      </c>
      <c r="Q8">
        <v>1933.0</v>
      </c>
      <c r="R8">
        <v>537.0</v>
      </c>
      <c r="S8">
        <v>1841.0</v>
      </c>
      <c r="T8">
        <v>614.0</v>
      </c>
      <c r="U8">
        <v>1743.0</v>
      </c>
      <c r="V8">
        <v>656.0</v>
      </c>
      <c r="W8">
        <v>1652.0</v>
      </c>
      <c r="X8">
        <v>735.0</v>
      </c>
      <c r="Y8">
        <v>1627.0</v>
      </c>
    </row>
    <row r="9">
      <c r="A9">
        <v>6.0</v>
      </c>
      <c r="B9">
        <v>750.0</v>
      </c>
      <c r="C9">
        <v>1643.0</v>
      </c>
      <c r="D9">
        <v>725.0</v>
      </c>
      <c r="E9">
        <v>1725.0</v>
      </c>
      <c r="F9">
        <v>640.0</v>
      </c>
      <c r="G9">
        <v>1805.0</v>
      </c>
      <c r="H9">
        <v>541.0</v>
      </c>
      <c r="I9">
        <v>1845.0</v>
      </c>
      <c r="J9">
        <v>451.0</v>
      </c>
      <c r="K9">
        <v>1924.0</v>
      </c>
      <c r="L9">
        <v>423.0</v>
      </c>
      <c r="M9">
        <v>1956.0</v>
      </c>
      <c r="N9">
        <v>429.0</v>
      </c>
      <c r="O9">
        <v>2001.0</v>
      </c>
      <c r="P9">
        <v>501.0</v>
      </c>
      <c r="Q9">
        <v>1932.0</v>
      </c>
      <c r="R9">
        <v>538.0</v>
      </c>
      <c r="S9">
        <v>1839.0</v>
      </c>
      <c r="T9">
        <v>615.0</v>
      </c>
      <c r="U9">
        <v>1741.0</v>
      </c>
      <c r="V9">
        <v>657.0</v>
      </c>
      <c r="W9">
        <v>1651.0</v>
      </c>
      <c r="X9">
        <v>736.0</v>
      </c>
      <c r="Y9">
        <v>1627.0</v>
      </c>
    </row>
    <row r="10">
      <c r="A10">
        <v>7.0</v>
      </c>
      <c r="B10">
        <v>750.0</v>
      </c>
      <c r="C10">
        <v>1644.0</v>
      </c>
      <c r="D10">
        <v>724.0</v>
      </c>
      <c r="E10">
        <v>1726.0</v>
      </c>
      <c r="F10">
        <v>638.0</v>
      </c>
      <c r="G10">
        <v>1806.0</v>
      </c>
      <c r="H10">
        <v>539.0</v>
      </c>
      <c r="I10">
        <v>1847.0</v>
      </c>
      <c r="J10">
        <v>450.0</v>
      </c>
      <c r="K10">
        <v>1925.0</v>
      </c>
      <c r="L10">
        <v>423.0</v>
      </c>
      <c r="M10">
        <v>1957.0</v>
      </c>
      <c r="N10">
        <v>430.0</v>
      </c>
      <c r="O10">
        <v>2001.0</v>
      </c>
      <c r="P10">
        <v>502.0</v>
      </c>
      <c r="Q10">
        <v>1930.0</v>
      </c>
      <c r="R10">
        <v>539.0</v>
      </c>
      <c r="S10">
        <v>1837.0</v>
      </c>
      <c r="T10">
        <v>617.0</v>
      </c>
      <c r="U10">
        <v>1739.0</v>
      </c>
      <c r="V10">
        <v>659.0</v>
      </c>
      <c r="W10">
        <v>1649.0</v>
      </c>
      <c r="X10">
        <v>737.0</v>
      </c>
      <c r="Y10">
        <v>1627.0</v>
      </c>
    </row>
    <row r="11">
      <c r="A11">
        <v>8.0</v>
      </c>
      <c r="B11">
        <v>750.0</v>
      </c>
      <c r="C11">
        <v>1645.0</v>
      </c>
      <c r="D11">
        <v>722.0</v>
      </c>
      <c r="E11">
        <v>1728.0</v>
      </c>
      <c r="F11">
        <v>636.0</v>
      </c>
      <c r="G11">
        <v>1807.0</v>
      </c>
      <c r="H11">
        <v>538.0</v>
      </c>
      <c r="I11">
        <v>1848.0</v>
      </c>
      <c r="J11">
        <v>449.0</v>
      </c>
      <c r="K11">
        <v>1926.0</v>
      </c>
      <c r="L11">
        <v>422.0</v>
      </c>
      <c r="M11">
        <v>1958.0</v>
      </c>
      <c r="N11">
        <v>431.0</v>
      </c>
      <c r="O11">
        <v>2001.0</v>
      </c>
      <c r="P11">
        <v>503.0</v>
      </c>
      <c r="Q11">
        <v>1929.0</v>
      </c>
      <c r="R11">
        <v>541.0</v>
      </c>
      <c r="S11">
        <v>1835.0</v>
      </c>
      <c r="T11">
        <v>618.0</v>
      </c>
      <c r="U11">
        <v>1737.0</v>
      </c>
      <c r="V11">
        <v>700.0</v>
      </c>
      <c r="W11">
        <v>1648.0</v>
      </c>
      <c r="X11">
        <v>738.0</v>
      </c>
      <c r="Y11">
        <v>1627.0</v>
      </c>
    </row>
    <row r="12">
      <c r="A12">
        <v>9.0</v>
      </c>
      <c r="B12">
        <v>750.0</v>
      </c>
      <c r="C12">
        <v>1646.0</v>
      </c>
      <c r="D12">
        <v>721.0</v>
      </c>
      <c r="E12">
        <v>1729.0</v>
      </c>
      <c r="F12">
        <v>634.0</v>
      </c>
      <c r="G12">
        <v>1809.0</v>
      </c>
      <c r="H12">
        <v>536.0</v>
      </c>
      <c r="I12">
        <v>1849.0</v>
      </c>
      <c r="J12">
        <v>447.0</v>
      </c>
      <c r="K12">
        <v>1928.0</v>
      </c>
      <c r="L12">
        <v>422.0</v>
      </c>
      <c r="M12">
        <v>1958.0</v>
      </c>
      <c r="N12">
        <v>431.0</v>
      </c>
      <c r="O12">
        <v>2000.0</v>
      </c>
      <c r="P12">
        <v>504.0</v>
      </c>
      <c r="Q12">
        <v>1927.0</v>
      </c>
      <c r="R12">
        <v>542.0</v>
      </c>
      <c r="S12">
        <v>1833.0</v>
      </c>
      <c r="T12">
        <v>619.0</v>
      </c>
      <c r="U12">
        <v>1736.0</v>
      </c>
      <c r="V12">
        <v>702.0</v>
      </c>
      <c r="W12">
        <v>1647.0</v>
      </c>
      <c r="X12">
        <v>739.0</v>
      </c>
      <c r="Y12">
        <v>1627.0</v>
      </c>
    </row>
    <row r="13">
      <c r="A13">
        <v>10.0</v>
      </c>
      <c r="B13">
        <v>749.0</v>
      </c>
      <c r="C13">
        <v>1648.0</v>
      </c>
      <c r="D13">
        <v>720.0</v>
      </c>
      <c r="E13">
        <v>1731.0</v>
      </c>
      <c r="F13">
        <v>632.0</v>
      </c>
      <c r="G13">
        <v>1810.0</v>
      </c>
      <c r="H13">
        <v>534.0</v>
      </c>
      <c r="I13">
        <v>1851.0</v>
      </c>
      <c r="J13">
        <v>446.0</v>
      </c>
      <c r="K13">
        <v>1929.0</v>
      </c>
      <c r="L13">
        <v>422.0</v>
      </c>
      <c r="M13">
        <v>1959.0</v>
      </c>
      <c r="N13">
        <v>432.0</v>
      </c>
      <c r="O13">
        <v>1959.0</v>
      </c>
      <c r="P13">
        <v>505.0</v>
      </c>
      <c r="Q13">
        <v>1926.0</v>
      </c>
      <c r="R13">
        <v>543.0</v>
      </c>
      <c r="S13">
        <v>1831.0</v>
      </c>
      <c r="T13">
        <v>621.0</v>
      </c>
      <c r="U13">
        <v>1734.0</v>
      </c>
      <c r="V13">
        <v>703.0</v>
      </c>
      <c r="W13">
        <v>1646.0</v>
      </c>
      <c r="X13">
        <v>740.0</v>
      </c>
      <c r="Y13">
        <v>1627.0</v>
      </c>
    </row>
    <row r="14">
      <c r="A14">
        <v>11.0</v>
      </c>
      <c r="B14">
        <v>749.0</v>
      </c>
      <c r="C14">
        <v>1649.0</v>
      </c>
      <c r="D14">
        <v>718.0</v>
      </c>
      <c r="E14">
        <v>1732.0</v>
      </c>
      <c r="F14">
        <v>630.0</v>
      </c>
      <c r="G14">
        <v>1811.0</v>
      </c>
      <c r="H14">
        <v>532.0</v>
      </c>
      <c r="I14">
        <v>1852.0</v>
      </c>
      <c r="J14">
        <v>445.0</v>
      </c>
      <c r="K14">
        <v>1930.0</v>
      </c>
      <c r="L14">
        <v>422.0</v>
      </c>
      <c r="M14">
        <v>1959.0</v>
      </c>
      <c r="N14">
        <v>433.0</v>
      </c>
      <c r="O14">
        <v>1959.0</v>
      </c>
      <c r="P14">
        <v>507.0</v>
      </c>
      <c r="Q14">
        <v>1924.0</v>
      </c>
      <c r="R14">
        <v>544.0</v>
      </c>
      <c r="S14">
        <v>1829.0</v>
      </c>
      <c r="T14">
        <v>622.0</v>
      </c>
      <c r="U14">
        <v>1732.0</v>
      </c>
      <c r="V14">
        <v>704.0</v>
      </c>
      <c r="W14">
        <v>1644.0</v>
      </c>
      <c r="X14">
        <v>741.0</v>
      </c>
      <c r="Y14">
        <v>1627.0</v>
      </c>
    </row>
    <row r="15">
      <c r="A15">
        <v>12.0</v>
      </c>
      <c r="B15">
        <v>748.0</v>
      </c>
      <c r="C15">
        <v>1650.0</v>
      </c>
      <c r="D15">
        <v>717.0</v>
      </c>
      <c r="E15">
        <v>1734.0</v>
      </c>
      <c r="F15">
        <v>629.0</v>
      </c>
      <c r="G15">
        <v>1813.0</v>
      </c>
      <c r="H15">
        <v>530.0</v>
      </c>
      <c r="I15">
        <v>1853.0</v>
      </c>
      <c r="J15">
        <v>443.0</v>
      </c>
      <c r="K15">
        <v>1931.0</v>
      </c>
      <c r="L15">
        <v>421.0</v>
      </c>
      <c r="M15">
        <v>2000.0</v>
      </c>
      <c r="N15">
        <v>434.0</v>
      </c>
      <c r="O15">
        <v>1958.0</v>
      </c>
      <c r="P15">
        <v>508.0</v>
      </c>
      <c r="Q15">
        <v>1923.0</v>
      </c>
      <c r="R15">
        <v>546.0</v>
      </c>
      <c r="S15">
        <v>1827.0</v>
      </c>
      <c r="T15">
        <v>623.0</v>
      </c>
      <c r="U15">
        <v>1730.0</v>
      </c>
      <c r="V15">
        <v>706.0</v>
      </c>
      <c r="W15">
        <v>1643.0</v>
      </c>
      <c r="X15">
        <v>742.0</v>
      </c>
      <c r="Y15">
        <v>1627.0</v>
      </c>
    </row>
    <row r="16">
      <c r="A16">
        <v>13.0</v>
      </c>
      <c r="B16">
        <v>748.0</v>
      </c>
      <c r="C16">
        <v>1651.0</v>
      </c>
      <c r="D16">
        <v>715.0</v>
      </c>
      <c r="E16">
        <v>1735.0</v>
      </c>
      <c r="F16">
        <v>627.0</v>
      </c>
      <c r="G16">
        <v>1814.0</v>
      </c>
      <c r="H16">
        <v>528.0</v>
      </c>
      <c r="I16">
        <v>1854.0</v>
      </c>
      <c r="J16">
        <v>442.0</v>
      </c>
      <c r="K16">
        <v>1932.0</v>
      </c>
      <c r="L16">
        <v>421.0</v>
      </c>
      <c r="M16">
        <v>2000.0</v>
      </c>
      <c r="N16">
        <v>435.0</v>
      </c>
      <c r="O16">
        <v>1958.0</v>
      </c>
      <c r="P16">
        <v>509.0</v>
      </c>
      <c r="Q16">
        <v>1921.0</v>
      </c>
      <c r="R16">
        <v>547.0</v>
      </c>
      <c r="S16">
        <v>1825.0</v>
      </c>
      <c r="T16">
        <v>624.0</v>
      </c>
      <c r="U16">
        <v>1728.0</v>
      </c>
      <c r="V16">
        <v>707.0</v>
      </c>
      <c r="W16">
        <v>1642.0</v>
      </c>
      <c r="X16">
        <v>742.0</v>
      </c>
      <c r="Y16">
        <v>1627.0</v>
      </c>
    </row>
    <row r="17">
      <c r="A17">
        <v>14.0</v>
      </c>
      <c r="B17">
        <v>747.0</v>
      </c>
      <c r="C17">
        <v>1653.0</v>
      </c>
      <c r="D17">
        <v>714.0</v>
      </c>
      <c r="E17">
        <v>1736.0</v>
      </c>
      <c r="F17">
        <v>625.0</v>
      </c>
      <c r="G17">
        <v>1815.0</v>
      </c>
      <c r="H17">
        <v>527.0</v>
      </c>
      <c r="I17">
        <v>1856.0</v>
      </c>
      <c r="J17">
        <v>441.0</v>
      </c>
      <c r="K17">
        <v>1934.0</v>
      </c>
      <c r="L17">
        <v>421.0</v>
      </c>
      <c r="M17">
        <v>2001.0</v>
      </c>
      <c r="N17">
        <v>436.0</v>
      </c>
      <c r="O17">
        <v>1957.0</v>
      </c>
      <c r="P17">
        <v>510.0</v>
      </c>
      <c r="Q17">
        <v>1919.0</v>
      </c>
      <c r="R17">
        <v>548.0</v>
      </c>
      <c r="S17">
        <v>1823.0</v>
      </c>
      <c r="T17">
        <v>626.0</v>
      </c>
      <c r="U17">
        <v>1727.0</v>
      </c>
      <c r="V17">
        <v>709.0</v>
      </c>
      <c r="W17">
        <v>1641.0</v>
      </c>
      <c r="X17">
        <v>743.0</v>
      </c>
      <c r="Y17">
        <v>1627.0</v>
      </c>
    </row>
    <row r="18">
      <c r="A18">
        <v>15.0</v>
      </c>
      <c r="B18">
        <v>747.0</v>
      </c>
      <c r="C18">
        <v>1654.0</v>
      </c>
      <c r="D18">
        <v>712.0</v>
      </c>
      <c r="E18">
        <v>1738.0</v>
      </c>
      <c r="F18">
        <v>623.0</v>
      </c>
      <c r="G18">
        <v>1817.0</v>
      </c>
      <c r="H18">
        <v>525.0</v>
      </c>
      <c r="I18">
        <v>1857.0</v>
      </c>
      <c r="J18">
        <v>440.0</v>
      </c>
      <c r="K18">
        <v>1935.0</v>
      </c>
      <c r="L18">
        <v>421.0</v>
      </c>
      <c r="M18">
        <v>2001.0</v>
      </c>
      <c r="N18">
        <v>437.0</v>
      </c>
      <c r="O18">
        <v>1956.0</v>
      </c>
      <c r="P18">
        <v>511.0</v>
      </c>
      <c r="Q18">
        <v>1918.0</v>
      </c>
      <c r="R18">
        <v>549.0</v>
      </c>
      <c r="S18">
        <v>1821.0</v>
      </c>
      <c r="T18">
        <v>627.0</v>
      </c>
      <c r="U18">
        <v>1725.0</v>
      </c>
      <c r="V18">
        <v>710.0</v>
      </c>
      <c r="W18">
        <v>1640.0</v>
      </c>
      <c r="X18">
        <v>744.0</v>
      </c>
      <c r="Y18">
        <v>1628.0</v>
      </c>
    </row>
    <row r="19">
      <c r="A19">
        <v>16.0</v>
      </c>
      <c r="B19">
        <v>746.0</v>
      </c>
      <c r="C19">
        <v>1655.0</v>
      </c>
      <c r="D19">
        <v>711.0</v>
      </c>
      <c r="E19">
        <v>1739.0</v>
      </c>
      <c r="F19">
        <v>621.0</v>
      </c>
      <c r="G19">
        <v>1818.0</v>
      </c>
      <c r="H19">
        <v>523.0</v>
      </c>
      <c r="I19">
        <v>1858.0</v>
      </c>
      <c r="J19">
        <v>439.0</v>
      </c>
      <c r="K19">
        <v>1936.0</v>
      </c>
      <c r="L19">
        <v>421.0</v>
      </c>
      <c r="M19">
        <v>2002.0</v>
      </c>
      <c r="N19">
        <v>438.0</v>
      </c>
      <c r="O19">
        <v>1955.0</v>
      </c>
      <c r="P19">
        <v>513.0</v>
      </c>
      <c r="Q19">
        <v>1916.0</v>
      </c>
      <c r="R19">
        <v>550.0</v>
      </c>
      <c r="S19">
        <v>1819.0</v>
      </c>
      <c r="T19">
        <v>628.0</v>
      </c>
      <c r="U19">
        <v>1723.0</v>
      </c>
      <c r="V19">
        <v>711.0</v>
      </c>
      <c r="W19">
        <v>1639.0</v>
      </c>
      <c r="X19">
        <v>745.0</v>
      </c>
      <c r="Y19">
        <v>1628.0</v>
      </c>
    </row>
    <row r="20">
      <c r="A20">
        <v>17.0</v>
      </c>
      <c r="B20">
        <v>746.0</v>
      </c>
      <c r="C20">
        <v>1656.0</v>
      </c>
      <c r="D20">
        <v>709.0</v>
      </c>
      <c r="E20">
        <v>1741.0</v>
      </c>
      <c r="F20">
        <v>619.0</v>
      </c>
      <c r="G20">
        <v>1819.0</v>
      </c>
      <c r="H20">
        <v>521.0</v>
      </c>
      <c r="I20">
        <v>1900.0</v>
      </c>
      <c r="J20">
        <v>438.0</v>
      </c>
      <c r="K20">
        <v>1937.0</v>
      </c>
      <c r="L20">
        <v>421.0</v>
      </c>
      <c r="M20">
        <v>2002.0</v>
      </c>
      <c r="N20">
        <v>438.0</v>
      </c>
      <c r="O20">
        <v>1955.0</v>
      </c>
      <c r="P20">
        <v>514.0</v>
      </c>
      <c r="Q20">
        <v>1915.0</v>
      </c>
      <c r="R20">
        <v>552.0</v>
      </c>
      <c r="S20">
        <v>1818.0</v>
      </c>
      <c r="T20">
        <v>630.0</v>
      </c>
      <c r="U20">
        <v>1721.0</v>
      </c>
      <c r="V20">
        <v>713.0</v>
      </c>
      <c r="W20">
        <v>1638.0</v>
      </c>
      <c r="X20">
        <v>745.0</v>
      </c>
      <c r="Y20">
        <v>1628.0</v>
      </c>
    </row>
    <row r="21">
      <c r="A21">
        <v>18.0</v>
      </c>
      <c r="B21">
        <v>745.0</v>
      </c>
      <c r="C21">
        <v>1658.0</v>
      </c>
      <c r="D21">
        <v>707.0</v>
      </c>
      <c r="E21">
        <v>1742.0</v>
      </c>
      <c r="F21">
        <v>617.0</v>
      </c>
      <c r="G21">
        <v>1821.0</v>
      </c>
      <c r="H21">
        <v>520.0</v>
      </c>
      <c r="I21">
        <v>1901.0</v>
      </c>
      <c r="J21">
        <v>437.0</v>
      </c>
      <c r="K21">
        <v>1938.0</v>
      </c>
      <c r="L21">
        <v>421.0</v>
      </c>
      <c r="M21">
        <v>2002.0</v>
      </c>
      <c r="N21">
        <v>439.0</v>
      </c>
      <c r="O21">
        <v>1954.0</v>
      </c>
      <c r="P21">
        <v>515.0</v>
      </c>
      <c r="Q21">
        <v>1913.0</v>
      </c>
      <c r="R21">
        <v>553.0</v>
      </c>
      <c r="S21">
        <v>1816.0</v>
      </c>
      <c r="T21">
        <v>631.0</v>
      </c>
      <c r="U21">
        <v>1720.0</v>
      </c>
      <c r="V21">
        <v>714.0</v>
      </c>
      <c r="W21">
        <v>1637.0</v>
      </c>
      <c r="X21">
        <v>746.0</v>
      </c>
      <c r="Y21">
        <v>1629.0</v>
      </c>
    </row>
    <row r="22">
      <c r="A22">
        <v>19.0</v>
      </c>
      <c r="B22">
        <v>744.0</v>
      </c>
      <c r="C22">
        <v>1659.0</v>
      </c>
      <c r="D22">
        <v>706.0</v>
      </c>
      <c r="E22">
        <v>1744.0</v>
      </c>
      <c r="F22">
        <v>615.0</v>
      </c>
      <c r="G22">
        <v>1822.0</v>
      </c>
      <c r="H22">
        <v>518.0</v>
      </c>
      <c r="I22">
        <v>1902.0</v>
      </c>
      <c r="J22">
        <v>436.0</v>
      </c>
      <c r="K22">
        <v>1939.0</v>
      </c>
      <c r="L22">
        <v>421.0</v>
      </c>
      <c r="M22">
        <v>2003.0</v>
      </c>
      <c r="N22">
        <v>440.0</v>
      </c>
      <c r="O22">
        <v>1953.0</v>
      </c>
      <c r="P22">
        <v>516.0</v>
      </c>
      <c r="Q22">
        <v>1911.0</v>
      </c>
      <c r="R22">
        <v>554.0</v>
      </c>
      <c r="S22">
        <v>1814.0</v>
      </c>
      <c r="T22">
        <v>632.0</v>
      </c>
      <c r="U22">
        <v>1718.0</v>
      </c>
      <c r="V22">
        <v>715.0</v>
      </c>
      <c r="W22">
        <v>1636.0</v>
      </c>
      <c r="X22">
        <v>747.0</v>
      </c>
      <c r="Y22">
        <v>1629.0</v>
      </c>
    </row>
    <row r="23">
      <c r="A23">
        <v>20.0</v>
      </c>
      <c r="B23">
        <v>743.0</v>
      </c>
      <c r="C23">
        <v>1700.0</v>
      </c>
      <c r="D23">
        <v>704.0</v>
      </c>
      <c r="E23">
        <v>1745.0</v>
      </c>
      <c r="F23">
        <v>613.0</v>
      </c>
      <c r="G23">
        <v>1823.0</v>
      </c>
      <c r="H23">
        <v>516.0</v>
      </c>
      <c r="I23">
        <v>1904.0</v>
      </c>
      <c r="J23">
        <v>435.0</v>
      </c>
      <c r="K23">
        <v>1940.0</v>
      </c>
      <c r="L23">
        <v>422.0</v>
      </c>
      <c r="M23">
        <v>2003.0</v>
      </c>
      <c r="N23">
        <v>441.0</v>
      </c>
      <c r="O23">
        <v>1952.0</v>
      </c>
      <c r="P23">
        <v>517.0</v>
      </c>
      <c r="Q23">
        <v>1909.0</v>
      </c>
      <c r="R23">
        <v>555.0</v>
      </c>
      <c r="S23">
        <v>1812.0</v>
      </c>
      <c r="T23">
        <v>634.0</v>
      </c>
      <c r="U23">
        <v>1716.0</v>
      </c>
      <c r="V23">
        <v>717.0</v>
      </c>
      <c r="W23">
        <v>1635.0</v>
      </c>
      <c r="X23">
        <v>747.0</v>
      </c>
      <c r="Y23">
        <v>1629.0</v>
      </c>
    </row>
    <row r="24">
      <c r="A24">
        <v>21.0</v>
      </c>
      <c r="B24">
        <v>743.0</v>
      </c>
      <c r="C24">
        <v>1702.0</v>
      </c>
      <c r="D24">
        <v>702.0</v>
      </c>
      <c r="E24">
        <v>1747.0</v>
      </c>
      <c r="F24">
        <v>612.0</v>
      </c>
      <c r="G24">
        <v>1825.0</v>
      </c>
      <c r="H24">
        <v>515.0</v>
      </c>
      <c r="I24">
        <v>1905.0</v>
      </c>
      <c r="J24">
        <v>434.0</v>
      </c>
      <c r="K24">
        <v>1942.0</v>
      </c>
      <c r="L24">
        <v>422.0</v>
      </c>
      <c r="M24">
        <v>2003.0</v>
      </c>
      <c r="N24">
        <v>443.0</v>
      </c>
      <c r="O24">
        <v>1951.0</v>
      </c>
      <c r="P24">
        <v>519.0</v>
      </c>
      <c r="Q24">
        <v>1908.0</v>
      </c>
      <c r="R24">
        <v>557.0</v>
      </c>
      <c r="S24">
        <v>1810.0</v>
      </c>
      <c r="T24">
        <v>635.0</v>
      </c>
      <c r="U24">
        <v>1715.0</v>
      </c>
      <c r="V24">
        <v>718.0</v>
      </c>
      <c r="W24">
        <v>1635.0</v>
      </c>
      <c r="X24">
        <v>748.0</v>
      </c>
      <c r="Y24">
        <v>1630.0</v>
      </c>
    </row>
    <row r="25">
      <c r="A25">
        <v>22.0</v>
      </c>
      <c r="B25">
        <v>742.0</v>
      </c>
      <c r="C25">
        <v>1703.0</v>
      </c>
      <c r="D25">
        <v>701.0</v>
      </c>
      <c r="E25">
        <v>1748.0</v>
      </c>
      <c r="F25">
        <v>610.0</v>
      </c>
      <c r="G25">
        <v>1826.0</v>
      </c>
      <c r="H25">
        <v>513.0</v>
      </c>
      <c r="I25">
        <v>1906.0</v>
      </c>
      <c r="J25">
        <v>433.0</v>
      </c>
      <c r="K25">
        <v>1943.0</v>
      </c>
      <c r="L25">
        <v>422.0</v>
      </c>
      <c r="M25">
        <v>2003.0</v>
      </c>
      <c r="N25">
        <v>444.0</v>
      </c>
      <c r="O25">
        <v>1950.0</v>
      </c>
      <c r="P25">
        <v>520.0</v>
      </c>
      <c r="Q25">
        <v>1906.0</v>
      </c>
      <c r="R25">
        <v>558.0</v>
      </c>
      <c r="S25">
        <v>1808.0</v>
      </c>
      <c r="T25">
        <v>637.0</v>
      </c>
      <c r="U25">
        <v>1713.0</v>
      </c>
      <c r="V25">
        <v>719.0</v>
      </c>
      <c r="W25">
        <v>1634.0</v>
      </c>
      <c r="X25">
        <v>748.0</v>
      </c>
      <c r="Y25">
        <v>1630.0</v>
      </c>
    </row>
    <row r="26">
      <c r="A26">
        <v>23.0</v>
      </c>
      <c r="B26">
        <v>741.0</v>
      </c>
      <c r="C26">
        <v>1705.0</v>
      </c>
      <c r="D26">
        <v>659.0</v>
      </c>
      <c r="E26">
        <v>1749.0</v>
      </c>
      <c r="F26">
        <v>608.0</v>
      </c>
      <c r="G26">
        <v>1827.0</v>
      </c>
      <c r="H26">
        <v>511.0</v>
      </c>
      <c r="I26">
        <v>1907.0</v>
      </c>
      <c r="J26">
        <v>432.0</v>
      </c>
      <c r="K26">
        <v>1944.0</v>
      </c>
      <c r="L26">
        <v>422.0</v>
      </c>
      <c r="M26">
        <v>2003.0</v>
      </c>
      <c r="N26">
        <v>445.0</v>
      </c>
      <c r="O26">
        <v>1949.0</v>
      </c>
      <c r="P26">
        <v>521.0</v>
      </c>
      <c r="Q26">
        <v>1904.0</v>
      </c>
      <c r="R26">
        <v>559.0</v>
      </c>
      <c r="S26">
        <v>1806.0</v>
      </c>
      <c r="T26">
        <v>638.0</v>
      </c>
      <c r="U26">
        <v>1711.0</v>
      </c>
      <c r="V26">
        <v>721.0</v>
      </c>
      <c r="W26">
        <v>1633.0</v>
      </c>
      <c r="X26">
        <v>749.0</v>
      </c>
      <c r="Y26">
        <v>1631.0</v>
      </c>
    </row>
    <row r="27">
      <c r="A27">
        <v>24.0</v>
      </c>
      <c r="B27">
        <v>740.0</v>
      </c>
      <c r="C27">
        <v>1706.0</v>
      </c>
      <c r="D27">
        <v>657.0</v>
      </c>
      <c r="E27">
        <v>1751.0</v>
      </c>
      <c r="F27">
        <v>606.0</v>
      </c>
      <c r="G27">
        <v>1829.0</v>
      </c>
      <c r="H27">
        <v>510.0</v>
      </c>
      <c r="I27">
        <v>1909.0</v>
      </c>
      <c r="J27">
        <v>431.0</v>
      </c>
      <c r="K27">
        <v>1945.0</v>
      </c>
      <c r="L27">
        <v>423.0</v>
      </c>
      <c r="M27">
        <v>2003.0</v>
      </c>
      <c r="N27">
        <v>446.0</v>
      </c>
      <c r="O27">
        <v>1948.0</v>
      </c>
      <c r="P27">
        <v>522.0</v>
      </c>
      <c r="Q27">
        <v>1903.0</v>
      </c>
      <c r="R27">
        <v>600.0</v>
      </c>
      <c r="S27">
        <v>1804.0</v>
      </c>
      <c r="T27">
        <v>639.0</v>
      </c>
      <c r="U27">
        <v>1710.0</v>
      </c>
      <c r="V27">
        <v>722.0</v>
      </c>
      <c r="W27">
        <v>1632.0</v>
      </c>
      <c r="X27">
        <v>749.0</v>
      </c>
      <c r="Y27">
        <v>1632.0</v>
      </c>
    </row>
    <row r="28">
      <c r="A28">
        <v>25.0</v>
      </c>
      <c r="B28">
        <v>739.0</v>
      </c>
      <c r="C28">
        <v>1707.0</v>
      </c>
      <c r="D28">
        <v>656.0</v>
      </c>
      <c r="E28">
        <v>1752.0</v>
      </c>
      <c r="F28">
        <v>604.0</v>
      </c>
      <c r="G28">
        <v>1830.0</v>
      </c>
      <c r="H28">
        <v>508.0</v>
      </c>
      <c r="I28">
        <v>1910.0</v>
      </c>
      <c r="J28">
        <v>430.0</v>
      </c>
      <c r="K28">
        <v>1946.0</v>
      </c>
      <c r="L28">
        <v>423.0</v>
      </c>
      <c r="M28">
        <v>2004.0</v>
      </c>
      <c r="N28">
        <v>447.0</v>
      </c>
      <c r="O28">
        <v>1947.0</v>
      </c>
      <c r="P28">
        <v>524.0</v>
      </c>
      <c r="Q28">
        <v>1901.0</v>
      </c>
      <c r="R28">
        <v>601.0</v>
      </c>
      <c r="S28">
        <v>1802.0</v>
      </c>
      <c r="T28">
        <v>641.0</v>
      </c>
      <c r="U28">
        <v>1708.0</v>
      </c>
      <c r="V28">
        <v>723.0</v>
      </c>
      <c r="W28">
        <v>1632.0</v>
      </c>
      <c r="X28">
        <v>749.0</v>
      </c>
      <c r="Y28">
        <v>1632.0</v>
      </c>
    </row>
    <row r="29">
      <c r="A29">
        <v>26.0</v>
      </c>
      <c r="B29">
        <v>738.0</v>
      </c>
      <c r="C29">
        <v>1709.0</v>
      </c>
      <c r="D29">
        <v>654.0</v>
      </c>
      <c r="E29">
        <v>1754.0</v>
      </c>
      <c r="F29">
        <v>602.0</v>
      </c>
      <c r="G29">
        <v>1831.0</v>
      </c>
      <c r="H29">
        <v>506.0</v>
      </c>
      <c r="I29">
        <v>1911.0</v>
      </c>
      <c r="J29">
        <v>429.0</v>
      </c>
      <c r="K29">
        <v>1947.0</v>
      </c>
      <c r="L29">
        <v>423.0</v>
      </c>
      <c r="M29">
        <v>2004.0</v>
      </c>
      <c r="N29">
        <v>448.0</v>
      </c>
      <c r="O29">
        <v>1946.0</v>
      </c>
      <c r="P29">
        <v>525.0</v>
      </c>
      <c r="Q29">
        <v>1859.0</v>
      </c>
      <c r="R29">
        <v>603.0</v>
      </c>
      <c r="S29">
        <v>1800.0</v>
      </c>
      <c r="T29">
        <v>642.0</v>
      </c>
      <c r="U29">
        <v>1706.0</v>
      </c>
      <c r="V29">
        <v>724.0</v>
      </c>
      <c r="W29">
        <v>1631.0</v>
      </c>
      <c r="X29">
        <v>750.0</v>
      </c>
      <c r="Y29">
        <v>1633.0</v>
      </c>
    </row>
    <row r="30">
      <c r="A30">
        <v>27.0</v>
      </c>
      <c r="B30">
        <v>737.0</v>
      </c>
      <c r="C30">
        <v>1710.0</v>
      </c>
      <c r="D30">
        <v>652.0</v>
      </c>
      <c r="E30">
        <v>1755.0</v>
      </c>
      <c r="F30">
        <v>600.0</v>
      </c>
      <c r="G30">
        <v>1832.0</v>
      </c>
      <c r="H30">
        <v>505.0</v>
      </c>
      <c r="I30">
        <v>1913.0</v>
      </c>
      <c r="J30">
        <v>428.0</v>
      </c>
      <c r="K30">
        <v>1948.0</v>
      </c>
      <c r="L30">
        <v>424.0</v>
      </c>
      <c r="M30">
        <v>2003.0</v>
      </c>
      <c r="N30">
        <v>449.0</v>
      </c>
      <c r="O30">
        <v>1945.0</v>
      </c>
      <c r="P30">
        <v>526.0</v>
      </c>
      <c r="Q30">
        <v>1857.0</v>
      </c>
      <c r="R30">
        <v>604.0</v>
      </c>
      <c r="S30">
        <v>1758.0</v>
      </c>
      <c r="T30">
        <v>643.0</v>
      </c>
      <c r="U30">
        <v>1705.0</v>
      </c>
      <c r="V30">
        <v>726.0</v>
      </c>
      <c r="W30">
        <v>1631.0</v>
      </c>
      <c r="X30">
        <v>750.0</v>
      </c>
      <c r="Y30">
        <v>1634.0</v>
      </c>
    </row>
    <row r="31">
      <c r="A31">
        <v>28.0</v>
      </c>
      <c r="B31">
        <v>736.0</v>
      </c>
      <c r="C31">
        <v>1712.0</v>
      </c>
      <c r="D31">
        <v>650.0</v>
      </c>
      <c r="E31">
        <v>1756.0</v>
      </c>
      <c r="F31">
        <v>558.0</v>
      </c>
      <c r="G31">
        <v>1834.0</v>
      </c>
      <c r="H31">
        <v>503.0</v>
      </c>
      <c r="I31">
        <v>1914.0</v>
      </c>
      <c r="J31">
        <v>428.0</v>
      </c>
      <c r="K31">
        <v>1949.0</v>
      </c>
      <c r="L31">
        <v>424.0</v>
      </c>
      <c r="M31">
        <v>2003.0</v>
      </c>
      <c r="N31">
        <v>450.0</v>
      </c>
      <c r="O31">
        <v>1943.0</v>
      </c>
      <c r="P31">
        <v>527.0</v>
      </c>
      <c r="Q31">
        <v>1855.0</v>
      </c>
      <c r="R31">
        <v>605.0</v>
      </c>
      <c r="S31">
        <v>1756.0</v>
      </c>
      <c r="T31">
        <v>645.0</v>
      </c>
      <c r="U31">
        <v>1703.0</v>
      </c>
      <c r="V31">
        <v>727.0</v>
      </c>
      <c r="W31">
        <v>1630.0</v>
      </c>
      <c r="X31">
        <v>750.0</v>
      </c>
      <c r="Y31">
        <v>1634.0</v>
      </c>
    </row>
    <row r="32">
      <c r="A32">
        <v>29.0</v>
      </c>
      <c r="B32">
        <v>735.0</v>
      </c>
      <c r="C32">
        <v>1713.0</v>
      </c>
      <c r="F32">
        <v>556.0</v>
      </c>
      <c r="G32">
        <v>1835.0</v>
      </c>
      <c r="H32">
        <v>502.0</v>
      </c>
      <c r="I32">
        <v>1915.0</v>
      </c>
      <c r="J32">
        <v>427.0</v>
      </c>
      <c r="K32">
        <v>1950.0</v>
      </c>
      <c r="L32">
        <v>425.0</v>
      </c>
      <c r="M32">
        <v>2003.0</v>
      </c>
      <c r="N32">
        <v>451.0</v>
      </c>
      <c r="O32">
        <v>1942.0</v>
      </c>
      <c r="P32">
        <v>528.0</v>
      </c>
      <c r="Q32">
        <v>1854.0</v>
      </c>
      <c r="R32">
        <v>606.0</v>
      </c>
      <c r="S32">
        <v>1754.0</v>
      </c>
      <c r="T32">
        <v>646.0</v>
      </c>
      <c r="U32">
        <v>1702.0</v>
      </c>
      <c r="V32">
        <v>728.0</v>
      </c>
      <c r="W32">
        <v>1630.0</v>
      </c>
      <c r="X32">
        <v>750.0</v>
      </c>
      <c r="Y32">
        <v>1635.0</v>
      </c>
    </row>
    <row r="33">
      <c r="A33">
        <v>30.0</v>
      </c>
      <c r="B33">
        <v>734.0</v>
      </c>
      <c r="C33">
        <v>1715.0</v>
      </c>
      <c r="F33">
        <v>554.0</v>
      </c>
      <c r="G33">
        <v>1836.0</v>
      </c>
      <c r="H33">
        <v>500.0</v>
      </c>
      <c r="I33">
        <v>1916.0</v>
      </c>
      <c r="J33">
        <v>426.0</v>
      </c>
      <c r="K33">
        <v>1951.0</v>
      </c>
      <c r="L33">
        <v>425.0</v>
      </c>
      <c r="M33">
        <v>2003.0</v>
      </c>
      <c r="N33">
        <v>452.0</v>
      </c>
      <c r="O33">
        <v>1941.0</v>
      </c>
      <c r="P33">
        <v>530.0</v>
      </c>
      <c r="Q33">
        <v>1852.0</v>
      </c>
      <c r="R33">
        <v>608.0</v>
      </c>
      <c r="S33">
        <v>1752.0</v>
      </c>
      <c r="T33">
        <v>648.0</v>
      </c>
      <c r="U33">
        <v>1700.0</v>
      </c>
      <c r="V33">
        <v>729.0</v>
      </c>
      <c r="W33">
        <v>1629.0</v>
      </c>
      <c r="X33">
        <v>751.0</v>
      </c>
      <c r="Y33">
        <v>1636.0</v>
      </c>
    </row>
    <row r="34">
      <c r="A34">
        <v>31.0</v>
      </c>
      <c r="B34">
        <v>733.0</v>
      </c>
      <c r="C34">
        <v>1716.0</v>
      </c>
      <c r="F34">
        <v>553.0</v>
      </c>
      <c r="G34">
        <v>1838.0</v>
      </c>
      <c r="J34">
        <v>426.0</v>
      </c>
      <c r="K34">
        <v>1951.0</v>
      </c>
      <c r="N34">
        <v>454.0</v>
      </c>
      <c r="O34">
        <v>1940.0</v>
      </c>
      <c r="P34">
        <v>531.0</v>
      </c>
      <c r="Q34">
        <v>1850.0</v>
      </c>
      <c r="T34">
        <v>649.0</v>
      </c>
      <c r="U34">
        <v>1659.0</v>
      </c>
      <c r="X34">
        <v>751.0</v>
      </c>
      <c r="Y34">
        <v>1637.0</v>
      </c>
    </row>
    <row r="36">
      <c r="A36" s="159" t="s">
        <v>245</v>
      </c>
    </row>
    <row r="37">
      <c r="B37" t="s">
        <v>230</v>
      </c>
      <c r="D37" t="s">
        <v>231</v>
      </c>
      <c r="F37" t="s">
        <v>232</v>
      </c>
      <c r="H37" t="s">
        <v>233</v>
      </c>
      <c r="J37" t="s">
        <v>234</v>
      </c>
      <c r="L37" t="s">
        <v>235</v>
      </c>
      <c r="N37" t="s">
        <v>236</v>
      </c>
      <c r="P37" t="s">
        <v>237</v>
      </c>
      <c r="R37" t="s">
        <v>238</v>
      </c>
      <c r="T37" t="s">
        <v>239</v>
      </c>
      <c r="V37" t="s">
        <v>240</v>
      </c>
      <c r="X37" t="s">
        <v>241</v>
      </c>
    </row>
    <row r="38">
      <c r="A38" t="s">
        <v>242</v>
      </c>
      <c r="B38" t="s">
        <v>243</v>
      </c>
      <c r="C38" t="s">
        <v>244</v>
      </c>
      <c r="D38" t="s">
        <v>243</v>
      </c>
      <c r="E38" t="s">
        <v>244</v>
      </c>
      <c r="F38" t="s">
        <v>243</v>
      </c>
      <c r="G38" t="s">
        <v>244</v>
      </c>
      <c r="H38" t="s">
        <v>243</v>
      </c>
      <c r="I38" t="s">
        <v>244</v>
      </c>
      <c r="J38" t="s">
        <v>243</v>
      </c>
      <c r="K38" t="s">
        <v>244</v>
      </c>
      <c r="L38" t="s">
        <v>243</v>
      </c>
      <c r="M38" t="s">
        <v>244</v>
      </c>
      <c r="N38" t="s">
        <v>243</v>
      </c>
      <c r="O38" t="s">
        <v>244</v>
      </c>
      <c r="P38" t="s">
        <v>243</v>
      </c>
      <c r="Q38" t="s">
        <v>244</v>
      </c>
      <c r="R38" t="s">
        <v>243</v>
      </c>
      <c r="S38" t="s">
        <v>244</v>
      </c>
      <c r="T38" t="s">
        <v>243</v>
      </c>
      <c r="U38" t="s">
        <v>244</v>
      </c>
      <c r="V38" t="s">
        <v>243</v>
      </c>
      <c r="W38" t="s">
        <v>244</v>
      </c>
      <c r="X38" t="s">
        <v>243</v>
      </c>
      <c r="Y38" t="s">
        <v>244</v>
      </c>
    </row>
    <row r="39">
      <c r="A39" s="317">
        <v>1.0</v>
      </c>
      <c r="B39">
        <v>751.0</v>
      </c>
      <c r="C39">
        <v>1638.0</v>
      </c>
      <c r="D39">
        <v>732.0</v>
      </c>
      <c r="E39">
        <v>1717.0</v>
      </c>
      <c r="F39">
        <v>649.0</v>
      </c>
      <c r="G39">
        <v>1757.0</v>
      </c>
      <c r="H39">
        <v>551.0</v>
      </c>
      <c r="I39">
        <v>1839.0</v>
      </c>
      <c r="J39">
        <v>459.0</v>
      </c>
      <c r="K39">
        <v>1917.0</v>
      </c>
      <c r="L39">
        <v>425.0</v>
      </c>
      <c r="M39">
        <v>1952.0</v>
      </c>
      <c r="N39">
        <v>426.0</v>
      </c>
      <c r="O39">
        <v>2003.0</v>
      </c>
      <c r="P39">
        <v>454.0</v>
      </c>
      <c r="Q39">
        <v>1939.0</v>
      </c>
      <c r="R39">
        <v>532.0</v>
      </c>
      <c r="S39">
        <v>1848.0</v>
      </c>
      <c r="T39">
        <v>609.0</v>
      </c>
      <c r="U39">
        <v>1751.0</v>
      </c>
      <c r="V39">
        <v>650.0</v>
      </c>
      <c r="W39">
        <v>1658.0</v>
      </c>
      <c r="X39">
        <v>730.0</v>
      </c>
      <c r="Y39">
        <v>1629.0</v>
      </c>
    </row>
    <row r="40">
      <c r="A40" s="317">
        <v>2.0</v>
      </c>
      <c r="B40">
        <v>751.0</v>
      </c>
      <c r="C40">
        <v>1639.0</v>
      </c>
      <c r="D40">
        <v>731.0</v>
      </c>
      <c r="E40">
        <v>1719.0</v>
      </c>
      <c r="F40">
        <v>647.0</v>
      </c>
      <c r="G40">
        <v>1759.0</v>
      </c>
      <c r="H40">
        <v>549.0</v>
      </c>
      <c r="I40">
        <v>1840.0</v>
      </c>
      <c r="J40">
        <v>457.0</v>
      </c>
      <c r="K40">
        <v>1919.0</v>
      </c>
      <c r="L40">
        <v>425.0</v>
      </c>
      <c r="M40">
        <v>1953.0</v>
      </c>
      <c r="N40">
        <v>426.0</v>
      </c>
      <c r="O40">
        <v>2003.0</v>
      </c>
      <c r="P40">
        <v>456.0</v>
      </c>
      <c r="Q40">
        <v>1937.0</v>
      </c>
      <c r="R40">
        <v>533.0</v>
      </c>
      <c r="S40">
        <v>1847.0</v>
      </c>
      <c r="T40">
        <v>610.0</v>
      </c>
      <c r="U40">
        <v>1749.0</v>
      </c>
      <c r="V40">
        <v>651.0</v>
      </c>
      <c r="W40">
        <v>1656.0</v>
      </c>
      <c r="X40">
        <v>731.0</v>
      </c>
      <c r="Y40">
        <v>1628.0</v>
      </c>
    </row>
    <row r="41">
      <c r="A41" s="317">
        <v>3.0</v>
      </c>
      <c r="B41">
        <v>751.0</v>
      </c>
      <c r="C41">
        <v>1640.0</v>
      </c>
      <c r="D41">
        <v>729.0</v>
      </c>
      <c r="E41">
        <v>1720.0</v>
      </c>
      <c r="F41">
        <v>646.0</v>
      </c>
      <c r="G41">
        <v>1800.0</v>
      </c>
      <c r="H41">
        <v>547.0</v>
      </c>
      <c r="I41">
        <v>1841.0</v>
      </c>
      <c r="J41">
        <v>456.0</v>
      </c>
      <c r="K41">
        <v>1920.0</v>
      </c>
      <c r="L41">
        <v>424.0</v>
      </c>
      <c r="M41">
        <v>1954.0</v>
      </c>
      <c r="N41">
        <v>427.0</v>
      </c>
      <c r="O41">
        <v>2003.0</v>
      </c>
      <c r="P41">
        <v>457.0</v>
      </c>
      <c r="Q41">
        <v>1936.0</v>
      </c>
      <c r="R41">
        <v>534.0</v>
      </c>
      <c r="S41">
        <v>1845.0</v>
      </c>
      <c r="T41">
        <v>611.0</v>
      </c>
      <c r="U41">
        <v>1747.0</v>
      </c>
      <c r="V41">
        <v>653.0</v>
      </c>
      <c r="W41">
        <v>1655.0</v>
      </c>
      <c r="X41">
        <v>732.0</v>
      </c>
      <c r="Y41">
        <v>1628.0</v>
      </c>
    </row>
    <row r="42">
      <c r="A42" s="317">
        <v>4.0</v>
      </c>
      <c r="B42">
        <v>751.0</v>
      </c>
      <c r="C42">
        <v>1641.0</v>
      </c>
      <c r="D42">
        <v>728.0</v>
      </c>
      <c r="E42">
        <v>1722.0</v>
      </c>
      <c r="F42">
        <v>644.0</v>
      </c>
      <c r="G42">
        <v>1802.0</v>
      </c>
      <c r="H42">
        <v>545.0</v>
      </c>
      <c r="I42">
        <v>1843.0</v>
      </c>
      <c r="J42">
        <v>454.0</v>
      </c>
      <c r="K42">
        <v>1921.0</v>
      </c>
      <c r="L42">
        <v>424.0</v>
      </c>
      <c r="M42">
        <v>1955.0</v>
      </c>
      <c r="N42">
        <v>428.0</v>
      </c>
      <c r="O42">
        <v>2002.0</v>
      </c>
      <c r="P42">
        <v>458.0</v>
      </c>
      <c r="Q42">
        <v>1935.0</v>
      </c>
      <c r="R42">
        <v>536.0</v>
      </c>
      <c r="S42">
        <v>1843.0</v>
      </c>
      <c r="T42">
        <v>612.0</v>
      </c>
      <c r="U42">
        <v>1745.0</v>
      </c>
      <c r="V42">
        <v>654.0</v>
      </c>
      <c r="W42">
        <v>1654.0</v>
      </c>
      <c r="X42">
        <v>734.0</v>
      </c>
      <c r="Y42">
        <v>1628.0</v>
      </c>
    </row>
    <row r="43">
      <c r="A43" s="317">
        <v>5.0</v>
      </c>
      <c r="B43">
        <v>751.0</v>
      </c>
      <c r="C43">
        <v>1642.0</v>
      </c>
      <c r="D43">
        <v>727.0</v>
      </c>
      <c r="E43">
        <v>1723.0</v>
      </c>
      <c r="F43">
        <v>642.0</v>
      </c>
      <c r="G43">
        <v>1803.0</v>
      </c>
      <c r="H43">
        <v>544.0</v>
      </c>
      <c r="I43">
        <v>1844.0</v>
      </c>
      <c r="J43">
        <v>453.0</v>
      </c>
      <c r="K43">
        <v>1922.0</v>
      </c>
      <c r="L43">
        <v>423.0</v>
      </c>
      <c r="M43">
        <v>1955.0</v>
      </c>
      <c r="N43">
        <v>428.0</v>
      </c>
      <c r="O43">
        <v>2002.0</v>
      </c>
      <c r="P43">
        <v>459.0</v>
      </c>
      <c r="Q43">
        <v>1933.0</v>
      </c>
      <c r="R43">
        <v>537.0</v>
      </c>
      <c r="S43">
        <v>1841.0</v>
      </c>
      <c r="T43">
        <v>614.0</v>
      </c>
      <c r="U43">
        <v>1743.0</v>
      </c>
      <c r="V43">
        <v>656.0</v>
      </c>
      <c r="W43">
        <v>1652.0</v>
      </c>
      <c r="X43">
        <v>735.0</v>
      </c>
      <c r="Y43">
        <v>1628.0</v>
      </c>
    </row>
    <row r="44">
      <c r="A44" s="317">
        <v>6.0</v>
      </c>
      <c r="B44">
        <v>750.0</v>
      </c>
      <c r="C44">
        <v>1643.0</v>
      </c>
      <c r="D44">
        <v>725.0</v>
      </c>
      <c r="E44">
        <v>1724.0</v>
      </c>
      <c r="F44">
        <v>640.0</v>
      </c>
      <c r="G44">
        <v>1804.0</v>
      </c>
      <c r="H44">
        <v>542.0</v>
      </c>
      <c r="I44">
        <v>1845.0</v>
      </c>
      <c r="J44">
        <v>452.0</v>
      </c>
      <c r="K44">
        <v>1924.0</v>
      </c>
      <c r="L44">
        <v>423.0</v>
      </c>
      <c r="M44">
        <v>1956.0</v>
      </c>
      <c r="N44">
        <v>429.0</v>
      </c>
      <c r="O44">
        <v>2002.0</v>
      </c>
      <c r="P44">
        <v>500.0</v>
      </c>
      <c r="Q44">
        <v>1932.0</v>
      </c>
      <c r="R44">
        <v>538.0</v>
      </c>
      <c r="S44">
        <v>1839.0</v>
      </c>
      <c r="T44">
        <v>615.0</v>
      </c>
      <c r="U44">
        <v>1742.0</v>
      </c>
      <c r="V44">
        <v>657.0</v>
      </c>
      <c r="W44">
        <v>1651.0</v>
      </c>
      <c r="X44">
        <v>736.0</v>
      </c>
      <c r="Y44">
        <v>1627.0</v>
      </c>
    </row>
    <row r="45">
      <c r="A45" s="317">
        <v>7.0</v>
      </c>
      <c r="B45">
        <v>750.0</v>
      </c>
      <c r="C45">
        <v>1644.0</v>
      </c>
      <c r="D45">
        <v>724.0</v>
      </c>
      <c r="E45">
        <v>1726.0</v>
      </c>
      <c r="F45">
        <v>638.0</v>
      </c>
      <c r="G45">
        <v>1806.0</v>
      </c>
      <c r="H45">
        <v>540.0</v>
      </c>
      <c r="I45">
        <v>1846.0</v>
      </c>
      <c r="J45">
        <v>450.0</v>
      </c>
      <c r="K45">
        <v>1925.0</v>
      </c>
      <c r="L45">
        <v>423.0</v>
      </c>
      <c r="M45">
        <v>1957.0</v>
      </c>
      <c r="N45">
        <v>430.0</v>
      </c>
      <c r="O45">
        <v>2001.0</v>
      </c>
      <c r="P45">
        <v>501.0</v>
      </c>
      <c r="Q45">
        <v>1931.0</v>
      </c>
      <c r="R45">
        <v>539.0</v>
      </c>
      <c r="S45">
        <v>1837.0</v>
      </c>
      <c r="T45">
        <v>616.0</v>
      </c>
      <c r="U45">
        <v>1740.0</v>
      </c>
      <c r="V45">
        <v>658.0</v>
      </c>
      <c r="W45">
        <v>1650.0</v>
      </c>
      <c r="X45">
        <v>737.0</v>
      </c>
      <c r="Y45">
        <v>1627.0</v>
      </c>
    </row>
    <row r="46">
      <c r="A46" s="317">
        <v>8.0</v>
      </c>
      <c r="B46">
        <v>750.0</v>
      </c>
      <c r="C46">
        <v>1645.0</v>
      </c>
      <c r="D46">
        <v>723.0</v>
      </c>
      <c r="E46">
        <v>1727.0</v>
      </c>
      <c r="F46">
        <v>636.0</v>
      </c>
      <c r="G46">
        <v>1807.0</v>
      </c>
      <c r="H46">
        <v>538.0</v>
      </c>
      <c r="I46">
        <v>1848.0</v>
      </c>
      <c r="J46">
        <v>449.0</v>
      </c>
      <c r="K46">
        <v>1926.0</v>
      </c>
      <c r="L46">
        <v>422.0</v>
      </c>
      <c r="M46">
        <v>1957.0</v>
      </c>
      <c r="N46">
        <v>430.0</v>
      </c>
      <c r="O46">
        <v>2001.0</v>
      </c>
      <c r="P46">
        <v>503.0</v>
      </c>
      <c r="Q46">
        <v>1929.0</v>
      </c>
      <c r="R46">
        <v>540.0</v>
      </c>
      <c r="S46">
        <v>1835.0</v>
      </c>
      <c r="T46">
        <v>618.0</v>
      </c>
      <c r="U46">
        <v>1738.0</v>
      </c>
      <c r="V46">
        <v>700.0</v>
      </c>
      <c r="W46">
        <v>1648.0</v>
      </c>
      <c r="X46">
        <v>738.0</v>
      </c>
      <c r="Y46">
        <v>1627.0</v>
      </c>
    </row>
    <row r="47">
      <c r="A47" s="317">
        <v>9.0</v>
      </c>
      <c r="B47">
        <v>750.0</v>
      </c>
      <c r="C47">
        <v>1646.0</v>
      </c>
      <c r="D47">
        <v>721.0</v>
      </c>
      <c r="E47">
        <v>1729.0</v>
      </c>
      <c r="F47">
        <v>635.0</v>
      </c>
      <c r="G47">
        <v>1808.0</v>
      </c>
      <c r="H47">
        <v>536.0</v>
      </c>
      <c r="I47">
        <v>1849.0</v>
      </c>
      <c r="J47">
        <v>448.0</v>
      </c>
      <c r="K47">
        <v>1927.0</v>
      </c>
      <c r="L47">
        <v>422.0</v>
      </c>
      <c r="M47">
        <v>1958.0</v>
      </c>
      <c r="N47">
        <v>431.0</v>
      </c>
      <c r="O47">
        <v>2000.0</v>
      </c>
      <c r="P47">
        <v>504.0</v>
      </c>
      <c r="Q47">
        <v>1928.0</v>
      </c>
      <c r="R47">
        <v>542.0</v>
      </c>
      <c r="S47">
        <v>1833.0</v>
      </c>
      <c r="T47">
        <v>619.0</v>
      </c>
      <c r="U47">
        <v>1736.0</v>
      </c>
      <c r="V47">
        <v>701.0</v>
      </c>
      <c r="W47">
        <v>1647.0</v>
      </c>
      <c r="X47">
        <v>739.0</v>
      </c>
      <c r="Y47">
        <v>1627.0</v>
      </c>
    </row>
    <row r="48">
      <c r="A48" s="317">
        <v>10.0</v>
      </c>
      <c r="B48">
        <v>749.0</v>
      </c>
      <c r="C48">
        <v>1647.0</v>
      </c>
      <c r="D48">
        <v>720.0</v>
      </c>
      <c r="E48">
        <v>1730.0</v>
      </c>
      <c r="F48">
        <v>633.0</v>
      </c>
      <c r="G48">
        <v>1810.0</v>
      </c>
      <c r="H48">
        <v>534.0</v>
      </c>
      <c r="I48">
        <v>1850.0</v>
      </c>
      <c r="J48">
        <v>446.0</v>
      </c>
      <c r="K48">
        <v>1929.0</v>
      </c>
      <c r="L48">
        <v>422.0</v>
      </c>
      <c r="M48">
        <v>1959.0</v>
      </c>
      <c r="N48">
        <v>432.0</v>
      </c>
      <c r="O48">
        <v>2000.0</v>
      </c>
      <c r="P48">
        <v>505.0</v>
      </c>
      <c r="Q48">
        <v>1926.0</v>
      </c>
      <c r="R48">
        <v>543.0</v>
      </c>
      <c r="S48">
        <v>1831.0</v>
      </c>
      <c r="T48">
        <v>620.0</v>
      </c>
      <c r="U48">
        <v>1734.0</v>
      </c>
      <c r="V48">
        <v>703.0</v>
      </c>
      <c r="W48">
        <v>1646.0</v>
      </c>
      <c r="X48">
        <v>740.0</v>
      </c>
      <c r="Y48">
        <v>1627.0</v>
      </c>
    </row>
    <row r="49">
      <c r="A49" s="317">
        <v>11.0</v>
      </c>
      <c r="B49">
        <v>749.0</v>
      </c>
      <c r="C49">
        <v>1649.0</v>
      </c>
      <c r="D49">
        <v>718.0</v>
      </c>
      <c r="E49">
        <v>1732.0</v>
      </c>
      <c r="F49">
        <v>631.0</v>
      </c>
      <c r="G49">
        <v>1811.0</v>
      </c>
      <c r="H49">
        <v>533.0</v>
      </c>
      <c r="I49">
        <v>1852.0</v>
      </c>
      <c r="J49">
        <v>445.0</v>
      </c>
      <c r="K49">
        <v>1930.0</v>
      </c>
      <c r="L49">
        <v>422.0</v>
      </c>
      <c r="M49">
        <v>1959.0</v>
      </c>
      <c r="N49">
        <v>433.0</v>
      </c>
      <c r="O49">
        <v>1959.0</v>
      </c>
      <c r="P49">
        <v>506.0</v>
      </c>
      <c r="Q49">
        <v>1925.0</v>
      </c>
      <c r="R49">
        <v>544.0</v>
      </c>
      <c r="S49">
        <v>1830.0</v>
      </c>
      <c r="T49">
        <v>621.0</v>
      </c>
      <c r="U49">
        <v>1732.0</v>
      </c>
      <c r="V49">
        <v>704.0</v>
      </c>
      <c r="W49">
        <v>1645.0</v>
      </c>
      <c r="X49">
        <v>741.0</v>
      </c>
      <c r="Y49">
        <v>1627.0</v>
      </c>
    </row>
    <row r="50">
      <c r="A50" s="317">
        <v>12.0</v>
      </c>
      <c r="B50">
        <v>749.0</v>
      </c>
      <c r="C50">
        <v>1650.0</v>
      </c>
      <c r="D50">
        <v>717.0</v>
      </c>
      <c r="E50">
        <v>1733.0</v>
      </c>
      <c r="F50">
        <v>629.0</v>
      </c>
      <c r="G50">
        <v>1812.0</v>
      </c>
      <c r="H50">
        <v>531.0</v>
      </c>
      <c r="I50">
        <v>1853.0</v>
      </c>
      <c r="J50">
        <v>444.0</v>
      </c>
      <c r="K50">
        <v>1931.0</v>
      </c>
      <c r="L50">
        <v>421.0</v>
      </c>
      <c r="M50">
        <v>2000.0</v>
      </c>
      <c r="N50">
        <v>434.0</v>
      </c>
      <c r="O50">
        <v>1958.0</v>
      </c>
      <c r="P50">
        <v>507.0</v>
      </c>
      <c r="Q50">
        <v>1923.0</v>
      </c>
      <c r="R50">
        <v>545.0</v>
      </c>
      <c r="S50">
        <v>1828.0</v>
      </c>
      <c r="T50">
        <v>623.0</v>
      </c>
      <c r="U50">
        <v>1731.0</v>
      </c>
      <c r="V50">
        <v>705.0</v>
      </c>
      <c r="W50">
        <v>1644.0</v>
      </c>
      <c r="X50">
        <v>741.0</v>
      </c>
      <c r="Y50">
        <v>1627.0</v>
      </c>
    </row>
    <row r="51">
      <c r="A51" s="317">
        <v>13.0</v>
      </c>
      <c r="B51">
        <v>748.0</v>
      </c>
      <c r="C51">
        <v>1651.0</v>
      </c>
      <c r="D51">
        <v>716.0</v>
      </c>
      <c r="E51">
        <v>1735.0</v>
      </c>
      <c r="F51">
        <v>627.0</v>
      </c>
      <c r="G51">
        <v>1814.0</v>
      </c>
      <c r="H51">
        <v>529.0</v>
      </c>
      <c r="I51">
        <v>1854.0</v>
      </c>
      <c r="J51">
        <v>443.0</v>
      </c>
      <c r="K51">
        <v>1932.0</v>
      </c>
      <c r="L51">
        <v>421.0</v>
      </c>
      <c r="M51">
        <v>2000.0</v>
      </c>
      <c r="N51">
        <v>435.0</v>
      </c>
      <c r="O51">
        <v>1958.0</v>
      </c>
      <c r="P51">
        <v>509.0</v>
      </c>
      <c r="Q51">
        <v>1921.0</v>
      </c>
      <c r="R51">
        <v>546.0</v>
      </c>
      <c r="S51">
        <v>1826.0</v>
      </c>
      <c r="T51">
        <v>624.0</v>
      </c>
      <c r="U51">
        <v>1729.0</v>
      </c>
      <c r="V51">
        <v>707.0</v>
      </c>
      <c r="W51">
        <v>1642.0</v>
      </c>
      <c r="X51">
        <v>742.0</v>
      </c>
      <c r="Y51">
        <v>1627.0</v>
      </c>
    </row>
    <row r="52">
      <c r="A52" s="317">
        <v>14.0</v>
      </c>
      <c r="B52">
        <v>748.0</v>
      </c>
      <c r="C52">
        <v>1652.0</v>
      </c>
      <c r="D52">
        <v>714.0</v>
      </c>
      <c r="E52">
        <v>1736.0</v>
      </c>
      <c r="F52">
        <v>625.0</v>
      </c>
      <c r="G52">
        <v>1815.0</v>
      </c>
      <c r="H52">
        <v>527.0</v>
      </c>
      <c r="I52">
        <v>1856.0</v>
      </c>
      <c r="J52">
        <v>441.0</v>
      </c>
      <c r="K52">
        <v>1933.0</v>
      </c>
      <c r="L52">
        <v>421.0</v>
      </c>
      <c r="M52">
        <v>2001.0</v>
      </c>
      <c r="N52">
        <v>435.0</v>
      </c>
      <c r="O52">
        <v>1957.0</v>
      </c>
      <c r="P52">
        <v>510.0</v>
      </c>
      <c r="Q52">
        <v>1920.0</v>
      </c>
      <c r="R52">
        <v>548.0</v>
      </c>
      <c r="S52">
        <v>1824.0</v>
      </c>
      <c r="T52">
        <v>625.0</v>
      </c>
      <c r="U52">
        <v>1727.0</v>
      </c>
      <c r="V52">
        <v>708.0</v>
      </c>
      <c r="W52">
        <v>1641.0</v>
      </c>
      <c r="X52">
        <v>743.0</v>
      </c>
      <c r="Y52">
        <v>1627.0</v>
      </c>
    </row>
    <row r="53">
      <c r="A53" s="317">
        <v>15.0</v>
      </c>
      <c r="B53">
        <v>747.0</v>
      </c>
      <c r="C53">
        <v>1654.0</v>
      </c>
      <c r="D53">
        <v>712.0</v>
      </c>
      <c r="E53">
        <v>1738.0</v>
      </c>
      <c r="F53">
        <v>623.0</v>
      </c>
      <c r="G53">
        <v>1816.0</v>
      </c>
      <c r="H53">
        <v>525.0</v>
      </c>
      <c r="I53">
        <v>1857.0</v>
      </c>
      <c r="J53">
        <v>440.0</v>
      </c>
      <c r="K53">
        <v>1935.0</v>
      </c>
      <c r="L53">
        <v>421.0</v>
      </c>
      <c r="M53">
        <v>2001.0</v>
      </c>
      <c r="N53">
        <v>436.0</v>
      </c>
      <c r="O53">
        <v>1956.0</v>
      </c>
      <c r="P53">
        <v>511.0</v>
      </c>
      <c r="Q53">
        <v>1918.0</v>
      </c>
      <c r="R53">
        <v>549.0</v>
      </c>
      <c r="S53">
        <v>1822.0</v>
      </c>
      <c r="T53">
        <v>627.0</v>
      </c>
      <c r="U53">
        <v>1725.0</v>
      </c>
      <c r="V53">
        <v>710.0</v>
      </c>
      <c r="W53">
        <v>1640.0</v>
      </c>
      <c r="X53">
        <v>744.0</v>
      </c>
      <c r="Y53">
        <v>1628.0</v>
      </c>
    </row>
    <row r="54">
      <c r="A54" s="317">
        <v>16.0</v>
      </c>
      <c r="B54">
        <v>746.0</v>
      </c>
      <c r="C54">
        <v>1655.0</v>
      </c>
      <c r="D54">
        <v>711.0</v>
      </c>
      <c r="E54">
        <v>1739.0</v>
      </c>
      <c r="F54">
        <v>621.0</v>
      </c>
      <c r="G54">
        <v>1818.0</v>
      </c>
      <c r="H54">
        <v>524.0</v>
      </c>
      <c r="I54">
        <v>1858.0</v>
      </c>
      <c r="J54">
        <v>439.0</v>
      </c>
      <c r="K54">
        <v>1936.0</v>
      </c>
      <c r="L54">
        <v>421.0</v>
      </c>
      <c r="M54">
        <v>2002.0</v>
      </c>
      <c r="N54">
        <v>437.0</v>
      </c>
      <c r="O54">
        <v>1956.0</v>
      </c>
      <c r="P54">
        <v>512.0</v>
      </c>
      <c r="Q54">
        <v>1917.0</v>
      </c>
      <c r="R54">
        <v>550.0</v>
      </c>
      <c r="S54">
        <v>1820.0</v>
      </c>
      <c r="T54">
        <v>628.0</v>
      </c>
      <c r="U54">
        <v>1723.0</v>
      </c>
      <c r="V54">
        <v>711.0</v>
      </c>
      <c r="W54">
        <v>1639.0</v>
      </c>
      <c r="X54">
        <v>745.0</v>
      </c>
      <c r="Y54">
        <v>1628.0</v>
      </c>
    </row>
    <row r="55">
      <c r="A55" s="317">
        <v>17.0</v>
      </c>
      <c r="B55">
        <v>746.0</v>
      </c>
      <c r="C55">
        <v>1656.0</v>
      </c>
      <c r="D55">
        <v>709.0</v>
      </c>
      <c r="E55">
        <v>1740.0</v>
      </c>
      <c r="F55">
        <v>620.0</v>
      </c>
      <c r="G55">
        <v>1819.0</v>
      </c>
      <c r="H55">
        <v>522.0</v>
      </c>
      <c r="I55">
        <v>1859.0</v>
      </c>
      <c r="J55">
        <v>438.0</v>
      </c>
      <c r="K55">
        <v>1937.0</v>
      </c>
      <c r="L55">
        <v>421.0</v>
      </c>
      <c r="M55">
        <v>2002.0</v>
      </c>
      <c r="N55">
        <v>438.0</v>
      </c>
      <c r="O55">
        <v>1955.0</v>
      </c>
      <c r="P55">
        <v>514.0</v>
      </c>
      <c r="Q55">
        <v>1915.0</v>
      </c>
      <c r="R55">
        <v>551.0</v>
      </c>
      <c r="S55">
        <v>1818.0</v>
      </c>
      <c r="T55">
        <v>629.0</v>
      </c>
      <c r="U55">
        <v>1722.0</v>
      </c>
      <c r="V55">
        <v>712.0</v>
      </c>
      <c r="W55">
        <v>1638.0</v>
      </c>
      <c r="X55">
        <v>745.0</v>
      </c>
      <c r="Y55">
        <v>1628.0</v>
      </c>
    </row>
    <row r="56">
      <c r="A56" s="317">
        <v>18.0</v>
      </c>
      <c r="B56">
        <v>745.0</v>
      </c>
      <c r="C56">
        <v>1657.0</v>
      </c>
      <c r="D56">
        <v>708.0</v>
      </c>
      <c r="E56">
        <v>1742.0</v>
      </c>
      <c r="F56">
        <v>618.0</v>
      </c>
      <c r="G56">
        <v>1820.0</v>
      </c>
      <c r="H56">
        <v>520.0</v>
      </c>
      <c r="I56">
        <v>1901.0</v>
      </c>
      <c r="J56">
        <v>437.0</v>
      </c>
      <c r="K56">
        <v>1938.0</v>
      </c>
      <c r="L56">
        <v>421.0</v>
      </c>
      <c r="M56">
        <v>2002.0</v>
      </c>
      <c r="N56">
        <v>439.0</v>
      </c>
      <c r="O56">
        <v>1954.0</v>
      </c>
      <c r="P56">
        <v>515.0</v>
      </c>
      <c r="Q56">
        <v>1913.0</v>
      </c>
      <c r="R56">
        <v>553.0</v>
      </c>
      <c r="S56">
        <v>1816.0</v>
      </c>
      <c r="T56">
        <v>631.0</v>
      </c>
      <c r="U56">
        <v>1720.0</v>
      </c>
      <c r="V56">
        <v>714.0</v>
      </c>
      <c r="W56">
        <v>1637.0</v>
      </c>
      <c r="X56">
        <v>746.0</v>
      </c>
      <c r="Y56">
        <v>1628.0</v>
      </c>
    </row>
    <row r="57">
      <c r="A57" s="317">
        <v>19.0</v>
      </c>
      <c r="B57">
        <v>744.0</v>
      </c>
      <c r="C57">
        <v>1659.0</v>
      </c>
      <c r="D57">
        <v>706.0</v>
      </c>
      <c r="E57">
        <v>1743.0</v>
      </c>
      <c r="F57">
        <v>616.0</v>
      </c>
      <c r="G57">
        <v>1822.0</v>
      </c>
      <c r="H57">
        <v>518.0</v>
      </c>
      <c r="I57">
        <v>1902.0</v>
      </c>
      <c r="J57">
        <v>436.0</v>
      </c>
      <c r="K57">
        <v>1939.0</v>
      </c>
      <c r="L57">
        <v>421.0</v>
      </c>
      <c r="M57">
        <v>2003.0</v>
      </c>
      <c r="N57">
        <v>440.0</v>
      </c>
      <c r="O57">
        <v>1953.0</v>
      </c>
      <c r="P57">
        <v>516.0</v>
      </c>
      <c r="Q57">
        <v>1912.0</v>
      </c>
      <c r="R57">
        <v>554.0</v>
      </c>
      <c r="S57">
        <v>1814.0</v>
      </c>
      <c r="T57">
        <v>632.0</v>
      </c>
      <c r="U57">
        <v>1718.0</v>
      </c>
      <c r="V57">
        <v>715.0</v>
      </c>
      <c r="W57">
        <v>1637.0</v>
      </c>
      <c r="X57">
        <v>747.0</v>
      </c>
      <c r="Y57">
        <v>1629.0</v>
      </c>
    </row>
    <row r="58">
      <c r="A58" s="317">
        <v>20.0</v>
      </c>
      <c r="B58">
        <v>744.0</v>
      </c>
      <c r="C58">
        <v>1700.0</v>
      </c>
      <c r="D58">
        <v>705.0</v>
      </c>
      <c r="E58">
        <v>1745.0</v>
      </c>
      <c r="F58">
        <v>614.0</v>
      </c>
      <c r="G58">
        <v>1823.0</v>
      </c>
      <c r="H58">
        <v>517.0</v>
      </c>
      <c r="I58">
        <v>1903.0</v>
      </c>
      <c r="J58">
        <v>435.0</v>
      </c>
      <c r="K58">
        <v>1940.0</v>
      </c>
      <c r="L58">
        <v>422.0</v>
      </c>
      <c r="M58">
        <v>2003.0</v>
      </c>
      <c r="N58">
        <v>441.0</v>
      </c>
      <c r="O58">
        <v>1952.0</v>
      </c>
      <c r="P58">
        <v>517.0</v>
      </c>
      <c r="Q58">
        <v>1910.0</v>
      </c>
      <c r="R58">
        <v>555.0</v>
      </c>
      <c r="S58">
        <v>1812.0</v>
      </c>
      <c r="T58">
        <v>633.0</v>
      </c>
      <c r="U58">
        <v>1717.0</v>
      </c>
      <c r="V58">
        <v>716.0</v>
      </c>
      <c r="W58">
        <v>1636.0</v>
      </c>
      <c r="X58">
        <v>747.0</v>
      </c>
      <c r="Y58">
        <v>1629.0</v>
      </c>
    </row>
    <row r="59">
      <c r="A59" s="317">
        <v>21.0</v>
      </c>
      <c r="B59">
        <v>743.0</v>
      </c>
      <c r="C59">
        <v>1701.0</v>
      </c>
      <c r="D59">
        <v>703.0</v>
      </c>
      <c r="E59">
        <v>1746.0</v>
      </c>
      <c r="F59">
        <v>612.0</v>
      </c>
      <c r="G59">
        <v>1824.0</v>
      </c>
      <c r="H59">
        <v>515.0</v>
      </c>
      <c r="I59">
        <v>1905.0</v>
      </c>
      <c r="J59">
        <v>434.0</v>
      </c>
      <c r="K59">
        <v>1941.0</v>
      </c>
      <c r="L59">
        <v>422.0</v>
      </c>
      <c r="M59">
        <v>2003.0</v>
      </c>
      <c r="N59">
        <v>442.0</v>
      </c>
      <c r="O59">
        <v>1951.0</v>
      </c>
      <c r="P59">
        <v>518.0</v>
      </c>
      <c r="Q59">
        <v>1908.0</v>
      </c>
      <c r="R59">
        <v>556.0</v>
      </c>
      <c r="S59">
        <v>1810.0</v>
      </c>
      <c r="T59">
        <v>635.0</v>
      </c>
      <c r="U59">
        <v>1715.0</v>
      </c>
      <c r="V59">
        <v>718.0</v>
      </c>
      <c r="W59">
        <v>1635.0</v>
      </c>
      <c r="X59">
        <v>748.0</v>
      </c>
      <c r="Y59">
        <v>1630.0</v>
      </c>
    </row>
    <row r="60">
      <c r="A60" s="317">
        <v>22.0</v>
      </c>
      <c r="B60">
        <v>742.0</v>
      </c>
      <c r="C60">
        <v>1703.0</v>
      </c>
      <c r="D60">
        <v>701.0</v>
      </c>
      <c r="E60">
        <v>1748.0</v>
      </c>
      <c r="F60">
        <v>610.0</v>
      </c>
      <c r="G60">
        <v>1826.0</v>
      </c>
      <c r="H60">
        <v>513.0</v>
      </c>
      <c r="I60">
        <v>1906.0</v>
      </c>
      <c r="J60">
        <v>433.0</v>
      </c>
      <c r="K60">
        <v>1942.0</v>
      </c>
      <c r="L60">
        <v>422.0</v>
      </c>
      <c r="M60">
        <v>2003.0</v>
      </c>
      <c r="N60">
        <v>443.0</v>
      </c>
      <c r="O60">
        <v>1950.0</v>
      </c>
      <c r="P60">
        <v>520.0</v>
      </c>
      <c r="Q60">
        <v>1906.0</v>
      </c>
      <c r="R60">
        <v>557.0</v>
      </c>
      <c r="S60">
        <v>1808.0</v>
      </c>
      <c r="T60">
        <v>636.0</v>
      </c>
      <c r="U60">
        <v>1713.0</v>
      </c>
      <c r="V60">
        <v>719.0</v>
      </c>
      <c r="W60">
        <v>1634.0</v>
      </c>
      <c r="X60">
        <v>748.0</v>
      </c>
      <c r="Y60">
        <v>1630.0</v>
      </c>
    </row>
    <row r="61">
      <c r="A61" s="317">
        <v>23.0</v>
      </c>
      <c r="B61">
        <v>741.0</v>
      </c>
      <c r="C61">
        <v>1704.0</v>
      </c>
      <c r="D61">
        <v>700.0</v>
      </c>
      <c r="E61">
        <v>1749.0</v>
      </c>
      <c r="F61">
        <v>608.0</v>
      </c>
      <c r="G61">
        <v>1827.0</v>
      </c>
      <c r="H61">
        <v>512.0</v>
      </c>
      <c r="I61">
        <v>1907.0</v>
      </c>
      <c r="J61">
        <v>432.0</v>
      </c>
      <c r="K61">
        <v>1943.0</v>
      </c>
      <c r="L61">
        <v>422.0</v>
      </c>
      <c r="M61">
        <v>2003.0</v>
      </c>
      <c r="N61">
        <v>444.0</v>
      </c>
      <c r="O61">
        <v>1949.0</v>
      </c>
      <c r="P61">
        <v>521.0</v>
      </c>
      <c r="Q61">
        <v>1905.0</v>
      </c>
      <c r="R61">
        <v>559.0</v>
      </c>
      <c r="S61">
        <v>1806.0</v>
      </c>
      <c r="T61">
        <v>638.0</v>
      </c>
      <c r="U61">
        <v>1712.0</v>
      </c>
      <c r="V61">
        <v>720.0</v>
      </c>
      <c r="W61">
        <v>1633.0</v>
      </c>
      <c r="X61">
        <v>749.0</v>
      </c>
      <c r="Y61">
        <v>1631.0</v>
      </c>
    </row>
    <row r="62">
      <c r="A62" s="317">
        <v>24.0</v>
      </c>
      <c r="B62">
        <v>740.0</v>
      </c>
      <c r="C62">
        <v>1706.0</v>
      </c>
      <c r="D62">
        <v>658.0</v>
      </c>
      <c r="E62">
        <v>1750.0</v>
      </c>
      <c r="F62">
        <v>606.0</v>
      </c>
      <c r="G62">
        <v>1828.0</v>
      </c>
      <c r="H62">
        <v>510.0</v>
      </c>
      <c r="I62">
        <v>1908.0</v>
      </c>
      <c r="J62">
        <v>431.0</v>
      </c>
      <c r="K62">
        <v>1944.0</v>
      </c>
      <c r="L62">
        <v>423.0</v>
      </c>
      <c r="M62">
        <v>2003.0</v>
      </c>
      <c r="N62">
        <v>445.0</v>
      </c>
      <c r="O62">
        <v>1948.0</v>
      </c>
      <c r="P62">
        <v>522.0</v>
      </c>
      <c r="Q62">
        <v>1903.0</v>
      </c>
      <c r="R62">
        <v>600.0</v>
      </c>
      <c r="S62">
        <v>1804.0</v>
      </c>
      <c r="T62">
        <v>639.0</v>
      </c>
      <c r="U62">
        <v>1710.0</v>
      </c>
      <c r="V62">
        <v>722.0</v>
      </c>
      <c r="W62">
        <v>1633.0</v>
      </c>
      <c r="X62">
        <v>749.0</v>
      </c>
      <c r="Y62">
        <v>1631.0</v>
      </c>
    </row>
    <row r="63">
      <c r="A63" s="317">
        <v>25.0</v>
      </c>
      <c r="B63">
        <v>739.0</v>
      </c>
      <c r="C63">
        <v>1707.0</v>
      </c>
      <c r="D63">
        <v>656.0</v>
      </c>
      <c r="E63">
        <v>1752.0</v>
      </c>
      <c r="F63">
        <v>604.0</v>
      </c>
      <c r="G63">
        <v>1830.0</v>
      </c>
      <c r="H63">
        <v>508.0</v>
      </c>
      <c r="I63">
        <v>1910.0</v>
      </c>
      <c r="J63">
        <v>430.0</v>
      </c>
      <c r="K63">
        <v>1946.0</v>
      </c>
      <c r="L63">
        <v>423.0</v>
      </c>
      <c r="M63">
        <v>2004.0</v>
      </c>
      <c r="N63">
        <v>447.0</v>
      </c>
      <c r="O63">
        <v>1947.0</v>
      </c>
      <c r="P63">
        <v>523.0</v>
      </c>
      <c r="Q63">
        <v>1901.0</v>
      </c>
      <c r="R63">
        <v>601.0</v>
      </c>
      <c r="S63">
        <v>1803.0</v>
      </c>
      <c r="T63">
        <v>640.0</v>
      </c>
      <c r="U63">
        <v>1708.0</v>
      </c>
      <c r="V63">
        <v>723.0</v>
      </c>
      <c r="W63">
        <v>1632.0</v>
      </c>
      <c r="X63">
        <v>749.0</v>
      </c>
      <c r="Y63">
        <v>1632.0</v>
      </c>
    </row>
    <row r="64">
      <c r="A64" s="317">
        <v>26.0</v>
      </c>
      <c r="B64">
        <v>738.0</v>
      </c>
      <c r="C64">
        <v>1708.0</v>
      </c>
      <c r="D64">
        <v>654.0</v>
      </c>
      <c r="E64">
        <v>1753.0</v>
      </c>
      <c r="F64">
        <v>602.0</v>
      </c>
      <c r="G64">
        <v>1831.0</v>
      </c>
      <c r="H64">
        <v>507.0</v>
      </c>
      <c r="I64">
        <v>1911.0</v>
      </c>
      <c r="J64">
        <v>429.0</v>
      </c>
      <c r="K64">
        <v>1947.0</v>
      </c>
      <c r="L64">
        <v>423.0</v>
      </c>
      <c r="M64">
        <v>2004.0</v>
      </c>
      <c r="N64">
        <v>448.0</v>
      </c>
      <c r="O64">
        <v>1946.0</v>
      </c>
      <c r="P64">
        <v>525.0</v>
      </c>
      <c r="Q64">
        <v>1859.0</v>
      </c>
      <c r="R64">
        <v>602.0</v>
      </c>
      <c r="S64">
        <v>1801.0</v>
      </c>
      <c r="T64">
        <v>642.0</v>
      </c>
      <c r="U64">
        <v>1707.0</v>
      </c>
      <c r="V64">
        <v>724.0</v>
      </c>
      <c r="W64">
        <v>1631.0</v>
      </c>
      <c r="X64">
        <v>750.0</v>
      </c>
      <c r="Y64">
        <v>1633.0</v>
      </c>
    </row>
    <row r="65">
      <c r="A65" s="317">
        <v>27.0</v>
      </c>
      <c r="B65">
        <v>737.0</v>
      </c>
      <c r="C65">
        <v>1710.0</v>
      </c>
      <c r="D65">
        <v>653.0</v>
      </c>
      <c r="E65">
        <v>1755.0</v>
      </c>
      <c r="F65">
        <v>601.0</v>
      </c>
      <c r="G65">
        <v>1832.0</v>
      </c>
      <c r="H65">
        <v>505.0</v>
      </c>
      <c r="I65">
        <v>1912.0</v>
      </c>
      <c r="J65">
        <v>429.0</v>
      </c>
      <c r="K65">
        <v>1947.0</v>
      </c>
      <c r="L65">
        <v>424.0</v>
      </c>
      <c r="M65">
        <v>2004.0</v>
      </c>
      <c r="N65">
        <v>449.0</v>
      </c>
      <c r="O65">
        <v>1945.0</v>
      </c>
      <c r="P65">
        <v>526.0</v>
      </c>
      <c r="Q65">
        <v>1858.0</v>
      </c>
      <c r="R65">
        <v>604.0</v>
      </c>
      <c r="S65">
        <v>1759.0</v>
      </c>
      <c r="T65">
        <v>643.0</v>
      </c>
      <c r="U65">
        <v>1705.0</v>
      </c>
      <c r="V65">
        <v>725.0</v>
      </c>
      <c r="W65">
        <v>1631.0</v>
      </c>
      <c r="X65">
        <v>750.0</v>
      </c>
      <c r="Y65">
        <v>1633.0</v>
      </c>
    </row>
    <row r="66">
      <c r="A66" s="317">
        <v>28.0</v>
      </c>
      <c r="B66">
        <v>736.0</v>
      </c>
      <c r="C66">
        <v>1711.0</v>
      </c>
      <c r="D66">
        <v>651.0</v>
      </c>
      <c r="E66">
        <v>1756.0</v>
      </c>
      <c r="F66">
        <v>559.0</v>
      </c>
      <c r="G66">
        <v>1833.0</v>
      </c>
      <c r="H66">
        <v>504.0</v>
      </c>
      <c r="I66">
        <v>1914.0</v>
      </c>
      <c r="J66">
        <v>428.0</v>
      </c>
      <c r="K66">
        <v>1948.0</v>
      </c>
      <c r="L66">
        <v>424.0</v>
      </c>
      <c r="M66">
        <v>2003.0</v>
      </c>
      <c r="N66">
        <v>450.0</v>
      </c>
      <c r="O66">
        <v>1944.0</v>
      </c>
      <c r="P66">
        <v>527.0</v>
      </c>
      <c r="Q66">
        <v>1856.0</v>
      </c>
      <c r="R66">
        <v>605.0</v>
      </c>
      <c r="S66">
        <v>1757.0</v>
      </c>
      <c r="T66">
        <v>644.0</v>
      </c>
      <c r="U66">
        <v>1704.0</v>
      </c>
      <c r="V66">
        <v>727.0</v>
      </c>
      <c r="W66">
        <v>1630.0</v>
      </c>
      <c r="X66">
        <v>750.0</v>
      </c>
      <c r="Y66">
        <v>1634.0</v>
      </c>
    </row>
    <row r="67">
      <c r="A67" s="317">
        <v>29.0</v>
      </c>
      <c r="B67">
        <v>735.0</v>
      </c>
      <c r="C67">
        <v>1713.0</v>
      </c>
      <c r="D67" t="s">
        <v>111</v>
      </c>
      <c r="E67" t="s">
        <v>111</v>
      </c>
      <c r="F67">
        <v>557.0</v>
      </c>
      <c r="G67">
        <v>1835.0</v>
      </c>
      <c r="H67">
        <v>502.0</v>
      </c>
      <c r="I67">
        <v>1915.0</v>
      </c>
      <c r="J67">
        <v>427.0</v>
      </c>
      <c r="K67">
        <v>1949.0</v>
      </c>
      <c r="L67">
        <v>425.0</v>
      </c>
      <c r="M67">
        <v>2003.0</v>
      </c>
      <c r="N67">
        <v>451.0</v>
      </c>
      <c r="O67">
        <v>1943.0</v>
      </c>
      <c r="P67">
        <v>528.0</v>
      </c>
      <c r="Q67">
        <v>1854.0</v>
      </c>
      <c r="R67">
        <v>606.0</v>
      </c>
      <c r="S67">
        <v>1755.0</v>
      </c>
      <c r="T67">
        <v>646.0</v>
      </c>
      <c r="U67">
        <v>1702.0</v>
      </c>
      <c r="V67">
        <v>728.0</v>
      </c>
      <c r="W67">
        <v>1630.0</v>
      </c>
      <c r="X67">
        <v>750.0</v>
      </c>
      <c r="Y67">
        <v>1635.0</v>
      </c>
    </row>
    <row r="68">
      <c r="A68" s="317">
        <v>30.0</v>
      </c>
      <c r="B68">
        <v>734.0</v>
      </c>
      <c r="C68">
        <v>1714.0</v>
      </c>
      <c r="D68" t="s">
        <v>111</v>
      </c>
      <c r="E68" t="s">
        <v>111</v>
      </c>
      <c r="F68">
        <v>555.0</v>
      </c>
      <c r="G68">
        <v>1836.0</v>
      </c>
      <c r="H68">
        <v>500.0</v>
      </c>
      <c r="I68">
        <v>1916.0</v>
      </c>
      <c r="J68">
        <v>427.0</v>
      </c>
      <c r="K68">
        <v>1950.0</v>
      </c>
      <c r="L68">
        <v>425.0</v>
      </c>
      <c r="M68">
        <v>2003.0</v>
      </c>
      <c r="N68">
        <v>452.0</v>
      </c>
      <c r="O68">
        <v>1941.0</v>
      </c>
      <c r="P68">
        <v>529.0</v>
      </c>
      <c r="Q68">
        <v>1852.0</v>
      </c>
      <c r="R68">
        <v>607.0</v>
      </c>
      <c r="S68">
        <v>1753.0</v>
      </c>
      <c r="T68">
        <v>647.0</v>
      </c>
      <c r="U68">
        <v>1701.0</v>
      </c>
      <c r="V68">
        <v>729.0</v>
      </c>
      <c r="W68">
        <v>1629.0</v>
      </c>
      <c r="X68">
        <v>751.0</v>
      </c>
      <c r="Y68">
        <v>1636.0</v>
      </c>
    </row>
    <row r="69">
      <c r="A69" s="317">
        <v>31.0</v>
      </c>
      <c r="B69">
        <v>733.0</v>
      </c>
      <c r="C69">
        <v>1716.0</v>
      </c>
      <c r="D69" t="s">
        <v>111</v>
      </c>
      <c r="E69" t="s">
        <v>111</v>
      </c>
      <c r="F69">
        <v>553.0</v>
      </c>
      <c r="G69">
        <v>1837.0</v>
      </c>
      <c r="H69" t="s">
        <v>111</v>
      </c>
      <c r="I69" t="s">
        <v>111</v>
      </c>
      <c r="J69">
        <v>426.0</v>
      </c>
      <c r="K69">
        <v>1951.0</v>
      </c>
      <c r="L69" t="s">
        <v>111</v>
      </c>
      <c r="M69" t="s">
        <v>111</v>
      </c>
      <c r="N69">
        <v>453.0</v>
      </c>
      <c r="O69">
        <v>1940.0</v>
      </c>
      <c r="P69">
        <v>531.0</v>
      </c>
      <c r="Q69">
        <v>1850.0</v>
      </c>
      <c r="R69" t="s">
        <v>111</v>
      </c>
      <c r="S69" t="s">
        <v>111</v>
      </c>
      <c r="T69">
        <v>649.0</v>
      </c>
      <c r="U69">
        <v>1659.0</v>
      </c>
      <c r="V69" t="s">
        <v>111</v>
      </c>
      <c r="W69" t="s">
        <v>111</v>
      </c>
      <c r="X69">
        <v>751.0</v>
      </c>
      <c r="Y69">
        <v>1637.0</v>
      </c>
    </row>
    <row r="71">
      <c r="A71" s="159"/>
    </row>
    <row r="72">
      <c r="A72" s="159"/>
    </row>
    <row r="73">
      <c r="A73" s="159" t="s">
        <v>246</v>
      </c>
    </row>
    <row r="74">
      <c r="B74" t="s">
        <v>230</v>
      </c>
      <c r="D74" t="s">
        <v>231</v>
      </c>
      <c r="F74" t="s">
        <v>232</v>
      </c>
      <c r="H74" t="s">
        <v>233</v>
      </c>
      <c r="J74" t="s">
        <v>234</v>
      </c>
      <c r="L74" t="s">
        <v>235</v>
      </c>
      <c r="N74" t="s">
        <v>236</v>
      </c>
      <c r="P74" t="s">
        <v>237</v>
      </c>
      <c r="R74" t="s">
        <v>238</v>
      </c>
      <c r="T74" t="s">
        <v>239</v>
      </c>
      <c r="V74" t="s">
        <v>240</v>
      </c>
      <c r="X74" t="s">
        <v>241</v>
      </c>
    </row>
    <row r="75">
      <c r="A75" t="s">
        <v>242</v>
      </c>
      <c r="B75" t="s">
        <v>247</v>
      </c>
      <c r="C75" t="s">
        <v>248</v>
      </c>
      <c r="D75" t="s">
        <v>247</v>
      </c>
      <c r="E75" t="s">
        <v>248</v>
      </c>
      <c r="F75" t="s">
        <v>247</v>
      </c>
      <c r="G75" t="s">
        <v>248</v>
      </c>
      <c r="H75" t="s">
        <v>247</v>
      </c>
      <c r="I75" t="s">
        <v>248</v>
      </c>
      <c r="J75" t="s">
        <v>247</v>
      </c>
      <c r="K75" t="s">
        <v>248</v>
      </c>
      <c r="L75" t="s">
        <v>247</v>
      </c>
      <c r="M75" t="s">
        <v>248</v>
      </c>
      <c r="N75" t="s">
        <v>247</v>
      </c>
      <c r="O75" t="s">
        <v>248</v>
      </c>
      <c r="P75" t="s">
        <v>247</v>
      </c>
      <c r="Q75" t="s">
        <v>248</v>
      </c>
      <c r="R75" t="s">
        <v>247</v>
      </c>
      <c r="S75" t="s">
        <v>248</v>
      </c>
      <c r="T75" t="s">
        <v>247</v>
      </c>
      <c r="U75" t="s">
        <v>248</v>
      </c>
      <c r="V75" t="s">
        <v>247</v>
      </c>
      <c r="W75" t="s">
        <v>248</v>
      </c>
      <c r="X75" t="s">
        <v>247</v>
      </c>
      <c r="Y75" t="s">
        <v>248</v>
      </c>
    </row>
    <row r="76">
      <c r="A76">
        <v>1.0</v>
      </c>
      <c r="B76">
        <v>717.0</v>
      </c>
      <c r="C76">
        <v>1712.0</v>
      </c>
      <c r="D76">
        <v>700.0</v>
      </c>
      <c r="E76">
        <v>1749.0</v>
      </c>
      <c r="F76">
        <v>619.0</v>
      </c>
      <c r="G76">
        <v>1828.0</v>
      </c>
      <c r="H76">
        <v>521.0</v>
      </c>
      <c r="I76">
        <v>1909.0</v>
      </c>
      <c r="J76">
        <v>426.0</v>
      </c>
      <c r="K76">
        <v>1951.0</v>
      </c>
      <c r="L76">
        <v>348.0</v>
      </c>
      <c r="M76">
        <v>2029.0</v>
      </c>
      <c r="N76">
        <v>348.0</v>
      </c>
      <c r="O76">
        <v>2041.0</v>
      </c>
      <c r="P76">
        <v>420.0</v>
      </c>
      <c r="Q76">
        <v>2012.0</v>
      </c>
      <c r="R76">
        <v>501.0</v>
      </c>
      <c r="S76">
        <v>1919.0</v>
      </c>
      <c r="T76">
        <v>539.0</v>
      </c>
      <c r="U76">
        <v>1820.0</v>
      </c>
      <c r="V76">
        <v>619.0</v>
      </c>
      <c r="W76">
        <v>1728.0</v>
      </c>
      <c r="X76">
        <v>657.0</v>
      </c>
      <c r="Y76">
        <v>1702.0</v>
      </c>
    </row>
    <row r="77">
      <c r="A77">
        <v>2.0</v>
      </c>
      <c r="B77">
        <v>717.0</v>
      </c>
      <c r="C77">
        <v>1713.0</v>
      </c>
      <c r="D77">
        <v>659.0</v>
      </c>
      <c r="E77">
        <v>1750.0</v>
      </c>
      <c r="F77">
        <v>617.0</v>
      </c>
      <c r="G77">
        <v>1829.0</v>
      </c>
      <c r="H77">
        <v>519.0</v>
      </c>
      <c r="I77">
        <v>1910.0</v>
      </c>
      <c r="J77">
        <v>424.0</v>
      </c>
      <c r="K77">
        <v>1952.0</v>
      </c>
      <c r="L77">
        <v>348.0</v>
      </c>
      <c r="M77">
        <v>2030.0</v>
      </c>
      <c r="N77">
        <v>349.0</v>
      </c>
      <c r="O77">
        <v>2040.0</v>
      </c>
      <c r="P77">
        <v>422.0</v>
      </c>
      <c r="Q77">
        <v>2011.0</v>
      </c>
      <c r="R77">
        <v>503.0</v>
      </c>
      <c r="S77">
        <v>1917.0</v>
      </c>
      <c r="T77">
        <v>541.0</v>
      </c>
      <c r="U77">
        <v>1818.0</v>
      </c>
      <c r="V77">
        <v>621.0</v>
      </c>
      <c r="W77">
        <v>1727.0</v>
      </c>
      <c r="X77">
        <v>658.0</v>
      </c>
      <c r="Y77">
        <v>1702.0</v>
      </c>
    </row>
    <row r="78">
      <c r="A78">
        <v>3.0</v>
      </c>
      <c r="B78">
        <v>717.0</v>
      </c>
      <c r="C78">
        <v>1714.0</v>
      </c>
      <c r="D78">
        <v>658.0</v>
      </c>
      <c r="E78">
        <v>1752.0</v>
      </c>
      <c r="F78">
        <v>615.0</v>
      </c>
      <c r="G78">
        <v>1830.0</v>
      </c>
      <c r="H78">
        <v>517.0</v>
      </c>
      <c r="I78">
        <v>1912.0</v>
      </c>
      <c r="J78">
        <v>423.0</v>
      </c>
      <c r="K78">
        <v>1953.0</v>
      </c>
      <c r="L78">
        <v>347.0</v>
      </c>
      <c r="M78">
        <v>2031.0</v>
      </c>
      <c r="N78">
        <v>349.0</v>
      </c>
      <c r="O78">
        <v>2040.0</v>
      </c>
      <c r="P78">
        <v>423.0</v>
      </c>
      <c r="Q78">
        <v>2010.0</v>
      </c>
      <c r="R78">
        <v>504.0</v>
      </c>
      <c r="S78">
        <v>1915.0</v>
      </c>
      <c r="T78">
        <v>542.0</v>
      </c>
      <c r="U78">
        <v>1816.0</v>
      </c>
      <c r="V78">
        <v>622.0</v>
      </c>
      <c r="W78">
        <v>1726.0</v>
      </c>
      <c r="X78">
        <v>659.0</v>
      </c>
      <c r="Y78">
        <v>1702.0</v>
      </c>
    </row>
    <row r="79">
      <c r="A79">
        <v>4.0</v>
      </c>
      <c r="B79">
        <v>717.0</v>
      </c>
      <c r="C79">
        <v>1715.0</v>
      </c>
      <c r="D79">
        <v>656.0</v>
      </c>
      <c r="E79">
        <v>1753.0</v>
      </c>
      <c r="F79">
        <v>614.0</v>
      </c>
      <c r="G79">
        <v>1832.0</v>
      </c>
      <c r="H79">
        <v>515.0</v>
      </c>
      <c r="I79">
        <v>1913.0</v>
      </c>
      <c r="J79">
        <v>421.0</v>
      </c>
      <c r="K79">
        <v>1955.0</v>
      </c>
      <c r="L79">
        <v>347.0</v>
      </c>
      <c r="M79">
        <v>2032.0</v>
      </c>
      <c r="N79">
        <v>350.0</v>
      </c>
      <c r="O79">
        <v>2040.0</v>
      </c>
      <c r="P79">
        <v>424.0</v>
      </c>
      <c r="Q79">
        <v>2008.0</v>
      </c>
      <c r="R79">
        <v>505.0</v>
      </c>
      <c r="S79">
        <v>1913.0</v>
      </c>
      <c r="T79">
        <v>543.0</v>
      </c>
      <c r="U79">
        <v>1814.0</v>
      </c>
      <c r="V79">
        <v>623.0</v>
      </c>
      <c r="W79">
        <v>1724.0</v>
      </c>
      <c r="X79">
        <v>700.0</v>
      </c>
      <c r="Y79">
        <v>1701.0</v>
      </c>
    </row>
    <row r="80">
      <c r="A80">
        <v>5.0</v>
      </c>
      <c r="B80">
        <v>717.0</v>
      </c>
      <c r="C80">
        <v>1716.0</v>
      </c>
      <c r="D80">
        <v>655.0</v>
      </c>
      <c r="E80">
        <v>1755.0</v>
      </c>
      <c r="F80">
        <v>612.0</v>
      </c>
      <c r="G80">
        <v>1833.0</v>
      </c>
      <c r="H80">
        <v>513.0</v>
      </c>
      <c r="I80">
        <v>1914.0</v>
      </c>
      <c r="J80">
        <v>419.0</v>
      </c>
      <c r="K80">
        <v>1956.0</v>
      </c>
      <c r="L80">
        <v>346.0</v>
      </c>
      <c r="M80">
        <v>2033.0</v>
      </c>
      <c r="N80">
        <v>351.0</v>
      </c>
      <c r="O80">
        <v>2039.0</v>
      </c>
      <c r="P80">
        <v>426.0</v>
      </c>
      <c r="Q80">
        <v>2006.0</v>
      </c>
      <c r="R80">
        <v>507.0</v>
      </c>
      <c r="S80">
        <v>1911.0</v>
      </c>
      <c r="T80">
        <v>544.0</v>
      </c>
      <c r="U80">
        <v>1813.0</v>
      </c>
      <c r="V80">
        <v>625.0</v>
      </c>
      <c r="W80">
        <v>1723.0</v>
      </c>
      <c r="X80">
        <v>701.0</v>
      </c>
      <c r="Y80">
        <v>1701.0</v>
      </c>
    </row>
    <row r="81">
      <c r="A81">
        <v>6.0</v>
      </c>
      <c r="B81">
        <v>717.0</v>
      </c>
      <c r="C81">
        <v>1717.0</v>
      </c>
      <c r="D81">
        <v>654.0</v>
      </c>
      <c r="E81">
        <v>1756.0</v>
      </c>
      <c r="F81">
        <v>610.0</v>
      </c>
      <c r="G81">
        <v>1834.0</v>
      </c>
      <c r="H81">
        <v>511.0</v>
      </c>
      <c r="I81">
        <v>1916.0</v>
      </c>
      <c r="J81">
        <v>418.0</v>
      </c>
      <c r="K81">
        <v>1957.0</v>
      </c>
      <c r="L81">
        <v>346.0</v>
      </c>
      <c r="M81">
        <v>2034.0</v>
      </c>
      <c r="N81">
        <v>352.0</v>
      </c>
      <c r="O81">
        <v>2039.0</v>
      </c>
      <c r="P81">
        <v>427.0</v>
      </c>
      <c r="Q81">
        <v>2005.0</v>
      </c>
      <c r="R81">
        <v>508.0</v>
      </c>
      <c r="S81">
        <v>1909.0</v>
      </c>
      <c r="T81">
        <v>546.0</v>
      </c>
      <c r="U81">
        <v>1811.0</v>
      </c>
      <c r="V81">
        <v>626.0</v>
      </c>
      <c r="W81">
        <v>1722.0</v>
      </c>
      <c r="X81">
        <v>702.0</v>
      </c>
      <c r="Y81">
        <v>1701.0</v>
      </c>
    </row>
    <row r="82">
      <c r="A82">
        <v>7.0</v>
      </c>
      <c r="B82">
        <v>716.0</v>
      </c>
      <c r="C82">
        <v>1718.0</v>
      </c>
      <c r="D82">
        <v>653.0</v>
      </c>
      <c r="E82">
        <v>1757.0</v>
      </c>
      <c r="F82">
        <v>608.0</v>
      </c>
      <c r="G82">
        <v>1836.0</v>
      </c>
      <c r="H82">
        <v>509.0</v>
      </c>
      <c r="I82">
        <v>1917.0</v>
      </c>
      <c r="J82">
        <v>416.0</v>
      </c>
      <c r="K82">
        <v>1959.0</v>
      </c>
      <c r="L82">
        <v>345.0</v>
      </c>
      <c r="M82">
        <v>2034.0</v>
      </c>
      <c r="N82">
        <v>352.0</v>
      </c>
      <c r="O82">
        <v>2038.0</v>
      </c>
      <c r="P82">
        <v>428.0</v>
      </c>
      <c r="Q82">
        <v>2003.0</v>
      </c>
      <c r="R82">
        <v>509.0</v>
      </c>
      <c r="S82">
        <v>1907.0</v>
      </c>
      <c r="T82">
        <v>547.0</v>
      </c>
      <c r="U82">
        <v>1809.0</v>
      </c>
      <c r="V82">
        <v>627.0</v>
      </c>
      <c r="W82">
        <v>1721.0</v>
      </c>
      <c r="X82">
        <v>703.0</v>
      </c>
      <c r="Y82">
        <v>1701.0</v>
      </c>
    </row>
    <row r="83">
      <c r="A83">
        <v>8.0</v>
      </c>
      <c r="B83">
        <v>716.0</v>
      </c>
      <c r="C83">
        <v>1719.0</v>
      </c>
      <c r="D83">
        <v>651.0</v>
      </c>
      <c r="E83">
        <v>1759.0</v>
      </c>
      <c r="F83">
        <v>606.0</v>
      </c>
      <c r="G83">
        <v>1837.0</v>
      </c>
      <c r="H83">
        <v>507.0</v>
      </c>
      <c r="I83">
        <v>1919.0</v>
      </c>
      <c r="J83">
        <v>415.0</v>
      </c>
      <c r="K83">
        <v>2000.0</v>
      </c>
      <c r="L83">
        <v>345.0</v>
      </c>
      <c r="M83">
        <v>2035.0</v>
      </c>
      <c r="N83">
        <v>353.0</v>
      </c>
      <c r="O83">
        <v>2038.0</v>
      </c>
      <c r="P83">
        <v>430.0</v>
      </c>
      <c r="Q83">
        <v>2002.0</v>
      </c>
      <c r="R83">
        <v>510.0</v>
      </c>
      <c r="S83">
        <v>1905.0</v>
      </c>
      <c r="T83">
        <v>548.0</v>
      </c>
      <c r="U83">
        <v>1807.0</v>
      </c>
      <c r="V83">
        <v>629.0</v>
      </c>
      <c r="W83">
        <v>1720.0</v>
      </c>
      <c r="X83">
        <v>704.0</v>
      </c>
      <c r="Y83">
        <v>1701.0</v>
      </c>
    </row>
    <row r="84">
      <c r="A84">
        <v>9.0</v>
      </c>
      <c r="B84">
        <v>716.0</v>
      </c>
      <c r="C84">
        <v>1720.0</v>
      </c>
      <c r="D84">
        <v>650.0</v>
      </c>
      <c r="E84">
        <v>1800.0</v>
      </c>
      <c r="F84">
        <v>605.0</v>
      </c>
      <c r="G84">
        <v>1838.0</v>
      </c>
      <c r="H84">
        <v>505.0</v>
      </c>
      <c r="I84">
        <v>1920.0</v>
      </c>
      <c r="J84">
        <v>413.0</v>
      </c>
      <c r="K84">
        <v>2002.0</v>
      </c>
      <c r="L84">
        <v>344.0</v>
      </c>
      <c r="M84">
        <v>2036.0</v>
      </c>
      <c r="N84">
        <v>354.0</v>
      </c>
      <c r="O84">
        <v>2037.0</v>
      </c>
      <c r="P84">
        <v>431.0</v>
      </c>
      <c r="Q84">
        <v>2000.0</v>
      </c>
      <c r="R84">
        <v>512.0</v>
      </c>
      <c r="S84">
        <v>1903.0</v>
      </c>
      <c r="T84">
        <v>550.0</v>
      </c>
      <c r="U84">
        <v>1805.0</v>
      </c>
      <c r="V84">
        <v>630.0</v>
      </c>
      <c r="W84">
        <v>1718.0</v>
      </c>
      <c r="X84">
        <v>705.0</v>
      </c>
      <c r="Y84">
        <v>1701.0</v>
      </c>
    </row>
    <row r="85">
      <c r="A85">
        <v>10.0</v>
      </c>
      <c r="B85">
        <v>716.0</v>
      </c>
      <c r="C85">
        <v>1721.0</v>
      </c>
      <c r="D85">
        <v>649.0</v>
      </c>
      <c r="E85">
        <v>1801.0</v>
      </c>
      <c r="F85">
        <v>603.0</v>
      </c>
      <c r="G85">
        <v>1840.0</v>
      </c>
      <c r="H85">
        <v>503.0</v>
      </c>
      <c r="I85">
        <v>1921.0</v>
      </c>
      <c r="J85">
        <v>412.0</v>
      </c>
      <c r="K85">
        <v>2003.0</v>
      </c>
      <c r="L85">
        <v>344.0</v>
      </c>
      <c r="M85">
        <v>2037.0</v>
      </c>
      <c r="N85">
        <v>355.0</v>
      </c>
      <c r="O85">
        <v>2036.0</v>
      </c>
      <c r="P85">
        <v>432.0</v>
      </c>
      <c r="Q85">
        <v>1959.0</v>
      </c>
      <c r="R85">
        <v>513.0</v>
      </c>
      <c r="S85">
        <v>1901.0</v>
      </c>
      <c r="T85">
        <v>551.0</v>
      </c>
      <c r="U85">
        <v>1803.0</v>
      </c>
      <c r="V85">
        <v>631.0</v>
      </c>
      <c r="W85">
        <v>1717.0</v>
      </c>
      <c r="X85">
        <v>706.0</v>
      </c>
      <c r="Y85">
        <v>1701.0</v>
      </c>
    </row>
    <row r="86">
      <c r="A86">
        <v>11.0</v>
      </c>
      <c r="B86">
        <v>715.0</v>
      </c>
      <c r="C86">
        <v>1722.0</v>
      </c>
      <c r="D86">
        <v>647.0</v>
      </c>
      <c r="E86">
        <v>1803.0</v>
      </c>
      <c r="F86">
        <v>601.0</v>
      </c>
      <c r="G86">
        <v>1841.0</v>
      </c>
      <c r="H86">
        <v>501.0</v>
      </c>
      <c r="I86">
        <v>1923.0</v>
      </c>
      <c r="J86">
        <v>411.0</v>
      </c>
      <c r="K86">
        <v>2004.0</v>
      </c>
      <c r="L86">
        <v>344.0</v>
      </c>
      <c r="M86">
        <v>2037.0</v>
      </c>
      <c r="N86">
        <v>356.0</v>
      </c>
      <c r="O86">
        <v>2036.0</v>
      </c>
      <c r="P86">
        <v>434.0</v>
      </c>
      <c r="Q86">
        <v>1957.0</v>
      </c>
      <c r="R86">
        <v>514.0</v>
      </c>
      <c r="S86">
        <v>1859.0</v>
      </c>
      <c r="T86">
        <v>552.0</v>
      </c>
      <c r="U86">
        <v>1802.0</v>
      </c>
      <c r="V86">
        <v>633.0</v>
      </c>
      <c r="W86">
        <v>1716.0</v>
      </c>
      <c r="X86">
        <v>707.0</v>
      </c>
      <c r="Y86">
        <v>1701.0</v>
      </c>
    </row>
    <row r="87">
      <c r="A87">
        <v>12.0</v>
      </c>
      <c r="B87">
        <v>715.0</v>
      </c>
      <c r="C87">
        <v>1723.0</v>
      </c>
      <c r="D87">
        <v>646.0</v>
      </c>
      <c r="E87">
        <v>1804.0</v>
      </c>
      <c r="F87">
        <v>559.0</v>
      </c>
      <c r="G87">
        <v>1842.0</v>
      </c>
      <c r="H87">
        <v>500.0</v>
      </c>
      <c r="I87">
        <v>1924.0</v>
      </c>
      <c r="J87">
        <v>409.0</v>
      </c>
      <c r="K87">
        <v>2006.0</v>
      </c>
      <c r="L87">
        <v>344.0</v>
      </c>
      <c r="M87">
        <v>2038.0</v>
      </c>
      <c r="N87">
        <v>357.0</v>
      </c>
      <c r="O87">
        <v>2035.0</v>
      </c>
      <c r="P87">
        <v>435.0</v>
      </c>
      <c r="Q87">
        <v>1955.0</v>
      </c>
      <c r="R87">
        <v>516.0</v>
      </c>
      <c r="S87">
        <v>1857.0</v>
      </c>
      <c r="T87">
        <v>553.0</v>
      </c>
      <c r="U87">
        <v>1800.0</v>
      </c>
      <c r="V87">
        <v>634.0</v>
      </c>
      <c r="W87">
        <v>1715.0</v>
      </c>
      <c r="X87">
        <v>708.0</v>
      </c>
      <c r="Y87">
        <v>1701.0</v>
      </c>
    </row>
    <row r="88">
      <c r="A88">
        <v>13.0</v>
      </c>
      <c r="B88">
        <v>715.0</v>
      </c>
      <c r="C88">
        <v>1725.0</v>
      </c>
      <c r="D88">
        <v>645.0</v>
      </c>
      <c r="E88">
        <v>1806.0</v>
      </c>
      <c r="F88">
        <v>557.0</v>
      </c>
      <c r="G88">
        <v>1844.0</v>
      </c>
      <c r="H88">
        <v>458.0</v>
      </c>
      <c r="I88">
        <v>1925.0</v>
      </c>
      <c r="J88">
        <v>408.0</v>
      </c>
      <c r="K88">
        <v>2007.0</v>
      </c>
      <c r="L88">
        <v>343.0</v>
      </c>
      <c r="M88">
        <v>2038.0</v>
      </c>
      <c r="N88">
        <v>358.0</v>
      </c>
      <c r="O88">
        <v>2034.0</v>
      </c>
      <c r="P88">
        <v>436.0</v>
      </c>
      <c r="Q88">
        <v>1954.0</v>
      </c>
      <c r="R88">
        <v>517.0</v>
      </c>
      <c r="S88">
        <v>1855.0</v>
      </c>
      <c r="T88">
        <v>555.0</v>
      </c>
      <c r="U88">
        <v>1758.0</v>
      </c>
      <c r="V88">
        <v>635.0</v>
      </c>
      <c r="W88">
        <v>1714.0</v>
      </c>
      <c r="X88">
        <v>708.0</v>
      </c>
      <c r="Y88">
        <v>1701.0</v>
      </c>
    </row>
    <row r="89">
      <c r="A89">
        <v>14.0</v>
      </c>
      <c r="B89">
        <v>714.0</v>
      </c>
      <c r="C89">
        <v>1726.0</v>
      </c>
      <c r="D89">
        <v>643.0</v>
      </c>
      <c r="E89">
        <v>1807.0</v>
      </c>
      <c r="F89">
        <v>555.0</v>
      </c>
      <c r="G89">
        <v>1845.0</v>
      </c>
      <c r="H89">
        <v>456.0</v>
      </c>
      <c r="I89">
        <v>1927.0</v>
      </c>
      <c r="J89">
        <v>406.0</v>
      </c>
      <c r="K89">
        <v>2008.0</v>
      </c>
      <c r="L89">
        <v>343.0</v>
      </c>
      <c r="M89">
        <v>2039.0</v>
      </c>
      <c r="N89">
        <v>359.0</v>
      </c>
      <c r="O89">
        <v>2033.0</v>
      </c>
      <c r="P89">
        <v>438.0</v>
      </c>
      <c r="Q89">
        <v>1952.0</v>
      </c>
      <c r="R89">
        <v>518.0</v>
      </c>
      <c r="S89">
        <v>1853.0</v>
      </c>
      <c r="T89">
        <v>556.0</v>
      </c>
      <c r="U89">
        <v>1756.0</v>
      </c>
      <c r="V89">
        <v>636.0</v>
      </c>
      <c r="W89">
        <v>1713.0</v>
      </c>
      <c r="X89">
        <v>709.0</v>
      </c>
      <c r="Y89">
        <v>1702.0</v>
      </c>
    </row>
    <row r="90">
      <c r="A90">
        <v>15.0</v>
      </c>
      <c r="B90">
        <v>714.0</v>
      </c>
      <c r="C90">
        <v>1727.0</v>
      </c>
      <c r="D90">
        <v>642.0</v>
      </c>
      <c r="E90">
        <v>1808.0</v>
      </c>
      <c r="F90">
        <v>553.0</v>
      </c>
      <c r="G90">
        <v>1846.0</v>
      </c>
      <c r="H90">
        <v>454.0</v>
      </c>
      <c r="I90">
        <v>1928.0</v>
      </c>
      <c r="J90">
        <v>405.0</v>
      </c>
      <c r="K90">
        <v>2010.0</v>
      </c>
      <c r="L90">
        <v>343.0</v>
      </c>
      <c r="M90">
        <v>2039.0</v>
      </c>
      <c r="N90">
        <v>400.0</v>
      </c>
      <c r="O90">
        <v>2033.0</v>
      </c>
      <c r="P90">
        <v>439.0</v>
      </c>
      <c r="Q90">
        <v>1950.0</v>
      </c>
      <c r="R90">
        <v>519.0</v>
      </c>
      <c r="S90">
        <v>1851.0</v>
      </c>
      <c r="T90">
        <v>557.0</v>
      </c>
      <c r="U90">
        <v>1755.0</v>
      </c>
      <c r="V90">
        <v>638.0</v>
      </c>
      <c r="W90">
        <v>1712.0</v>
      </c>
      <c r="X90">
        <v>710.0</v>
      </c>
      <c r="Y90">
        <v>1702.0</v>
      </c>
    </row>
    <row r="91">
      <c r="A91">
        <v>16.0</v>
      </c>
      <c r="B91">
        <v>713.0</v>
      </c>
      <c r="C91">
        <v>1728.0</v>
      </c>
      <c r="D91">
        <v>640.0</v>
      </c>
      <c r="E91">
        <v>1810.0</v>
      </c>
      <c r="F91">
        <v>552.0</v>
      </c>
      <c r="G91">
        <v>1848.0</v>
      </c>
      <c r="H91">
        <v>452.0</v>
      </c>
      <c r="I91">
        <v>1930.0</v>
      </c>
      <c r="J91">
        <v>404.0</v>
      </c>
      <c r="K91">
        <v>2011.0</v>
      </c>
      <c r="L91">
        <v>343.0</v>
      </c>
      <c r="M91">
        <v>2040.0</v>
      </c>
      <c r="N91">
        <v>401.0</v>
      </c>
      <c r="O91">
        <v>2032.0</v>
      </c>
      <c r="P91">
        <v>440.0</v>
      </c>
      <c r="Q91">
        <v>1948.0</v>
      </c>
      <c r="R91">
        <v>521.0</v>
      </c>
      <c r="S91">
        <v>1849.0</v>
      </c>
      <c r="T91">
        <v>558.0</v>
      </c>
      <c r="U91">
        <v>1753.0</v>
      </c>
      <c r="V91">
        <v>639.0</v>
      </c>
      <c r="W91">
        <v>1711.0</v>
      </c>
      <c r="X91">
        <v>710.0</v>
      </c>
      <c r="Y91">
        <v>1702.0</v>
      </c>
    </row>
    <row r="92">
      <c r="A92">
        <v>17.0</v>
      </c>
      <c r="B92">
        <v>713.0</v>
      </c>
      <c r="C92">
        <v>1729.0</v>
      </c>
      <c r="D92">
        <v>639.0</v>
      </c>
      <c r="E92">
        <v>1811.0</v>
      </c>
      <c r="F92">
        <v>550.0</v>
      </c>
      <c r="G92">
        <v>1849.0</v>
      </c>
      <c r="H92">
        <v>450.0</v>
      </c>
      <c r="I92">
        <v>1931.0</v>
      </c>
      <c r="J92">
        <v>403.0</v>
      </c>
      <c r="K92">
        <v>2012.0</v>
      </c>
      <c r="L92">
        <v>343.0</v>
      </c>
      <c r="M92">
        <v>2040.0</v>
      </c>
      <c r="N92">
        <v>402.0</v>
      </c>
      <c r="O92">
        <v>2031.0</v>
      </c>
      <c r="P92">
        <v>442.0</v>
      </c>
      <c r="Q92">
        <v>1947.0</v>
      </c>
      <c r="R92">
        <v>522.0</v>
      </c>
      <c r="S92">
        <v>1847.0</v>
      </c>
      <c r="T92">
        <v>600.0</v>
      </c>
      <c r="U92">
        <v>1751.0</v>
      </c>
      <c r="V92">
        <v>640.0</v>
      </c>
      <c r="W92">
        <v>1710.0</v>
      </c>
      <c r="X92">
        <v>711.0</v>
      </c>
      <c r="Y92">
        <v>1702.0</v>
      </c>
    </row>
    <row r="93">
      <c r="A93">
        <v>18.0</v>
      </c>
      <c r="B93">
        <v>712.0</v>
      </c>
      <c r="C93">
        <v>1731.0</v>
      </c>
      <c r="D93">
        <v>637.0</v>
      </c>
      <c r="E93">
        <v>1813.0</v>
      </c>
      <c r="F93">
        <v>548.0</v>
      </c>
      <c r="G93">
        <v>1850.0</v>
      </c>
      <c r="H93">
        <v>448.0</v>
      </c>
      <c r="I93">
        <v>1932.0</v>
      </c>
      <c r="J93">
        <v>401.0</v>
      </c>
      <c r="K93">
        <v>2013.0</v>
      </c>
      <c r="L93">
        <v>343.0</v>
      </c>
      <c r="M93">
        <v>2040.0</v>
      </c>
      <c r="N93">
        <v>403.0</v>
      </c>
      <c r="O93">
        <v>2030.0</v>
      </c>
      <c r="P93">
        <v>443.0</v>
      </c>
      <c r="Q93">
        <v>1945.0</v>
      </c>
      <c r="R93">
        <v>523.0</v>
      </c>
      <c r="S93">
        <v>1845.0</v>
      </c>
      <c r="T93">
        <v>601.0</v>
      </c>
      <c r="U93">
        <v>1750.0</v>
      </c>
      <c r="V93">
        <v>642.0</v>
      </c>
      <c r="W93">
        <v>1710.0</v>
      </c>
      <c r="X93">
        <v>712.0</v>
      </c>
      <c r="Y93">
        <v>1703.0</v>
      </c>
    </row>
    <row r="94">
      <c r="A94">
        <v>19.0</v>
      </c>
      <c r="B94">
        <v>711.0</v>
      </c>
      <c r="C94">
        <v>1732.0</v>
      </c>
      <c r="D94">
        <v>636.0</v>
      </c>
      <c r="E94">
        <v>1814.0</v>
      </c>
      <c r="F94">
        <v>546.0</v>
      </c>
      <c r="G94">
        <v>1852.0</v>
      </c>
      <c r="H94">
        <v>447.0</v>
      </c>
      <c r="I94">
        <v>1934.0</v>
      </c>
      <c r="J94">
        <v>400.0</v>
      </c>
      <c r="K94">
        <v>2015.0</v>
      </c>
      <c r="L94">
        <v>343.0</v>
      </c>
      <c r="M94">
        <v>2041.0</v>
      </c>
      <c r="N94">
        <v>404.0</v>
      </c>
      <c r="O94">
        <v>2029.0</v>
      </c>
      <c r="P94">
        <v>444.0</v>
      </c>
      <c r="Q94">
        <v>1943.0</v>
      </c>
      <c r="R94">
        <v>524.0</v>
      </c>
      <c r="S94">
        <v>1843.0</v>
      </c>
      <c r="T94">
        <v>602.0</v>
      </c>
      <c r="U94">
        <v>1748.0</v>
      </c>
      <c r="V94">
        <v>643.0</v>
      </c>
      <c r="W94">
        <v>1709.0</v>
      </c>
      <c r="X94">
        <v>712.0</v>
      </c>
      <c r="Y94">
        <v>1703.0</v>
      </c>
    </row>
    <row r="95">
      <c r="A95">
        <v>20.0</v>
      </c>
      <c r="B95">
        <v>711.0</v>
      </c>
      <c r="C95">
        <v>1733.0</v>
      </c>
      <c r="D95">
        <v>634.0</v>
      </c>
      <c r="E95">
        <v>1815.0</v>
      </c>
      <c r="F95">
        <v>544.0</v>
      </c>
      <c r="G95">
        <v>1853.0</v>
      </c>
      <c r="H95">
        <v>445.0</v>
      </c>
      <c r="I95">
        <v>1935.0</v>
      </c>
      <c r="J95">
        <v>359.0</v>
      </c>
      <c r="K95">
        <v>2016.0</v>
      </c>
      <c r="L95">
        <v>344.0</v>
      </c>
      <c r="M95">
        <v>2041.0</v>
      </c>
      <c r="N95">
        <v>406.0</v>
      </c>
      <c r="O95">
        <v>2028.0</v>
      </c>
      <c r="P95">
        <v>446.0</v>
      </c>
      <c r="Q95">
        <v>1941.0</v>
      </c>
      <c r="R95">
        <v>526.0</v>
      </c>
      <c r="S95">
        <v>1841.0</v>
      </c>
      <c r="T95">
        <v>604.0</v>
      </c>
      <c r="U95">
        <v>1746.0</v>
      </c>
      <c r="V95">
        <v>644.0</v>
      </c>
      <c r="W95">
        <v>1708.0</v>
      </c>
      <c r="X95">
        <v>713.0</v>
      </c>
      <c r="Y95">
        <v>1704.0</v>
      </c>
    </row>
    <row r="96">
      <c r="A96">
        <v>21.0</v>
      </c>
      <c r="B96">
        <v>710.0</v>
      </c>
      <c r="C96">
        <v>1734.0</v>
      </c>
      <c r="D96">
        <v>632.0</v>
      </c>
      <c r="E96">
        <v>1817.0</v>
      </c>
      <c r="F96">
        <v>542.0</v>
      </c>
      <c r="G96">
        <v>1854.0</v>
      </c>
      <c r="H96">
        <v>443.0</v>
      </c>
      <c r="I96">
        <v>1937.0</v>
      </c>
      <c r="J96">
        <v>358.0</v>
      </c>
      <c r="K96">
        <v>2017.0</v>
      </c>
      <c r="L96">
        <v>344.0</v>
      </c>
      <c r="M96">
        <v>2041.0</v>
      </c>
      <c r="N96">
        <v>407.0</v>
      </c>
      <c r="O96">
        <v>2027.0</v>
      </c>
      <c r="P96">
        <v>447.0</v>
      </c>
      <c r="Q96">
        <v>1939.0</v>
      </c>
      <c r="R96">
        <v>527.0</v>
      </c>
      <c r="S96">
        <v>1839.0</v>
      </c>
      <c r="T96">
        <v>605.0</v>
      </c>
      <c r="U96">
        <v>1745.0</v>
      </c>
      <c r="V96">
        <v>645.0</v>
      </c>
      <c r="W96">
        <v>1707.0</v>
      </c>
      <c r="X96">
        <v>713.0</v>
      </c>
      <c r="Y96">
        <v>1704.0</v>
      </c>
    </row>
    <row r="97">
      <c r="A97">
        <v>22.0</v>
      </c>
      <c r="B97">
        <v>709.0</v>
      </c>
      <c r="C97">
        <v>1736.0</v>
      </c>
      <c r="D97">
        <v>631.0</v>
      </c>
      <c r="E97">
        <v>1818.0</v>
      </c>
      <c r="F97">
        <v>540.0</v>
      </c>
      <c r="G97">
        <v>1856.0</v>
      </c>
      <c r="H97">
        <v>441.0</v>
      </c>
      <c r="I97">
        <v>1938.0</v>
      </c>
      <c r="J97">
        <v>357.0</v>
      </c>
      <c r="K97">
        <v>2018.0</v>
      </c>
      <c r="L97">
        <v>344.0</v>
      </c>
      <c r="M97">
        <v>2041.0</v>
      </c>
      <c r="N97">
        <v>408.0</v>
      </c>
      <c r="O97">
        <v>2025.0</v>
      </c>
      <c r="P97">
        <v>448.0</v>
      </c>
      <c r="Q97">
        <v>1938.0</v>
      </c>
      <c r="R97">
        <v>528.0</v>
      </c>
      <c r="S97">
        <v>1837.0</v>
      </c>
      <c r="T97">
        <v>606.0</v>
      </c>
      <c r="U97">
        <v>1743.0</v>
      </c>
      <c r="V97">
        <v>647.0</v>
      </c>
      <c r="W97">
        <v>1707.0</v>
      </c>
      <c r="X97">
        <v>714.0</v>
      </c>
      <c r="Y97">
        <v>1705.0</v>
      </c>
    </row>
    <row r="98">
      <c r="A98">
        <v>23.0</v>
      </c>
      <c r="B98">
        <v>709.0</v>
      </c>
      <c r="C98">
        <v>1737.0</v>
      </c>
      <c r="D98">
        <v>629.0</v>
      </c>
      <c r="E98">
        <v>1819.0</v>
      </c>
      <c r="F98">
        <v>538.0</v>
      </c>
      <c r="G98">
        <v>1857.0</v>
      </c>
      <c r="H98">
        <v>439.0</v>
      </c>
      <c r="I98">
        <v>1939.0</v>
      </c>
      <c r="J98">
        <v>356.0</v>
      </c>
      <c r="K98">
        <v>2020.0</v>
      </c>
      <c r="L98">
        <v>344.0</v>
      </c>
      <c r="M98">
        <v>2041.0</v>
      </c>
      <c r="N98">
        <v>409.0</v>
      </c>
      <c r="O98">
        <v>2024.0</v>
      </c>
      <c r="P98">
        <v>450.0</v>
      </c>
      <c r="Q98">
        <v>1936.0</v>
      </c>
      <c r="R98">
        <v>529.0</v>
      </c>
      <c r="S98">
        <v>1835.0</v>
      </c>
      <c r="T98">
        <v>608.0</v>
      </c>
      <c r="U98">
        <v>1742.0</v>
      </c>
      <c r="V98">
        <v>648.0</v>
      </c>
      <c r="W98">
        <v>1706.0</v>
      </c>
      <c r="X98">
        <v>714.0</v>
      </c>
      <c r="Y98">
        <v>1705.0</v>
      </c>
    </row>
    <row r="99">
      <c r="A99">
        <v>24.0</v>
      </c>
      <c r="B99">
        <v>708.0</v>
      </c>
      <c r="C99">
        <v>1738.0</v>
      </c>
      <c r="D99">
        <v>628.0</v>
      </c>
      <c r="E99">
        <v>1821.0</v>
      </c>
      <c r="F99">
        <v>536.0</v>
      </c>
      <c r="G99">
        <v>1858.0</v>
      </c>
      <c r="H99">
        <v>438.0</v>
      </c>
      <c r="I99">
        <v>1941.0</v>
      </c>
      <c r="J99">
        <v>355.0</v>
      </c>
      <c r="K99">
        <v>2021.0</v>
      </c>
      <c r="L99">
        <v>345.0</v>
      </c>
      <c r="M99">
        <v>2042.0</v>
      </c>
      <c r="N99">
        <v>410.0</v>
      </c>
      <c r="O99">
        <v>2023.0</v>
      </c>
      <c r="P99">
        <v>451.0</v>
      </c>
      <c r="Q99">
        <v>1934.0</v>
      </c>
      <c r="R99">
        <v>531.0</v>
      </c>
      <c r="S99">
        <v>1833.0</v>
      </c>
      <c r="T99">
        <v>609.0</v>
      </c>
      <c r="U99">
        <v>1740.0</v>
      </c>
      <c r="V99">
        <v>649.0</v>
      </c>
      <c r="W99">
        <v>1705.0</v>
      </c>
      <c r="X99">
        <v>715.0</v>
      </c>
      <c r="Y99">
        <v>1706.0</v>
      </c>
    </row>
    <row r="100">
      <c r="A100">
        <v>25.0</v>
      </c>
      <c r="B100">
        <v>707.0</v>
      </c>
      <c r="C100">
        <v>1740.0</v>
      </c>
      <c r="D100">
        <v>626.0</v>
      </c>
      <c r="E100">
        <v>1822.0</v>
      </c>
      <c r="F100">
        <v>534.0</v>
      </c>
      <c r="G100">
        <v>1900.0</v>
      </c>
      <c r="H100">
        <v>436.0</v>
      </c>
      <c r="I100">
        <v>1942.0</v>
      </c>
      <c r="J100">
        <v>354.0</v>
      </c>
      <c r="K100">
        <v>2022.0</v>
      </c>
      <c r="L100">
        <v>345.0</v>
      </c>
      <c r="M100">
        <v>2042.0</v>
      </c>
      <c r="N100">
        <v>412.0</v>
      </c>
      <c r="O100">
        <v>2022.0</v>
      </c>
      <c r="P100">
        <v>452.0</v>
      </c>
      <c r="Q100">
        <v>1932.0</v>
      </c>
      <c r="R100">
        <v>532.0</v>
      </c>
      <c r="S100">
        <v>1832.0</v>
      </c>
      <c r="T100">
        <v>610.0</v>
      </c>
      <c r="U100">
        <v>1738.0</v>
      </c>
      <c r="V100">
        <v>650.0</v>
      </c>
      <c r="W100">
        <v>1705.0</v>
      </c>
      <c r="X100">
        <v>715.0</v>
      </c>
      <c r="Y100">
        <v>1706.0</v>
      </c>
    </row>
    <row r="101">
      <c r="A101">
        <v>26.0</v>
      </c>
      <c r="B101">
        <v>706.0</v>
      </c>
      <c r="C101">
        <v>1741.0</v>
      </c>
      <c r="D101">
        <v>624.0</v>
      </c>
      <c r="E101">
        <v>1823.0</v>
      </c>
      <c r="F101">
        <v>532.0</v>
      </c>
      <c r="G101">
        <v>1901.0</v>
      </c>
      <c r="H101">
        <v>434.0</v>
      </c>
      <c r="I101">
        <v>1944.0</v>
      </c>
      <c r="J101">
        <v>353.0</v>
      </c>
      <c r="K101">
        <v>2023.0</v>
      </c>
      <c r="L101">
        <v>345.0</v>
      </c>
      <c r="M101">
        <v>2042.0</v>
      </c>
      <c r="N101">
        <v>413.0</v>
      </c>
      <c r="O101">
        <v>2021.0</v>
      </c>
      <c r="P101">
        <v>454.0</v>
      </c>
      <c r="Q101">
        <v>1930.0</v>
      </c>
      <c r="R101">
        <v>533.0</v>
      </c>
      <c r="S101">
        <v>1830.0</v>
      </c>
      <c r="T101">
        <v>611.0</v>
      </c>
      <c r="U101">
        <v>1737.0</v>
      </c>
      <c r="V101">
        <v>651.0</v>
      </c>
      <c r="W101">
        <v>1704.0</v>
      </c>
      <c r="X101">
        <v>716.0</v>
      </c>
      <c r="Y101">
        <v>1707.0</v>
      </c>
    </row>
    <row r="102">
      <c r="A102">
        <v>27.0</v>
      </c>
      <c r="B102">
        <v>705.0</v>
      </c>
      <c r="C102">
        <v>1742.0</v>
      </c>
      <c r="D102">
        <v>622.0</v>
      </c>
      <c r="E102">
        <v>1825.0</v>
      </c>
      <c r="F102">
        <v>530.0</v>
      </c>
      <c r="G102">
        <v>1902.0</v>
      </c>
      <c r="H102">
        <v>432.0</v>
      </c>
      <c r="I102">
        <v>1945.0</v>
      </c>
      <c r="J102">
        <v>352.0</v>
      </c>
      <c r="K102">
        <v>2024.0</v>
      </c>
      <c r="L102">
        <v>346.0</v>
      </c>
      <c r="M102">
        <v>2041.0</v>
      </c>
      <c r="N102">
        <v>414.0</v>
      </c>
      <c r="O102">
        <v>2019.0</v>
      </c>
      <c r="P102">
        <v>455.0</v>
      </c>
      <c r="Q102">
        <v>1928.0</v>
      </c>
      <c r="R102">
        <v>534.0</v>
      </c>
      <c r="S102">
        <v>1828.0</v>
      </c>
      <c r="T102">
        <v>613.0</v>
      </c>
      <c r="U102">
        <v>1735.0</v>
      </c>
      <c r="V102">
        <v>653.0</v>
      </c>
      <c r="W102">
        <v>1704.0</v>
      </c>
      <c r="X102">
        <v>716.0</v>
      </c>
      <c r="Y102">
        <v>1708.0</v>
      </c>
    </row>
    <row r="103">
      <c r="A103">
        <v>28.0</v>
      </c>
      <c r="B103">
        <v>704.0</v>
      </c>
      <c r="C103">
        <v>1744.0</v>
      </c>
      <c r="D103">
        <v>621.0</v>
      </c>
      <c r="E103">
        <v>1826.0</v>
      </c>
      <c r="F103">
        <v>528.0</v>
      </c>
      <c r="G103">
        <v>1904.0</v>
      </c>
      <c r="H103">
        <v>431.0</v>
      </c>
      <c r="I103">
        <v>1946.0</v>
      </c>
      <c r="J103">
        <v>351.0</v>
      </c>
      <c r="K103">
        <v>2025.0</v>
      </c>
      <c r="L103">
        <v>346.0</v>
      </c>
      <c r="M103">
        <v>2041.0</v>
      </c>
      <c r="N103">
        <v>415.0</v>
      </c>
      <c r="O103">
        <v>2018.0</v>
      </c>
      <c r="P103">
        <v>456.0</v>
      </c>
      <c r="Q103">
        <v>1926.0</v>
      </c>
      <c r="R103">
        <v>536.0</v>
      </c>
      <c r="S103">
        <v>1826.0</v>
      </c>
      <c r="T103">
        <v>614.0</v>
      </c>
      <c r="U103">
        <v>1734.0</v>
      </c>
      <c r="V103">
        <v>654.0</v>
      </c>
      <c r="W103">
        <v>1703.0</v>
      </c>
      <c r="X103">
        <v>716.0</v>
      </c>
      <c r="Y103">
        <v>1709.0</v>
      </c>
    </row>
    <row r="104">
      <c r="A104">
        <v>29.0</v>
      </c>
      <c r="B104">
        <v>703.0</v>
      </c>
      <c r="C104">
        <v>1745.0</v>
      </c>
      <c r="F104">
        <v>526.0</v>
      </c>
      <c r="G104">
        <v>1905.0</v>
      </c>
      <c r="H104">
        <v>429.0</v>
      </c>
      <c r="I104">
        <v>1948.0</v>
      </c>
      <c r="J104">
        <v>351.0</v>
      </c>
      <c r="K104">
        <v>2026.0</v>
      </c>
      <c r="L104">
        <v>347.0</v>
      </c>
      <c r="M104">
        <v>2041.0</v>
      </c>
      <c r="N104">
        <v>417.0</v>
      </c>
      <c r="O104">
        <v>2017.0</v>
      </c>
      <c r="P104">
        <v>458.0</v>
      </c>
      <c r="Q104">
        <v>1924.0</v>
      </c>
      <c r="R104">
        <v>537.0</v>
      </c>
      <c r="S104">
        <v>1824.0</v>
      </c>
      <c r="T104">
        <v>615.0</v>
      </c>
      <c r="U104">
        <v>1733.0</v>
      </c>
      <c r="V104">
        <v>655.0</v>
      </c>
      <c r="W104">
        <v>1703.0</v>
      </c>
      <c r="X104">
        <v>716.0</v>
      </c>
      <c r="Y104">
        <v>1709.0</v>
      </c>
    </row>
    <row r="105">
      <c r="A105">
        <v>30.0</v>
      </c>
      <c r="B105">
        <v>702.0</v>
      </c>
      <c r="C105">
        <v>1746.0</v>
      </c>
      <c r="F105">
        <v>525.0</v>
      </c>
      <c r="G105">
        <v>1906.0</v>
      </c>
      <c r="H105">
        <v>427.0</v>
      </c>
      <c r="I105">
        <v>1949.0</v>
      </c>
      <c r="J105">
        <v>350.0</v>
      </c>
      <c r="K105">
        <v>2027.0</v>
      </c>
      <c r="L105">
        <v>347.0</v>
      </c>
      <c r="M105">
        <v>2041.0</v>
      </c>
      <c r="N105">
        <v>418.0</v>
      </c>
      <c r="O105">
        <v>2015.0</v>
      </c>
      <c r="P105">
        <v>459.0</v>
      </c>
      <c r="Q105">
        <v>1922.0</v>
      </c>
      <c r="R105">
        <v>538.0</v>
      </c>
      <c r="S105">
        <v>1822.0</v>
      </c>
      <c r="T105">
        <v>617.0</v>
      </c>
      <c r="U105">
        <v>1731.0</v>
      </c>
      <c r="V105">
        <v>656.0</v>
      </c>
      <c r="W105">
        <v>1703.0</v>
      </c>
      <c r="X105">
        <v>716.0</v>
      </c>
      <c r="Y105">
        <v>1710.0</v>
      </c>
    </row>
    <row r="106">
      <c r="A106">
        <v>31.0</v>
      </c>
      <c r="B106">
        <v>701.0</v>
      </c>
      <c r="C106">
        <v>1748.0</v>
      </c>
      <c r="F106">
        <v>523.0</v>
      </c>
      <c r="G106">
        <v>1908.0</v>
      </c>
      <c r="J106">
        <v>349.0</v>
      </c>
      <c r="K106">
        <v>2028.0</v>
      </c>
      <c r="N106">
        <v>419.0</v>
      </c>
      <c r="O106">
        <v>2014.0</v>
      </c>
      <c r="P106">
        <v>500.0</v>
      </c>
      <c r="Q106">
        <v>1920.0</v>
      </c>
      <c r="T106">
        <v>618.0</v>
      </c>
      <c r="U106">
        <v>1730.0</v>
      </c>
      <c r="X106">
        <v>717.0</v>
      </c>
      <c r="Y106">
        <v>1711.0</v>
      </c>
    </row>
    <row r="108">
      <c r="A108" s="159" t="s">
        <v>249</v>
      </c>
    </row>
    <row r="109">
      <c r="B109" t="s">
        <v>230</v>
      </c>
      <c r="D109" t="s">
        <v>231</v>
      </c>
      <c r="F109" t="s">
        <v>232</v>
      </c>
      <c r="H109" t="s">
        <v>233</v>
      </c>
      <c r="J109" t="s">
        <v>234</v>
      </c>
      <c r="L109" t="s">
        <v>235</v>
      </c>
      <c r="N109" t="s">
        <v>236</v>
      </c>
      <c r="P109" t="s">
        <v>237</v>
      </c>
      <c r="R109" t="s">
        <v>238</v>
      </c>
      <c r="T109" t="s">
        <v>239</v>
      </c>
      <c r="V109" t="s">
        <v>240</v>
      </c>
      <c r="X109" t="s">
        <v>241</v>
      </c>
    </row>
    <row r="110">
      <c r="A110" t="s">
        <v>242</v>
      </c>
      <c r="B110" t="s">
        <v>247</v>
      </c>
      <c r="C110" t="s">
        <v>248</v>
      </c>
      <c r="D110" t="s">
        <v>247</v>
      </c>
      <c r="E110" t="s">
        <v>248</v>
      </c>
      <c r="F110" t="s">
        <v>247</v>
      </c>
      <c r="G110" t="s">
        <v>248</v>
      </c>
      <c r="H110" t="s">
        <v>247</v>
      </c>
      <c r="I110" t="s">
        <v>248</v>
      </c>
      <c r="J110" t="s">
        <v>247</v>
      </c>
      <c r="K110" t="s">
        <v>248</v>
      </c>
      <c r="L110" t="s">
        <v>247</v>
      </c>
      <c r="M110" t="s">
        <v>248</v>
      </c>
      <c r="N110" t="s">
        <v>247</v>
      </c>
      <c r="O110" t="s">
        <v>248</v>
      </c>
      <c r="P110" t="s">
        <v>247</v>
      </c>
      <c r="Q110" t="s">
        <v>248</v>
      </c>
      <c r="R110" t="s">
        <v>247</v>
      </c>
      <c r="S110" t="s">
        <v>248</v>
      </c>
      <c r="T110" t="s">
        <v>247</v>
      </c>
      <c r="U110" t="s">
        <v>248</v>
      </c>
      <c r="V110" t="s">
        <v>247</v>
      </c>
      <c r="W110" t="s">
        <v>248</v>
      </c>
      <c r="X110" t="s">
        <v>247</v>
      </c>
      <c r="Y110" t="s">
        <v>248</v>
      </c>
    </row>
    <row r="111">
      <c r="A111" s="317">
        <v>1.0</v>
      </c>
      <c r="B111">
        <v>717.0</v>
      </c>
      <c r="C111">
        <v>1712.0</v>
      </c>
      <c r="D111">
        <v>700.0</v>
      </c>
      <c r="E111">
        <v>1749.0</v>
      </c>
      <c r="F111">
        <v>619.0</v>
      </c>
      <c r="G111">
        <v>1827.0</v>
      </c>
      <c r="H111">
        <v>521.0</v>
      </c>
      <c r="I111">
        <v>1909.0</v>
      </c>
      <c r="J111">
        <v>426.0</v>
      </c>
      <c r="K111">
        <v>1950.0</v>
      </c>
      <c r="L111">
        <v>348.0</v>
      </c>
      <c r="M111">
        <v>2029.0</v>
      </c>
      <c r="N111">
        <v>348.0</v>
      </c>
      <c r="O111">
        <v>2041.0</v>
      </c>
      <c r="P111">
        <v>420.0</v>
      </c>
      <c r="Q111">
        <v>2013.0</v>
      </c>
      <c r="R111">
        <v>501.0</v>
      </c>
      <c r="S111">
        <v>1919.0</v>
      </c>
      <c r="T111">
        <v>539.0</v>
      </c>
      <c r="U111">
        <v>1821.0</v>
      </c>
      <c r="V111">
        <v>619.0</v>
      </c>
      <c r="W111">
        <v>1729.0</v>
      </c>
      <c r="X111">
        <v>657.0</v>
      </c>
      <c r="Y111">
        <v>1702.0</v>
      </c>
    </row>
    <row r="112">
      <c r="A112" s="317">
        <v>2.0</v>
      </c>
      <c r="B112">
        <v>717.0</v>
      </c>
      <c r="C112">
        <v>1713.0</v>
      </c>
      <c r="D112">
        <v>659.0</v>
      </c>
      <c r="E112">
        <v>1750.0</v>
      </c>
      <c r="F112">
        <v>618.0</v>
      </c>
      <c r="G112">
        <v>1829.0</v>
      </c>
      <c r="H112">
        <v>519.0</v>
      </c>
      <c r="I112">
        <v>1910.0</v>
      </c>
      <c r="J112">
        <v>425.0</v>
      </c>
      <c r="K112">
        <v>1952.0</v>
      </c>
      <c r="L112">
        <v>348.0</v>
      </c>
      <c r="M112">
        <v>2030.0</v>
      </c>
      <c r="N112">
        <v>349.0</v>
      </c>
      <c r="O112">
        <v>2041.0</v>
      </c>
      <c r="P112">
        <v>421.0</v>
      </c>
      <c r="Q112">
        <v>2011.0</v>
      </c>
      <c r="R112">
        <v>502.0</v>
      </c>
      <c r="S112">
        <v>1917.0</v>
      </c>
      <c r="T112">
        <v>540.0</v>
      </c>
      <c r="U112">
        <v>1819.0</v>
      </c>
      <c r="V112">
        <v>620.0</v>
      </c>
      <c r="W112">
        <v>1727.0</v>
      </c>
      <c r="X112">
        <v>658.0</v>
      </c>
      <c r="Y112">
        <v>1702.0</v>
      </c>
    </row>
    <row r="113">
      <c r="A113" s="317">
        <v>3.0</v>
      </c>
      <c r="B113">
        <v>717.0</v>
      </c>
      <c r="C113">
        <v>1714.0</v>
      </c>
      <c r="D113">
        <v>658.0</v>
      </c>
      <c r="E113">
        <v>1752.0</v>
      </c>
      <c r="F113">
        <v>616.0</v>
      </c>
      <c r="G113">
        <v>1830.0</v>
      </c>
      <c r="H113">
        <v>517.0</v>
      </c>
      <c r="I113">
        <v>1911.0</v>
      </c>
      <c r="J113">
        <v>423.0</v>
      </c>
      <c r="K113">
        <v>1953.0</v>
      </c>
      <c r="L113">
        <v>347.0</v>
      </c>
      <c r="M113">
        <v>2031.0</v>
      </c>
      <c r="N113">
        <v>349.0</v>
      </c>
      <c r="O113">
        <v>2040.0</v>
      </c>
      <c r="P113">
        <v>423.0</v>
      </c>
      <c r="Q113">
        <v>2010.0</v>
      </c>
      <c r="R113">
        <v>504.0</v>
      </c>
      <c r="S113">
        <v>1915.0</v>
      </c>
      <c r="T113">
        <v>542.0</v>
      </c>
      <c r="U113">
        <v>1817.0</v>
      </c>
      <c r="V113">
        <v>622.0</v>
      </c>
      <c r="W113">
        <v>1726.0</v>
      </c>
      <c r="X113">
        <v>659.0</v>
      </c>
      <c r="Y113">
        <v>1702.0</v>
      </c>
    </row>
    <row r="114">
      <c r="A114" s="317">
        <v>4.0</v>
      </c>
      <c r="B114">
        <v>717.0</v>
      </c>
      <c r="C114">
        <v>1715.0</v>
      </c>
      <c r="D114">
        <v>657.0</v>
      </c>
      <c r="E114">
        <v>1753.0</v>
      </c>
      <c r="F114">
        <v>614.0</v>
      </c>
      <c r="G114">
        <v>1831.0</v>
      </c>
      <c r="H114">
        <v>515.0</v>
      </c>
      <c r="I114">
        <v>1913.0</v>
      </c>
      <c r="J114">
        <v>421.0</v>
      </c>
      <c r="K114">
        <v>1954.0</v>
      </c>
      <c r="L114">
        <v>347.0</v>
      </c>
      <c r="M114">
        <v>2032.0</v>
      </c>
      <c r="N114">
        <v>350.0</v>
      </c>
      <c r="O114">
        <v>2040.0</v>
      </c>
      <c r="P114">
        <v>424.0</v>
      </c>
      <c r="Q114">
        <v>2008.0</v>
      </c>
      <c r="R114">
        <v>505.0</v>
      </c>
      <c r="S114">
        <v>1913.0</v>
      </c>
      <c r="T114">
        <v>543.0</v>
      </c>
      <c r="U114">
        <v>1815.0</v>
      </c>
      <c r="V114">
        <v>623.0</v>
      </c>
      <c r="W114">
        <v>1725.0</v>
      </c>
      <c r="X114">
        <v>700.0</v>
      </c>
      <c r="Y114">
        <v>1701.0</v>
      </c>
    </row>
    <row r="115">
      <c r="A115" s="317">
        <v>5.0</v>
      </c>
      <c r="B115">
        <v>717.0</v>
      </c>
      <c r="C115">
        <v>1716.0</v>
      </c>
      <c r="D115">
        <v>656.0</v>
      </c>
      <c r="E115">
        <v>1754.0</v>
      </c>
      <c r="F115">
        <v>612.0</v>
      </c>
      <c r="G115">
        <v>1833.0</v>
      </c>
      <c r="H115">
        <v>513.0</v>
      </c>
      <c r="I115">
        <v>1914.0</v>
      </c>
      <c r="J115">
        <v>420.0</v>
      </c>
      <c r="K115">
        <v>1956.0</v>
      </c>
      <c r="L115">
        <v>346.0</v>
      </c>
      <c r="M115">
        <v>2033.0</v>
      </c>
      <c r="N115">
        <v>351.0</v>
      </c>
      <c r="O115">
        <v>2039.0</v>
      </c>
      <c r="P115">
        <v>425.0</v>
      </c>
      <c r="Q115">
        <v>2007.0</v>
      </c>
      <c r="R115">
        <v>506.0</v>
      </c>
      <c r="S115">
        <v>1911.0</v>
      </c>
      <c r="T115">
        <v>544.0</v>
      </c>
      <c r="U115">
        <v>1813.0</v>
      </c>
      <c r="V115">
        <v>624.0</v>
      </c>
      <c r="W115">
        <v>1723.0</v>
      </c>
      <c r="X115">
        <v>701.0</v>
      </c>
      <c r="Y115">
        <v>1701.0</v>
      </c>
    </row>
    <row r="116">
      <c r="A116" s="317">
        <v>6.0</v>
      </c>
      <c r="B116">
        <v>717.0</v>
      </c>
      <c r="C116">
        <v>1717.0</v>
      </c>
      <c r="D116">
        <v>654.0</v>
      </c>
      <c r="E116">
        <v>1756.0</v>
      </c>
      <c r="F116">
        <v>611.0</v>
      </c>
      <c r="G116">
        <v>1834.0</v>
      </c>
      <c r="H116">
        <v>511.0</v>
      </c>
      <c r="I116">
        <v>1915.0</v>
      </c>
      <c r="J116">
        <v>418.0</v>
      </c>
      <c r="K116">
        <v>1957.0</v>
      </c>
      <c r="L116">
        <v>346.0</v>
      </c>
      <c r="M116">
        <v>2033.0</v>
      </c>
      <c r="N116">
        <v>352.0</v>
      </c>
      <c r="O116">
        <v>2039.0</v>
      </c>
      <c r="P116">
        <v>427.0</v>
      </c>
      <c r="Q116">
        <v>2005.0</v>
      </c>
      <c r="R116">
        <v>508.0</v>
      </c>
      <c r="S116">
        <v>1909.0</v>
      </c>
      <c r="T116">
        <v>545.0</v>
      </c>
      <c r="U116">
        <v>1811.0</v>
      </c>
      <c r="V116">
        <v>626.0</v>
      </c>
      <c r="W116">
        <v>1722.0</v>
      </c>
      <c r="X116">
        <v>702.0</v>
      </c>
      <c r="Y116">
        <v>1701.0</v>
      </c>
    </row>
    <row r="117">
      <c r="A117" s="317">
        <v>7.0</v>
      </c>
      <c r="B117">
        <v>716.0</v>
      </c>
      <c r="C117">
        <v>1718.0</v>
      </c>
      <c r="D117">
        <v>653.0</v>
      </c>
      <c r="E117">
        <v>1757.0</v>
      </c>
      <c r="F117">
        <v>609.0</v>
      </c>
      <c r="G117">
        <v>1835.0</v>
      </c>
      <c r="H117">
        <v>510.0</v>
      </c>
      <c r="I117">
        <v>1917.0</v>
      </c>
      <c r="J117">
        <v>417.0</v>
      </c>
      <c r="K117">
        <v>1959.0</v>
      </c>
      <c r="L117">
        <v>345.0</v>
      </c>
      <c r="M117">
        <v>2034.0</v>
      </c>
      <c r="N117">
        <v>352.0</v>
      </c>
      <c r="O117">
        <v>2038.0</v>
      </c>
      <c r="P117">
        <v>428.0</v>
      </c>
      <c r="Q117">
        <v>2004.0</v>
      </c>
      <c r="R117">
        <v>509.0</v>
      </c>
      <c r="S117">
        <v>1907.0</v>
      </c>
      <c r="T117">
        <v>547.0</v>
      </c>
      <c r="U117">
        <v>1809.0</v>
      </c>
      <c r="V117">
        <v>627.0</v>
      </c>
      <c r="W117">
        <v>1721.0</v>
      </c>
      <c r="X117">
        <v>703.0</v>
      </c>
      <c r="Y117">
        <v>1701.0</v>
      </c>
    </row>
    <row r="118">
      <c r="A118" s="317">
        <v>8.0</v>
      </c>
      <c r="B118">
        <v>716.0</v>
      </c>
      <c r="C118">
        <v>1719.0</v>
      </c>
      <c r="D118">
        <v>652.0</v>
      </c>
      <c r="E118">
        <v>1758.0</v>
      </c>
      <c r="F118">
        <v>607.0</v>
      </c>
      <c r="G118">
        <v>1837.0</v>
      </c>
      <c r="H118">
        <v>508.0</v>
      </c>
      <c r="I118">
        <v>1918.0</v>
      </c>
      <c r="J118">
        <v>415.0</v>
      </c>
      <c r="K118">
        <v>2000.0</v>
      </c>
      <c r="L118">
        <v>345.0</v>
      </c>
      <c r="M118">
        <v>2035.0</v>
      </c>
      <c r="N118">
        <v>353.0</v>
      </c>
      <c r="O118">
        <v>2038.0</v>
      </c>
      <c r="P118">
        <v>429.0</v>
      </c>
      <c r="Q118">
        <v>2002.0</v>
      </c>
      <c r="R118">
        <v>510.0</v>
      </c>
      <c r="S118">
        <v>1905.0</v>
      </c>
      <c r="T118">
        <v>548.0</v>
      </c>
      <c r="U118">
        <v>1807.0</v>
      </c>
      <c r="V118">
        <v>628.0</v>
      </c>
      <c r="W118">
        <v>1720.0</v>
      </c>
      <c r="X118">
        <v>704.0</v>
      </c>
      <c r="Y118">
        <v>1701.0</v>
      </c>
    </row>
    <row r="119">
      <c r="A119" s="317">
        <v>9.0</v>
      </c>
      <c r="B119">
        <v>716.0</v>
      </c>
      <c r="C119">
        <v>1720.0</v>
      </c>
      <c r="D119">
        <v>650.0</v>
      </c>
      <c r="E119">
        <v>1800.0</v>
      </c>
      <c r="F119">
        <v>605.0</v>
      </c>
      <c r="G119">
        <v>1838.0</v>
      </c>
      <c r="H119">
        <v>506.0</v>
      </c>
      <c r="I119">
        <v>1920.0</v>
      </c>
      <c r="J119">
        <v>414.0</v>
      </c>
      <c r="K119">
        <v>2001.0</v>
      </c>
      <c r="L119">
        <v>344.0</v>
      </c>
      <c r="M119">
        <v>2036.0</v>
      </c>
      <c r="N119">
        <v>354.0</v>
      </c>
      <c r="O119">
        <v>2037.0</v>
      </c>
      <c r="P119">
        <v>431.0</v>
      </c>
      <c r="Q119">
        <v>2001.0</v>
      </c>
      <c r="R119">
        <v>511.0</v>
      </c>
      <c r="S119">
        <v>1903.0</v>
      </c>
      <c r="T119">
        <v>549.0</v>
      </c>
      <c r="U119">
        <v>1806.0</v>
      </c>
      <c r="V119">
        <v>630.0</v>
      </c>
      <c r="W119">
        <v>1719.0</v>
      </c>
      <c r="X119">
        <v>705.0</v>
      </c>
      <c r="Y119">
        <v>1701.0</v>
      </c>
    </row>
    <row r="120">
      <c r="A120" s="317">
        <v>10.0</v>
      </c>
      <c r="B120">
        <v>716.0</v>
      </c>
      <c r="C120">
        <v>1721.0</v>
      </c>
      <c r="D120">
        <v>649.0</v>
      </c>
      <c r="E120">
        <v>1801.0</v>
      </c>
      <c r="F120">
        <v>603.0</v>
      </c>
      <c r="G120">
        <v>1839.0</v>
      </c>
      <c r="H120">
        <v>504.0</v>
      </c>
      <c r="I120">
        <v>1921.0</v>
      </c>
      <c r="J120">
        <v>412.0</v>
      </c>
      <c r="K120">
        <v>2003.0</v>
      </c>
      <c r="L120">
        <v>344.0</v>
      </c>
      <c r="M120">
        <v>2036.0</v>
      </c>
      <c r="N120">
        <v>355.0</v>
      </c>
      <c r="O120">
        <v>2037.0</v>
      </c>
      <c r="P120">
        <v>432.0</v>
      </c>
      <c r="Q120">
        <v>1959.0</v>
      </c>
      <c r="R120">
        <v>513.0</v>
      </c>
      <c r="S120">
        <v>1901.0</v>
      </c>
      <c r="T120">
        <v>551.0</v>
      </c>
      <c r="U120">
        <v>1804.0</v>
      </c>
      <c r="V120">
        <v>631.0</v>
      </c>
      <c r="W120">
        <v>1718.0</v>
      </c>
      <c r="X120">
        <v>706.0</v>
      </c>
      <c r="Y120">
        <v>1701.0</v>
      </c>
    </row>
    <row r="121">
      <c r="A121" s="317">
        <v>11.0</v>
      </c>
      <c r="B121">
        <v>715.0</v>
      </c>
      <c r="C121">
        <v>1722.0</v>
      </c>
      <c r="D121">
        <v>648.0</v>
      </c>
      <c r="E121">
        <v>1803.0</v>
      </c>
      <c r="F121">
        <v>601.0</v>
      </c>
      <c r="G121">
        <v>1841.0</v>
      </c>
      <c r="H121">
        <v>502.0</v>
      </c>
      <c r="I121">
        <v>1922.0</v>
      </c>
      <c r="J121">
        <v>411.0</v>
      </c>
      <c r="K121">
        <v>2004.0</v>
      </c>
      <c r="L121">
        <v>344.0</v>
      </c>
      <c r="M121">
        <v>2037.0</v>
      </c>
      <c r="N121">
        <v>356.0</v>
      </c>
      <c r="O121">
        <v>2036.0</v>
      </c>
      <c r="P121">
        <v>433.0</v>
      </c>
      <c r="Q121">
        <v>1957.0</v>
      </c>
      <c r="R121">
        <v>514.0</v>
      </c>
      <c r="S121">
        <v>1859.0</v>
      </c>
      <c r="T121">
        <v>552.0</v>
      </c>
      <c r="U121">
        <v>1802.0</v>
      </c>
      <c r="V121">
        <v>632.0</v>
      </c>
      <c r="W121">
        <v>1716.0</v>
      </c>
      <c r="X121">
        <v>706.0</v>
      </c>
      <c r="Y121">
        <v>1701.0</v>
      </c>
    </row>
    <row r="122">
      <c r="A122" s="317">
        <v>12.0</v>
      </c>
      <c r="B122">
        <v>715.0</v>
      </c>
      <c r="C122">
        <v>1723.0</v>
      </c>
      <c r="D122">
        <v>646.0</v>
      </c>
      <c r="E122">
        <v>1804.0</v>
      </c>
      <c r="F122">
        <v>600.0</v>
      </c>
      <c r="G122">
        <v>1842.0</v>
      </c>
      <c r="H122">
        <v>500.0</v>
      </c>
      <c r="I122">
        <v>1924.0</v>
      </c>
      <c r="J122">
        <v>409.0</v>
      </c>
      <c r="K122">
        <v>2005.0</v>
      </c>
      <c r="L122">
        <v>344.0</v>
      </c>
      <c r="M122">
        <v>2038.0</v>
      </c>
      <c r="N122">
        <v>357.0</v>
      </c>
      <c r="O122">
        <v>2035.0</v>
      </c>
      <c r="P122">
        <v>435.0</v>
      </c>
      <c r="Q122">
        <v>1956.0</v>
      </c>
      <c r="R122">
        <v>515.0</v>
      </c>
      <c r="S122">
        <v>1858.0</v>
      </c>
      <c r="T122">
        <v>553.0</v>
      </c>
      <c r="U122">
        <v>1800.0</v>
      </c>
      <c r="V122">
        <v>634.0</v>
      </c>
      <c r="W122">
        <v>1715.0</v>
      </c>
      <c r="X122">
        <v>707.0</v>
      </c>
      <c r="Y122">
        <v>1701.0</v>
      </c>
    </row>
    <row r="123">
      <c r="A123" s="317">
        <v>13.0</v>
      </c>
      <c r="B123">
        <v>715.0</v>
      </c>
      <c r="C123">
        <v>1724.0</v>
      </c>
      <c r="D123">
        <v>645.0</v>
      </c>
      <c r="E123">
        <v>1805.0</v>
      </c>
      <c r="F123">
        <v>558.0</v>
      </c>
      <c r="G123">
        <v>1843.0</v>
      </c>
      <c r="H123">
        <v>458.0</v>
      </c>
      <c r="I123">
        <v>1925.0</v>
      </c>
      <c r="J123">
        <v>408.0</v>
      </c>
      <c r="K123">
        <v>2007.0</v>
      </c>
      <c r="L123">
        <v>344.0</v>
      </c>
      <c r="M123">
        <v>2038.0</v>
      </c>
      <c r="N123">
        <v>358.0</v>
      </c>
      <c r="O123">
        <v>2034.0</v>
      </c>
      <c r="P123">
        <v>436.0</v>
      </c>
      <c r="Q123">
        <v>1954.0</v>
      </c>
      <c r="R123">
        <v>517.0</v>
      </c>
      <c r="S123">
        <v>1856.0</v>
      </c>
      <c r="T123">
        <v>554.0</v>
      </c>
      <c r="U123">
        <v>1759.0</v>
      </c>
      <c r="V123">
        <v>635.0</v>
      </c>
      <c r="W123">
        <v>1714.0</v>
      </c>
      <c r="X123">
        <v>708.0</v>
      </c>
      <c r="Y123">
        <v>1701.0</v>
      </c>
    </row>
    <row r="124">
      <c r="A124" s="317">
        <v>14.0</v>
      </c>
      <c r="B124">
        <v>714.0</v>
      </c>
      <c r="C124">
        <v>1725.0</v>
      </c>
      <c r="D124">
        <v>644.0</v>
      </c>
      <c r="E124">
        <v>1807.0</v>
      </c>
      <c r="F124">
        <v>556.0</v>
      </c>
      <c r="G124">
        <v>1845.0</v>
      </c>
      <c r="H124">
        <v>456.0</v>
      </c>
      <c r="I124">
        <v>1926.0</v>
      </c>
      <c r="J124">
        <v>407.0</v>
      </c>
      <c r="K124">
        <v>2008.0</v>
      </c>
      <c r="L124">
        <v>343.0</v>
      </c>
      <c r="M124">
        <v>2039.0</v>
      </c>
      <c r="N124">
        <v>359.0</v>
      </c>
      <c r="O124">
        <v>2034.0</v>
      </c>
      <c r="P124">
        <v>437.0</v>
      </c>
      <c r="Q124">
        <v>1952.0</v>
      </c>
      <c r="R124">
        <v>518.0</v>
      </c>
      <c r="S124">
        <v>1854.0</v>
      </c>
      <c r="T124">
        <v>556.0</v>
      </c>
      <c r="U124">
        <v>1757.0</v>
      </c>
      <c r="V124">
        <v>636.0</v>
      </c>
      <c r="W124">
        <v>1713.0</v>
      </c>
      <c r="X124">
        <v>709.0</v>
      </c>
      <c r="Y124">
        <v>1702.0</v>
      </c>
    </row>
    <row r="125">
      <c r="A125" s="317">
        <v>15.0</v>
      </c>
      <c r="B125">
        <v>714.0</v>
      </c>
      <c r="C125">
        <v>1727.0</v>
      </c>
      <c r="D125">
        <v>642.0</v>
      </c>
      <c r="E125">
        <v>1808.0</v>
      </c>
      <c r="F125">
        <v>554.0</v>
      </c>
      <c r="G125">
        <v>1846.0</v>
      </c>
      <c r="H125">
        <v>454.0</v>
      </c>
      <c r="I125">
        <v>1928.0</v>
      </c>
      <c r="J125">
        <v>405.0</v>
      </c>
      <c r="K125">
        <v>2009.0</v>
      </c>
      <c r="L125">
        <v>343.0</v>
      </c>
      <c r="M125">
        <v>2039.0</v>
      </c>
      <c r="N125">
        <v>400.0</v>
      </c>
      <c r="O125">
        <v>2033.0</v>
      </c>
      <c r="P125">
        <v>439.0</v>
      </c>
      <c r="Q125">
        <v>1950.0</v>
      </c>
      <c r="R125">
        <v>519.0</v>
      </c>
      <c r="S125">
        <v>1852.0</v>
      </c>
      <c r="T125">
        <v>557.0</v>
      </c>
      <c r="U125">
        <v>1755.0</v>
      </c>
      <c r="V125">
        <v>637.0</v>
      </c>
      <c r="W125">
        <v>1712.0</v>
      </c>
      <c r="X125">
        <v>710.0</v>
      </c>
      <c r="Y125">
        <v>1702.0</v>
      </c>
    </row>
    <row r="126">
      <c r="A126" s="317">
        <v>16.0</v>
      </c>
      <c r="B126">
        <v>713.0</v>
      </c>
      <c r="C126">
        <v>1728.0</v>
      </c>
      <c r="D126">
        <v>641.0</v>
      </c>
      <c r="E126">
        <v>1809.0</v>
      </c>
      <c r="F126">
        <v>552.0</v>
      </c>
      <c r="G126">
        <v>1847.0</v>
      </c>
      <c r="H126">
        <v>453.0</v>
      </c>
      <c r="I126">
        <v>1929.0</v>
      </c>
      <c r="J126">
        <v>404.0</v>
      </c>
      <c r="K126">
        <v>2011.0</v>
      </c>
      <c r="L126">
        <v>343.0</v>
      </c>
      <c r="M126">
        <v>2040.0</v>
      </c>
      <c r="N126">
        <v>401.0</v>
      </c>
      <c r="O126">
        <v>2032.0</v>
      </c>
      <c r="P126">
        <v>440.0</v>
      </c>
      <c r="Q126">
        <v>1949.0</v>
      </c>
      <c r="R126">
        <v>520.0</v>
      </c>
      <c r="S126">
        <v>1850.0</v>
      </c>
      <c r="T126">
        <v>558.0</v>
      </c>
      <c r="U126">
        <v>1753.0</v>
      </c>
      <c r="V126">
        <v>639.0</v>
      </c>
      <c r="W126">
        <v>1712.0</v>
      </c>
      <c r="X126">
        <v>710.0</v>
      </c>
      <c r="Y126">
        <v>1702.0</v>
      </c>
    </row>
    <row r="127">
      <c r="A127" s="317">
        <v>17.0</v>
      </c>
      <c r="B127">
        <v>713.0</v>
      </c>
      <c r="C127">
        <v>1729.0</v>
      </c>
      <c r="D127">
        <v>639.0</v>
      </c>
      <c r="E127">
        <v>1811.0</v>
      </c>
      <c r="F127">
        <v>550.0</v>
      </c>
      <c r="G127">
        <v>1849.0</v>
      </c>
      <c r="H127">
        <v>451.0</v>
      </c>
      <c r="I127">
        <v>1931.0</v>
      </c>
      <c r="J127">
        <v>403.0</v>
      </c>
      <c r="K127">
        <v>2012.0</v>
      </c>
      <c r="L127">
        <v>343.0</v>
      </c>
      <c r="M127">
        <v>2040.0</v>
      </c>
      <c r="N127">
        <v>402.0</v>
      </c>
      <c r="O127">
        <v>2031.0</v>
      </c>
      <c r="P127">
        <v>441.0</v>
      </c>
      <c r="Q127">
        <v>1947.0</v>
      </c>
      <c r="R127">
        <v>522.0</v>
      </c>
      <c r="S127">
        <v>1848.0</v>
      </c>
      <c r="T127">
        <v>559.0</v>
      </c>
      <c r="U127">
        <v>1752.0</v>
      </c>
      <c r="V127">
        <v>640.0</v>
      </c>
      <c r="W127">
        <v>1711.0</v>
      </c>
      <c r="X127">
        <v>711.0</v>
      </c>
      <c r="Y127">
        <v>1702.0</v>
      </c>
    </row>
    <row r="128">
      <c r="A128" s="317">
        <v>18.0</v>
      </c>
      <c r="B128">
        <v>712.0</v>
      </c>
      <c r="C128">
        <v>1730.0</v>
      </c>
      <c r="D128">
        <v>638.0</v>
      </c>
      <c r="E128">
        <v>1812.0</v>
      </c>
      <c r="F128">
        <v>548.0</v>
      </c>
      <c r="G128">
        <v>1850.0</v>
      </c>
      <c r="H128">
        <v>449.0</v>
      </c>
      <c r="I128">
        <v>1932.0</v>
      </c>
      <c r="J128">
        <v>402.0</v>
      </c>
      <c r="K128">
        <v>2013.0</v>
      </c>
      <c r="L128">
        <v>343.0</v>
      </c>
      <c r="M128">
        <v>2040.0</v>
      </c>
      <c r="N128">
        <v>403.0</v>
      </c>
      <c r="O128">
        <v>2030.0</v>
      </c>
      <c r="P128">
        <v>443.0</v>
      </c>
      <c r="Q128">
        <v>1945.0</v>
      </c>
      <c r="R128">
        <v>523.0</v>
      </c>
      <c r="S128">
        <v>1846.0</v>
      </c>
      <c r="T128">
        <v>601.0</v>
      </c>
      <c r="U128">
        <v>1750.0</v>
      </c>
      <c r="V128">
        <v>641.0</v>
      </c>
      <c r="W128">
        <v>1710.0</v>
      </c>
      <c r="X128">
        <v>712.0</v>
      </c>
      <c r="Y128">
        <v>1703.0</v>
      </c>
    </row>
    <row r="129">
      <c r="A129" s="317">
        <v>19.0</v>
      </c>
      <c r="B129">
        <v>712.0</v>
      </c>
      <c r="C129">
        <v>1732.0</v>
      </c>
      <c r="D129">
        <v>636.0</v>
      </c>
      <c r="E129">
        <v>1814.0</v>
      </c>
      <c r="F129">
        <v>546.0</v>
      </c>
      <c r="G129">
        <v>1851.0</v>
      </c>
      <c r="H129">
        <v>447.0</v>
      </c>
      <c r="I129">
        <v>1933.0</v>
      </c>
      <c r="J129">
        <v>401.0</v>
      </c>
      <c r="K129">
        <v>2014.0</v>
      </c>
      <c r="L129">
        <v>343.0</v>
      </c>
      <c r="M129">
        <v>2041.0</v>
      </c>
      <c r="N129">
        <v>404.0</v>
      </c>
      <c r="O129">
        <v>2029.0</v>
      </c>
      <c r="P129">
        <v>444.0</v>
      </c>
      <c r="Q129">
        <v>1943.0</v>
      </c>
      <c r="R129">
        <v>524.0</v>
      </c>
      <c r="S129">
        <v>1844.0</v>
      </c>
      <c r="T129">
        <v>602.0</v>
      </c>
      <c r="U129">
        <v>1748.0</v>
      </c>
      <c r="V129">
        <v>643.0</v>
      </c>
      <c r="W129">
        <v>1709.0</v>
      </c>
      <c r="X129">
        <v>712.0</v>
      </c>
      <c r="Y129">
        <v>1703.0</v>
      </c>
    </row>
    <row r="130">
      <c r="A130" s="317">
        <v>20.0</v>
      </c>
      <c r="B130">
        <v>711.0</v>
      </c>
      <c r="C130">
        <v>1733.0</v>
      </c>
      <c r="D130">
        <v>634.0</v>
      </c>
      <c r="E130">
        <v>1815.0</v>
      </c>
      <c r="F130">
        <v>544.0</v>
      </c>
      <c r="G130">
        <v>1853.0</v>
      </c>
      <c r="H130">
        <v>445.0</v>
      </c>
      <c r="I130">
        <v>1935.0</v>
      </c>
      <c r="J130">
        <v>359.0</v>
      </c>
      <c r="K130">
        <v>2016.0</v>
      </c>
      <c r="L130">
        <v>344.0</v>
      </c>
      <c r="M130">
        <v>2041.0</v>
      </c>
      <c r="N130">
        <v>405.0</v>
      </c>
      <c r="O130">
        <v>2028.0</v>
      </c>
      <c r="P130">
        <v>445.0</v>
      </c>
      <c r="Q130">
        <v>1942.0</v>
      </c>
      <c r="R130">
        <v>525.0</v>
      </c>
      <c r="S130">
        <v>1842.0</v>
      </c>
      <c r="T130">
        <v>603.0</v>
      </c>
      <c r="U130">
        <v>1747.0</v>
      </c>
      <c r="V130">
        <v>644.0</v>
      </c>
      <c r="W130">
        <v>1708.0</v>
      </c>
      <c r="X130">
        <v>713.0</v>
      </c>
      <c r="Y130">
        <v>1704.0</v>
      </c>
    </row>
    <row r="131">
      <c r="A131" s="317">
        <v>21.0</v>
      </c>
      <c r="B131">
        <v>710.0</v>
      </c>
      <c r="C131">
        <v>1734.0</v>
      </c>
      <c r="D131">
        <v>633.0</v>
      </c>
      <c r="E131">
        <v>1816.0</v>
      </c>
      <c r="F131">
        <v>542.0</v>
      </c>
      <c r="G131">
        <v>1854.0</v>
      </c>
      <c r="H131">
        <v>443.0</v>
      </c>
      <c r="I131">
        <v>1936.0</v>
      </c>
      <c r="J131">
        <v>358.0</v>
      </c>
      <c r="K131">
        <v>2017.0</v>
      </c>
      <c r="L131">
        <v>344.0</v>
      </c>
      <c r="M131">
        <v>2041.0</v>
      </c>
      <c r="N131">
        <v>406.0</v>
      </c>
      <c r="O131">
        <v>2027.0</v>
      </c>
      <c r="P131">
        <v>447.0</v>
      </c>
      <c r="Q131">
        <v>1940.0</v>
      </c>
      <c r="R131">
        <v>527.0</v>
      </c>
      <c r="S131">
        <v>1840.0</v>
      </c>
      <c r="T131">
        <v>605.0</v>
      </c>
      <c r="U131">
        <v>1745.0</v>
      </c>
      <c r="V131">
        <v>645.0</v>
      </c>
      <c r="W131">
        <v>1707.0</v>
      </c>
      <c r="X131">
        <v>713.0</v>
      </c>
      <c r="Y131">
        <v>1704.0</v>
      </c>
    </row>
    <row r="132">
      <c r="A132" s="317">
        <v>22.0</v>
      </c>
      <c r="B132">
        <v>709.0</v>
      </c>
      <c r="C132">
        <v>1735.0</v>
      </c>
      <c r="D132">
        <v>631.0</v>
      </c>
      <c r="E132">
        <v>1818.0</v>
      </c>
      <c r="F132">
        <v>541.0</v>
      </c>
      <c r="G132">
        <v>1855.0</v>
      </c>
      <c r="H132">
        <v>442.0</v>
      </c>
      <c r="I132">
        <v>1938.0</v>
      </c>
      <c r="J132">
        <v>357.0</v>
      </c>
      <c r="K132">
        <v>2018.0</v>
      </c>
      <c r="L132">
        <v>344.0</v>
      </c>
      <c r="M132">
        <v>2041.0</v>
      </c>
      <c r="N132">
        <v>408.0</v>
      </c>
      <c r="O132">
        <v>2026.0</v>
      </c>
      <c r="P132">
        <v>448.0</v>
      </c>
      <c r="Q132">
        <v>1938.0</v>
      </c>
      <c r="R132">
        <v>528.0</v>
      </c>
      <c r="S132">
        <v>1838.0</v>
      </c>
      <c r="T132">
        <v>606.0</v>
      </c>
      <c r="U132">
        <v>1743.0</v>
      </c>
      <c r="V132">
        <v>646.0</v>
      </c>
      <c r="W132">
        <v>1707.0</v>
      </c>
      <c r="X132">
        <v>714.0</v>
      </c>
      <c r="Y132">
        <v>1705.0</v>
      </c>
    </row>
    <row r="133">
      <c r="A133" s="317">
        <v>23.0</v>
      </c>
      <c r="B133">
        <v>709.0</v>
      </c>
      <c r="C133">
        <v>1737.0</v>
      </c>
      <c r="D133">
        <v>630.0</v>
      </c>
      <c r="E133">
        <v>1819.0</v>
      </c>
      <c r="F133">
        <v>539.0</v>
      </c>
      <c r="G133">
        <v>1857.0</v>
      </c>
      <c r="H133">
        <v>440.0</v>
      </c>
      <c r="I133">
        <v>1939.0</v>
      </c>
      <c r="J133">
        <v>356.0</v>
      </c>
      <c r="K133">
        <v>2019.0</v>
      </c>
      <c r="L133">
        <v>344.0</v>
      </c>
      <c r="M133">
        <v>2041.0</v>
      </c>
      <c r="N133">
        <v>409.0</v>
      </c>
      <c r="O133">
        <v>2025.0</v>
      </c>
      <c r="P133">
        <v>449.0</v>
      </c>
      <c r="Q133">
        <v>1936.0</v>
      </c>
      <c r="R133">
        <v>529.0</v>
      </c>
      <c r="S133">
        <v>1836.0</v>
      </c>
      <c r="T133">
        <v>607.0</v>
      </c>
      <c r="U133">
        <v>1742.0</v>
      </c>
      <c r="V133">
        <v>647.0</v>
      </c>
      <c r="W133">
        <v>1706.0</v>
      </c>
      <c r="X133">
        <v>714.0</v>
      </c>
      <c r="Y133">
        <v>1705.0</v>
      </c>
    </row>
    <row r="134">
      <c r="A134" s="317">
        <v>24.0</v>
      </c>
      <c r="B134">
        <v>708.0</v>
      </c>
      <c r="C134">
        <v>1738.0</v>
      </c>
      <c r="D134">
        <v>628.0</v>
      </c>
      <c r="E134">
        <v>1820.0</v>
      </c>
      <c r="F134">
        <v>537.0</v>
      </c>
      <c r="G134">
        <v>1858.0</v>
      </c>
      <c r="H134">
        <v>438.0</v>
      </c>
      <c r="I134">
        <v>1940.0</v>
      </c>
      <c r="J134">
        <v>355.0</v>
      </c>
      <c r="K134">
        <v>2020.0</v>
      </c>
      <c r="L134">
        <v>345.0</v>
      </c>
      <c r="M134">
        <v>2042.0</v>
      </c>
      <c r="N134">
        <v>410.0</v>
      </c>
      <c r="O134">
        <v>2023.0</v>
      </c>
      <c r="P134">
        <v>451.0</v>
      </c>
      <c r="Q134">
        <v>1934.0</v>
      </c>
      <c r="R134">
        <v>530.0</v>
      </c>
      <c r="S134">
        <v>1834.0</v>
      </c>
      <c r="T134">
        <v>609.0</v>
      </c>
      <c r="U134">
        <v>1740.0</v>
      </c>
      <c r="V134">
        <v>649.0</v>
      </c>
      <c r="W134">
        <v>1705.0</v>
      </c>
      <c r="X134">
        <v>715.0</v>
      </c>
      <c r="Y134">
        <v>1706.0</v>
      </c>
    </row>
    <row r="135">
      <c r="A135" s="317">
        <v>25.0</v>
      </c>
      <c r="B135">
        <v>707.0</v>
      </c>
      <c r="C135">
        <v>1739.0</v>
      </c>
      <c r="D135">
        <v>626.0</v>
      </c>
      <c r="E135">
        <v>1822.0</v>
      </c>
      <c r="F135">
        <v>535.0</v>
      </c>
      <c r="G135">
        <v>1859.0</v>
      </c>
      <c r="H135">
        <v>436.0</v>
      </c>
      <c r="I135">
        <v>1942.0</v>
      </c>
      <c r="J135">
        <v>354.0</v>
      </c>
      <c r="K135">
        <v>2022.0</v>
      </c>
      <c r="L135">
        <v>345.0</v>
      </c>
      <c r="M135">
        <v>2042.0</v>
      </c>
      <c r="N135">
        <v>411.0</v>
      </c>
      <c r="O135">
        <v>2022.0</v>
      </c>
      <c r="P135">
        <v>452.0</v>
      </c>
      <c r="Q135">
        <v>1932.0</v>
      </c>
      <c r="R135">
        <v>532.0</v>
      </c>
      <c r="S135">
        <v>1832.0</v>
      </c>
      <c r="T135">
        <v>610.0</v>
      </c>
      <c r="U135">
        <v>1739.0</v>
      </c>
      <c r="V135">
        <v>650.0</v>
      </c>
      <c r="W135">
        <v>1705.0</v>
      </c>
      <c r="X135">
        <v>715.0</v>
      </c>
      <c r="Y135">
        <v>1706.0</v>
      </c>
    </row>
    <row r="136">
      <c r="A136" s="317">
        <v>26.0</v>
      </c>
      <c r="B136">
        <v>706.0</v>
      </c>
      <c r="C136">
        <v>1741.0</v>
      </c>
      <c r="D136">
        <v>625.0</v>
      </c>
      <c r="E136">
        <v>1823.0</v>
      </c>
      <c r="F136">
        <v>533.0</v>
      </c>
      <c r="G136">
        <v>1901.0</v>
      </c>
      <c r="H136">
        <v>435.0</v>
      </c>
      <c r="I136">
        <v>1943.0</v>
      </c>
      <c r="J136">
        <v>353.0</v>
      </c>
      <c r="K136">
        <v>2023.0</v>
      </c>
      <c r="L136">
        <v>345.0</v>
      </c>
      <c r="M136">
        <v>2042.0</v>
      </c>
      <c r="N136">
        <v>412.0</v>
      </c>
      <c r="O136">
        <v>2021.0</v>
      </c>
      <c r="P136">
        <v>453.0</v>
      </c>
      <c r="Q136">
        <v>1930.0</v>
      </c>
      <c r="R136">
        <v>533.0</v>
      </c>
      <c r="S136">
        <v>1830.0</v>
      </c>
      <c r="T136">
        <v>611.0</v>
      </c>
      <c r="U136">
        <v>1737.0</v>
      </c>
      <c r="V136">
        <v>651.0</v>
      </c>
      <c r="W136">
        <v>1704.0</v>
      </c>
      <c r="X136">
        <v>715.0</v>
      </c>
      <c r="Y136">
        <v>1707.0</v>
      </c>
    </row>
    <row r="137">
      <c r="A137" s="317">
        <v>27.0</v>
      </c>
      <c r="B137">
        <v>705.0</v>
      </c>
      <c r="C137">
        <v>1742.0</v>
      </c>
      <c r="D137">
        <v>623.0</v>
      </c>
      <c r="E137">
        <v>1824.0</v>
      </c>
      <c r="F137">
        <v>531.0</v>
      </c>
      <c r="G137">
        <v>1902.0</v>
      </c>
      <c r="H137">
        <v>433.0</v>
      </c>
      <c r="I137">
        <v>1945.0</v>
      </c>
      <c r="J137">
        <v>352.0</v>
      </c>
      <c r="K137">
        <v>2024.0</v>
      </c>
      <c r="L137">
        <v>346.0</v>
      </c>
      <c r="M137">
        <v>2041.0</v>
      </c>
      <c r="N137">
        <v>414.0</v>
      </c>
      <c r="O137">
        <v>2020.0</v>
      </c>
      <c r="P137">
        <v>455.0</v>
      </c>
      <c r="Q137">
        <v>1929.0</v>
      </c>
      <c r="R137">
        <v>534.0</v>
      </c>
      <c r="S137">
        <v>1828.0</v>
      </c>
      <c r="T137">
        <v>612.0</v>
      </c>
      <c r="U137">
        <v>1736.0</v>
      </c>
      <c r="V137">
        <v>652.0</v>
      </c>
      <c r="W137">
        <v>1704.0</v>
      </c>
      <c r="X137">
        <v>716.0</v>
      </c>
      <c r="Y137">
        <v>1708.0</v>
      </c>
    </row>
    <row r="138">
      <c r="A138" s="317">
        <v>28.0</v>
      </c>
      <c r="B138">
        <v>704.0</v>
      </c>
      <c r="C138">
        <v>1743.0</v>
      </c>
      <c r="D138">
        <v>621.0</v>
      </c>
      <c r="E138">
        <v>1826.0</v>
      </c>
      <c r="F138">
        <v>529.0</v>
      </c>
      <c r="G138">
        <v>1903.0</v>
      </c>
      <c r="H138">
        <v>431.0</v>
      </c>
      <c r="I138">
        <v>1946.0</v>
      </c>
      <c r="J138">
        <v>352.0</v>
      </c>
      <c r="K138">
        <v>2025.0</v>
      </c>
      <c r="L138">
        <v>346.0</v>
      </c>
      <c r="M138">
        <v>2041.0</v>
      </c>
      <c r="N138">
        <v>415.0</v>
      </c>
      <c r="O138">
        <v>2018.0</v>
      </c>
      <c r="P138">
        <v>456.0</v>
      </c>
      <c r="Q138">
        <v>1927.0</v>
      </c>
      <c r="R138">
        <v>535.0</v>
      </c>
      <c r="S138">
        <v>1826.0</v>
      </c>
      <c r="T138">
        <v>614.0</v>
      </c>
      <c r="U138">
        <v>1734.0</v>
      </c>
      <c r="V138">
        <v>653.0</v>
      </c>
      <c r="W138">
        <v>1703.0</v>
      </c>
      <c r="X138">
        <v>716.0</v>
      </c>
      <c r="Y138">
        <v>1708.0</v>
      </c>
    </row>
    <row r="139">
      <c r="A139" s="317">
        <v>29.0</v>
      </c>
      <c r="B139">
        <v>703.0</v>
      </c>
      <c r="C139">
        <v>1745.0</v>
      </c>
      <c r="D139" t="s">
        <v>111</v>
      </c>
      <c r="E139" t="s">
        <v>111</v>
      </c>
      <c r="F139">
        <v>527.0</v>
      </c>
      <c r="G139">
        <v>1905.0</v>
      </c>
      <c r="H139">
        <v>429.0</v>
      </c>
      <c r="I139">
        <v>1947.0</v>
      </c>
      <c r="J139">
        <v>351.0</v>
      </c>
      <c r="K139">
        <v>2026.0</v>
      </c>
      <c r="L139">
        <v>347.0</v>
      </c>
      <c r="M139">
        <v>2041.0</v>
      </c>
      <c r="N139">
        <v>416.0</v>
      </c>
      <c r="O139">
        <v>2017.0</v>
      </c>
      <c r="P139">
        <v>457.0</v>
      </c>
      <c r="Q139">
        <v>1925.0</v>
      </c>
      <c r="R139">
        <v>537.0</v>
      </c>
      <c r="S139">
        <v>1824.0</v>
      </c>
      <c r="T139">
        <v>615.0</v>
      </c>
      <c r="U139">
        <v>1733.0</v>
      </c>
      <c r="V139">
        <v>655.0</v>
      </c>
      <c r="W139">
        <v>1703.0</v>
      </c>
      <c r="X139">
        <v>716.0</v>
      </c>
      <c r="Y139">
        <v>1709.0</v>
      </c>
    </row>
    <row r="140">
      <c r="A140" s="317">
        <v>30.0</v>
      </c>
      <c r="B140">
        <v>702.0</v>
      </c>
      <c r="C140">
        <v>1746.0</v>
      </c>
      <c r="D140" t="s">
        <v>111</v>
      </c>
      <c r="E140" t="s">
        <v>111</v>
      </c>
      <c r="F140">
        <v>525.0</v>
      </c>
      <c r="G140">
        <v>1906.0</v>
      </c>
      <c r="H140">
        <v>428.0</v>
      </c>
      <c r="I140">
        <v>1949.0</v>
      </c>
      <c r="J140">
        <v>350.0</v>
      </c>
      <c r="K140">
        <v>2027.0</v>
      </c>
      <c r="L140">
        <v>347.0</v>
      </c>
      <c r="M140">
        <v>2041.0</v>
      </c>
      <c r="N140">
        <v>418.0</v>
      </c>
      <c r="O140">
        <v>2016.0</v>
      </c>
      <c r="P140">
        <v>459.0</v>
      </c>
      <c r="Q140">
        <v>1923.0</v>
      </c>
      <c r="R140">
        <v>538.0</v>
      </c>
      <c r="S140">
        <v>1822.0</v>
      </c>
      <c r="T140">
        <v>616.0</v>
      </c>
      <c r="U140">
        <v>1731.0</v>
      </c>
      <c r="V140">
        <v>656.0</v>
      </c>
      <c r="W140">
        <v>1703.0</v>
      </c>
      <c r="X140">
        <v>716.0</v>
      </c>
      <c r="Y140">
        <v>1710.0</v>
      </c>
    </row>
    <row r="141">
      <c r="A141" s="317">
        <v>31.0</v>
      </c>
      <c r="B141">
        <v>701.0</v>
      </c>
      <c r="C141">
        <v>1747.0</v>
      </c>
      <c r="D141" t="s">
        <v>111</v>
      </c>
      <c r="E141" t="s">
        <v>111</v>
      </c>
      <c r="F141">
        <v>523.0</v>
      </c>
      <c r="G141">
        <v>1907.0</v>
      </c>
      <c r="H141" t="s">
        <v>111</v>
      </c>
      <c r="I141" t="s">
        <v>111</v>
      </c>
      <c r="J141">
        <v>349.0</v>
      </c>
      <c r="K141">
        <v>2028.0</v>
      </c>
      <c r="L141" t="s">
        <v>111</v>
      </c>
      <c r="M141" t="s">
        <v>111</v>
      </c>
      <c r="N141">
        <v>419.0</v>
      </c>
      <c r="O141">
        <v>2014.0</v>
      </c>
      <c r="P141">
        <v>500.0</v>
      </c>
      <c r="Q141">
        <v>1921.0</v>
      </c>
      <c r="R141" t="s">
        <v>111</v>
      </c>
      <c r="S141" t="s">
        <v>111</v>
      </c>
      <c r="T141">
        <v>618.0</v>
      </c>
      <c r="U141">
        <v>1730.0</v>
      </c>
      <c r="V141" t="s">
        <v>111</v>
      </c>
      <c r="W141" t="s">
        <v>111</v>
      </c>
      <c r="X141">
        <v>717.0</v>
      </c>
      <c r="Y141">
        <v>1711.0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75.88"/>
    <col customWidth="1" min="2" max="2" width="7.5"/>
    <col customWidth="1" min="3" max="14" width="6.25"/>
  </cols>
  <sheetData>
    <row r="1">
      <c r="A1" s="159" t="s">
        <v>250</v>
      </c>
      <c r="B1" s="15" t="str">
        <f>IFERROR(__xludf.DUMMYFUNCTION("SPLIT(A1,"" "")"),"Day")</f>
        <v>Day</v>
      </c>
      <c r="C1" s="15" t="str">
        <f>IFERROR(__xludf.DUMMYFUNCTION("""COMPUTED_VALUE"""),"Jan.")</f>
        <v>Jan.</v>
      </c>
      <c r="D1" s="15" t="str">
        <f>IFERROR(__xludf.DUMMYFUNCTION("""COMPUTED_VALUE"""),"Feb.")</f>
        <v>Feb.</v>
      </c>
      <c r="E1" s="15" t="str">
        <f>IFERROR(__xludf.DUMMYFUNCTION("""COMPUTED_VALUE"""),"Mar.")</f>
        <v>Mar.</v>
      </c>
      <c r="F1" s="15" t="str">
        <f>IFERROR(__xludf.DUMMYFUNCTION("""COMPUTED_VALUE"""),"Apr.")</f>
        <v>Apr.</v>
      </c>
      <c r="G1" s="15" t="str">
        <f>IFERROR(__xludf.DUMMYFUNCTION("""COMPUTED_VALUE"""),"May")</f>
        <v>May</v>
      </c>
      <c r="H1" s="15" t="str">
        <f>IFERROR(__xludf.DUMMYFUNCTION("""COMPUTED_VALUE"""),"June")</f>
        <v>June</v>
      </c>
      <c r="I1" s="15" t="str">
        <f>IFERROR(__xludf.DUMMYFUNCTION("""COMPUTED_VALUE"""),"July")</f>
        <v>July</v>
      </c>
      <c r="J1" s="15" t="str">
        <f>IFERROR(__xludf.DUMMYFUNCTION("""COMPUTED_VALUE"""),"Aug.")</f>
        <v>Aug.</v>
      </c>
      <c r="K1" s="15" t="str">
        <f>IFERROR(__xludf.DUMMYFUNCTION("""COMPUTED_VALUE"""),"Sep.")</f>
        <v>Sep.</v>
      </c>
      <c r="L1" s="15" t="str">
        <f>IFERROR(__xludf.DUMMYFUNCTION("""COMPUTED_VALUE"""),"Oct.")</f>
        <v>Oct.</v>
      </c>
      <c r="M1" s="15" t="str">
        <f>IFERROR(__xludf.DUMMYFUNCTION("""COMPUTED_VALUE"""),"Nov.")</f>
        <v>Nov.</v>
      </c>
      <c r="N1" s="15" t="str">
        <f>IFERROR(__xludf.DUMMYFUNCTION("""COMPUTED_VALUE"""),"Dec.")</f>
        <v>Dec.</v>
      </c>
    </row>
    <row r="2">
      <c r="A2" s="159" t="s">
        <v>251</v>
      </c>
      <c r="B2" s="15">
        <f>IFERROR(__xludf.DUMMYFUNCTION("SPLIT(A2,"" "")"),1.0)</f>
        <v>1</v>
      </c>
      <c r="C2" s="318">
        <f>IFERROR(__xludf.DUMMYFUNCTION("""COMPUTED_VALUE"""),0.99)</f>
        <v>0.99</v>
      </c>
      <c r="D2" s="318">
        <f>IFERROR(__xludf.DUMMYFUNCTION("""COMPUTED_VALUE"""),0.99)</f>
        <v>0.99</v>
      </c>
      <c r="E2" s="318">
        <f>IFERROR(__xludf.DUMMYFUNCTION("""COMPUTED_VALUE"""),0.99)</f>
        <v>0.99</v>
      </c>
      <c r="F2" s="318">
        <f>IFERROR(__xludf.DUMMYFUNCTION("""COMPUTED_VALUE"""),0.99)</f>
        <v>0.99</v>
      </c>
      <c r="G2" s="318">
        <f>IFERROR(__xludf.DUMMYFUNCTION("""COMPUTED_VALUE"""),0.98)</f>
        <v>0.98</v>
      </c>
      <c r="H2" s="318">
        <f>IFERROR(__xludf.DUMMYFUNCTION("""COMPUTED_VALUE"""),0.93)</f>
        <v>0.93</v>
      </c>
      <c r="I2" s="318">
        <f>IFERROR(__xludf.DUMMYFUNCTION("""COMPUTED_VALUE"""),0.91)</f>
        <v>0.91</v>
      </c>
      <c r="J2" s="318">
        <f>IFERROR(__xludf.DUMMYFUNCTION("""COMPUTED_VALUE"""),0.82)</f>
        <v>0.82</v>
      </c>
      <c r="K2" s="318">
        <f>IFERROR(__xludf.DUMMYFUNCTION("""COMPUTED_VALUE"""),0.69)</f>
        <v>0.69</v>
      </c>
      <c r="L2" s="318">
        <f>IFERROR(__xludf.DUMMYFUNCTION("""COMPUTED_VALUE"""),0.62)</f>
        <v>0.62</v>
      </c>
      <c r="M2" s="318">
        <f>IFERROR(__xludf.DUMMYFUNCTION("""COMPUTED_VALUE"""),0.43)</f>
        <v>0.43</v>
      </c>
      <c r="N2" s="318">
        <f>IFERROR(__xludf.DUMMYFUNCTION("""COMPUTED_VALUE"""),0.36)</f>
        <v>0.36</v>
      </c>
    </row>
    <row r="3">
      <c r="A3" s="159" t="s">
        <v>252</v>
      </c>
      <c r="B3" s="15">
        <f>IFERROR(__xludf.DUMMYFUNCTION("SPLIT(A3,"" "")"),2.0)</f>
        <v>2</v>
      </c>
      <c r="C3" s="318">
        <f>IFERROR(__xludf.DUMMYFUNCTION("""COMPUTED_VALUE"""),1.0)</f>
        <v>1</v>
      </c>
      <c r="D3" s="318">
        <f>IFERROR(__xludf.DUMMYFUNCTION("""COMPUTED_VALUE"""),0.96)</f>
        <v>0.96</v>
      </c>
      <c r="E3" s="318">
        <f>IFERROR(__xludf.DUMMYFUNCTION("""COMPUTED_VALUE"""),1.0)</f>
        <v>1</v>
      </c>
      <c r="F3" s="318">
        <f>IFERROR(__xludf.DUMMYFUNCTION("""COMPUTED_VALUE"""),0.96)</f>
        <v>0.96</v>
      </c>
      <c r="G3" s="318">
        <f>IFERROR(__xludf.DUMMYFUNCTION("""COMPUTED_VALUE"""),0.95)</f>
        <v>0.95</v>
      </c>
      <c r="H3" s="318">
        <f>IFERROR(__xludf.DUMMYFUNCTION("""COMPUTED_VALUE"""),0.88)</f>
        <v>0.88</v>
      </c>
      <c r="I3" s="318">
        <f>IFERROR(__xludf.DUMMYFUNCTION("""COMPUTED_VALUE"""),0.85)</f>
        <v>0.85</v>
      </c>
      <c r="J3" s="318">
        <f>IFERROR(__xludf.DUMMYFUNCTION("""COMPUTED_VALUE"""),0.74)</f>
        <v>0.74</v>
      </c>
      <c r="K3" s="318">
        <f>IFERROR(__xludf.DUMMYFUNCTION("""COMPUTED_VALUE"""),0.59)</f>
        <v>0.59</v>
      </c>
      <c r="L3" s="318">
        <f>IFERROR(__xludf.DUMMYFUNCTION("""COMPUTED_VALUE"""),0.51)</f>
        <v>0.51</v>
      </c>
      <c r="M3" s="318">
        <f>IFERROR(__xludf.DUMMYFUNCTION("""COMPUTED_VALUE"""),0.32)</f>
        <v>0.32</v>
      </c>
      <c r="N3" s="318">
        <f>IFERROR(__xludf.DUMMYFUNCTION("""COMPUTED_VALUE"""),0.25)</f>
        <v>0.25</v>
      </c>
    </row>
    <row r="4">
      <c r="A4" s="159" t="s">
        <v>253</v>
      </c>
      <c r="B4" s="15">
        <f>IFERROR(__xludf.DUMMYFUNCTION("SPLIT(A4,"" "")"),3.0)</f>
        <v>3</v>
      </c>
      <c r="C4" s="318">
        <f>IFERROR(__xludf.DUMMYFUNCTION("""COMPUTED_VALUE"""),0.98)</f>
        <v>0.98</v>
      </c>
      <c r="D4" s="318">
        <f>IFERROR(__xludf.DUMMYFUNCTION("""COMPUTED_VALUE"""),0.9)</f>
        <v>0.9</v>
      </c>
      <c r="E4" s="318">
        <f>IFERROR(__xludf.DUMMYFUNCTION("""COMPUTED_VALUE"""),0.98)</f>
        <v>0.98</v>
      </c>
      <c r="F4" s="318">
        <f>IFERROR(__xludf.DUMMYFUNCTION("""COMPUTED_VALUE"""),0.91)</f>
        <v>0.91</v>
      </c>
      <c r="G4" s="318">
        <f>IFERROR(__xludf.DUMMYFUNCTION("""COMPUTED_VALUE"""),0.89)</f>
        <v>0.89</v>
      </c>
      <c r="H4" s="318">
        <f>IFERROR(__xludf.DUMMYFUNCTION("""COMPUTED_VALUE"""),0.81)</f>
        <v>0.81</v>
      </c>
      <c r="I4" s="318">
        <f>IFERROR(__xludf.DUMMYFUNCTION("""COMPUTED_VALUE"""),0.78)</f>
        <v>0.78</v>
      </c>
      <c r="J4" s="318">
        <f>IFERROR(__xludf.DUMMYFUNCTION("""COMPUTED_VALUE"""),0.65)</f>
        <v>0.65</v>
      </c>
      <c r="K4" s="318">
        <f>IFERROR(__xludf.DUMMYFUNCTION("""COMPUTED_VALUE"""),0.48)</f>
        <v>0.48</v>
      </c>
      <c r="L4" s="318">
        <f>IFERROR(__xludf.DUMMYFUNCTION("""COMPUTED_VALUE"""),0.4)</f>
        <v>0.4</v>
      </c>
      <c r="M4" s="318">
        <f>IFERROR(__xludf.DUMMYFUNCTION("""COMPUTED_VALUE"""),0.22)</f>
        <v>0.22</v>
      </c>
      <c r="N4" s="318">
        <f>IFERROR(__xludf.DUMMYFUNCTION("""COMPUTED_VALUE"""),0.17)</f>
        <v>0.17</v>
      </c>
    </row>
    <row r="5">
      <c r="A5" s="159" t="s">
        <v>254</v>
      </c>
      <c r="B5" s="15">
        <f>IFERROR(__xludf.DUMMYFUNCTION("SPLIT(A5,"" "")"),4.0)</f>
        <v>4</v>
      </c>
      <c r="C5" s="318">
        <f>IFERROR(__xludf.DUMMYFUNCTION("""COMPUTED_VALUE"""),0.93)</f>
        <v>0.93</v>
      </c>
      <c r="D5" s="318">
        <f>IFERROR(__xludf.DUMMYFUNCTION("""COMPUTED_VALUE"""),0.82)</f>
        <v>0.82</v>
      </c>
      <c r="E5" s="318">
        <f>IFERROR(__xludf.DUMMYFUNCTION("""COMPUTED_VALUE"""),0.93)</f>
        <v>0.93</v>
      </c>
      <c r="F5" s="318">
        <f>IFERROR(__xludf.DUMMYFUNCTION("""COMPUTED_VALUE"""),0.85)</f>
        <v>0.85</v>
      </c>
      <c r="G5" s="318">
        <f>IFERROR(__xludf.DUMMYFUNCTION("""COMPUTED_VALUE"""),0.83)</f>
        <v>0.83</v>
      </c>
      <c r="H5" s="318">
        <f>IFERROR(__xludf.DUMMYFUNCTION("""COMPUTED_VALUE"""),0.73)</f>
        <v>0.73</v>
      </c>
      <c r="I5" s="318">
        <f>IFERROR(__xludf.DUMMYFUNCTION("""COMPUTED_VALUE"""),0.7)</f>
        <v>0.7</v>
      </c>
      <c r="J5" s="318">
        <f>IFERROR(__xludf.DUMMYFUNCTION("""COMPUTED_VALUE"""),0.55)</f>
        <v>0.55</v>
      </c>
      <c r="K5" s="318">
        <f>IFERROR(__xludf.DUMMYFUNCTION("""COMPUTED_VALUE"""),0.36)</f>
        <v>0.36</v>
      </c>
      <c r="L5" s="318">
        <f>IFERROR(__xludf.DUMMYFUNCTION("""COMPUTED_VALUE"""),0.29)</f>
        <v>0.29</v>
      </c>
      <c r="M5" s="318">
        <f>IFERROR(__xludf.DUMMYFUNCTION("""COMPUTED_VALUE"""),0.13)</f>
        <v>0.13</v>
      </c>
      <c r="N5" s="318">
        <f>IFERROR(__xludf.DUMMYFUNCTION("""COMPUTED_VALUE"""),0.09)</f>
        <v>0.09</v>
      </c>
    </row>
    <row r="6">
      <c r="A6" s="159" t="s">
        <v>255</v>
      </c>
      <c r="B6" s="15">
        <f>IFERROR(__xludf.DUMMYFUNCTION("SPLIT(A6,"" "")"),5.0)</f>
        <v>5</v>
      </c>
      <c r="C6" s="318">
        <f>IFERROR(__xludf.DUMMYFUNCTION("""COMPUTED_VALUE"""),0.85)</f>
        <v>0.85</v>
      </c>
      <c r="D6" s="318">
        <f>IFERROR(__xludf.DUMMYFUNCTION("""COMPUTED_VALUE"""),0.73)</f>
        <v>0.73</v>
      </c>
      <c r="E6" s="318">
        <f>IFERROR(__xludf.DUMMYFUNCTION("""COMPUTED_VALUE"""),0.87)</f>
        <v>0.87</v>
      </c>
      <c r="F6" s="318">
        <f>IFERROR(__xludf.DUMMYFUNCTION("""COMPUTED_VALUE"""),0.77)</f>
        <v>0.77</v>
      </c>
      <c r="G6" s="318">
        <f>IFERROR(__xludf.DUMMYFUNCTION("""COMPUTED_VALUE"""),0.75)</f>
        <v>0.75</v>
      </c>
      <c r="H6" s="318">
        <f>IFERROR(__xludf.DUMMYFUNCTION("""COMPUTED_VALUE"""),0.64)</f>
        <v>0.64</v>
      </c>
      <c r="I6" s="318">
        <f>IFERROR(__xludf.DUMMYFUNCTION("""COMPUTED_VALUE"""),0.6)</f>
        <v>0.6</v>
      </c>
      <c r="J6" s="318">
        <f>IFERROR(__xludf.DUMMYFUNCTION("""COMPUTED_VALUE"""),0.44)</f>
        <v>0.44</v>
      </c>
      <c r="K6" s="318">
        <f>IFERROR(__xludf.DUMMYFUNCTION("""COMPUTED_VALUE"""),0.26)</f>
        <v>0.26</v>
      </c>
      <c r="L6" s="318">
        <f>IFERROR(__xludf.DUMMYFUNCTION("""COMPUTED_VALUE"""),0.19)</f>
        <v>0.19</v>
      </c>
      <c r="M6" s="318">
        <f>IFERROR(__xludf.DUMMYFUNCTION("""COMPUTED_VALUE"""),0.07)</f>
        <v>0.07</v>
      </c>
      <c r="N6" s="318">
        <f>IFERROR(__xludf.DUMMYFUNCTION("""COMPUTED_VALUE"""),0.04)</f>
        <v>0.04</v>
      </c>
    </row>
    <row r="7">
      <c r="A7" s="159" t="s">
        <v>256</v>
      </c>
      <c r="B7" s="15">
        <f>IFERROR(__xludf.DUMMYFUNCTION("SPLIT(A7,"" "")"),6.0)</f>
        <v>6</v>
      </c>
      <c r="C7" s="318">
        <f>IFERROR(__xludf.DUMMYFUNCTION("""COMPUTED_VALUE"""),0.77)</f>
        <v>0.77</v>
      </c>
      <c r="D7" s="318">
        <f>IFERROR(__xludf.DUMMYFUNCTION("""COMPUTED_VALUE"""),0.63)</f>
        <v>0.63</v>
      </c>
      <c r="E7" s="318">
        <f>IFERROR(__xludf.DUMMYFUNCTION("""COMPUTED_VALUE"""),0.79)</f>
        <v>0.79</v>
      </c>
      <c r="F7" s="318">
        <f>IFERROR(__xludf.DUMMYFUNCTION("""COMPUTED_VALUE"""),0.68)</f>
        <v>0.68</v>
      </c>
      <c r="G7" s="318">
        <f>IFERROR(__xludf.DUMMYFUNCTION("""COMPUTED_VALUE"""),0.66)</f>
        <v>0.66</v>
      </c>
      <c r="H7" s="318">
        <f>IFERROR(__xludf.DUMMYFUNCTION("""COMPUTED_VALUE"""),0.54)</f>
        <v>0.54</v>
      </c>
      <c r="I7" s="318">
        <f>IFERROR(__xludf.DUMMYFUNCTION("""COMPUTED_VALUE"""),0.5)</f>
        <v>0.5</v>
      </c>
      <c r="J7" s="318">
        <f>IFERROR(__xludf.DUMMYFUNCTION("""COMPUTED_VALUE"""),0.33)</f>
        <v>0.33</v>
      </c>
      <c r="K7" s="318">
        <f>IFERROR(__xludf.DUMMYFUNCTION("""COMPUTED_VALUE"""),0.16)</f>
        <v>0.16</v>
      </c>
      <c r="L7" s="318">
        <f>IFERROR(__xludf.DUMMYFUNCTION("""COMPUTED_VALUE"""),0.11)</f>
        <v>0.11</v>
      </c>
      <c r="M7" s="318">
        <f>IFERROR(__xludf.DUMMYFUNCTION("""COMPUTED_VALUE"""),0.02)</f>
        <v>0.02</v>
      </c>
      <c r="N7" s="318">
        <f>IFERROR(__xludf.DUMMYFUNCTION("""COMPUTED_VALUE"""),0.01)</f>
        <v>0.01</v>
      </c>
    </row>
    <row r="8">
      <c r="A8" s="159" t="s">
        <v>257</v>
      </c>
      <c r="B8" s="15">
        <f>IFERROR(__xludf.DUMMYFUNCTION("SPLIT(A8,"" "")"),7.0)</f>
        <v>7</v>
      </c>
      <c r="C8" s="318">
        <f>IFERROR(__xludf.DUMMYFUNCTION("""COMPUTED_VALUE"""),0.67)</f>
        <v>0.67</v>
      </c>
      <c r="D8" s="318">
        <f>IFERROR(__xludf.DUMMYFUNCTION("""COMPUTED_VALUE"""),0.53)</f>
        <v>0.53</v>
      </c>
      <c r="E8" s="318">
        <f>IFERROR(__xludf.DUMMYFUNCTION("""COMPUTED_VALUE"""),0.7)</f>
        <v>0.7</v>
      </c>
      <c r="F8" s="318">
        <f>IFERROR(__xludf.DUMMYFUNCTION("""COMPUTED_VALUE"""),0.59)</f>
        <v>0.59</v>
      </c>
      <c r="G8" s="318">
        <f>IFERROR(__xludf.DUMMYFUNCTION("""COMPUTED_VALUE"""),0.57)</f>
        <v>0.57</v>
      </c>
      <c r="H8" s="318">
        <f>IFERROR(__xludf.DUMMYFUNCTION("""COMPUTED_VALUE"""),0.45)</f>
        <v>0.45</v>
      </c>
      <c r="I8" s="318">
        <f>IFERROR(__xludf.DUMMYFUNCTION("""COMPUTED_VALUE"""),0.4)</f>
        <v>0.4</v>
      </c>
      <c r="J8" s="318">
        <f>IFERROR(__xludf.DUMMYFUNCTION("""COMPUTED_VALUE"""),0.23)</f>
        <v>0.23</v>
      </c>
      <c r="K8" s="318">
        <f>IFERROR(__xludf.DUMMYFUNCTION("""COMPUTED_VALUE"""),0.08)</f>
        <v>0.08</v>
      </c>
      <c r="L8" s="318">
        <f>IFERROR(__xludf.DUMMYFUNCTION("""COMPUTED_VALUE"""),0.05)</f>
        <v>0.05</v>
      </c>
      <c r="M8" s="318">
        <f>IFERROR(__xludf.DUMMYFUNCTION("""COMPUTED_VALUE"""),0.0)</f>
        <v>0</v>
      </c>
      <c r="N8" s="318">
        <f>IFERROR(__xludf.DUMMYFUNCTION("""COMPUTED_VALUE"""),0.0)</f>
        <v>0</v>
      </c>
    </row>
    <row r="9">
      <c r="A9" s="159" t="s">
        <v>258</v>
      </c>
      <c r="B9" s="15">
        <f>IFERROR(__xludf.DUMMYFUNCTION("SPLIT(A9,"" "")"),8.0)</f>
        <v>8</v>
      </c>
      <c r="C9" s="318">
        <f>IFERROR(__xludf.DUMMYFUNCTION("""COMPUTED_VALUE"""),0.56)</f>
        <v>0.56</v>
      </c>
      <c r="D9" s="318">
        <f>IFERROR(__xludf.DUMMYFUNCTION("""COMPUTED_VALUE"""),0.44)</f>
        <v>0.44</v>
      </c>
      <c r="E9" s="318">
        <f>IFERROR(__xludf.DUMMYFUNCTION("""COMPUTED_VALUE"""),0.61)</f>
        <v>0.61</v>
      </c>
      <c r="F9" s="318">
        <f>IFERROR(__xludf.DUMMYFUNCTION("""COMPUTED_VALUE"""),0.5)</f>
        <v>0.5</v>
      </c>
      <c r="G9" s="318">
        <f>IFERROR(__xludf.DUMMYFUNCTION("""COMPUTED_VALUE"""),0.48)</f>
        <v>0.48</v>
      </c>
      <c r="H9" s="318">
        <f>IFERROR(__xludf.DUMMYFUNCTION("""COMPUTED_VALUE"""),0.35)</f>
        <v>0.35</v>
      </c>
      <c r="I9" s="318">
        <f>IFERROR(__xludf.DUMMYFUNCTION("""COMPUTED_VALUE"""),0.29)</f>
        <v>0.29</v>
      </c>
      <c r="J9" s="318">
        <f>IFERROR(__xludf.DUMMYFUNCTION("""COMPUTED_VALUE"""),0.14)</f>
        <v>0.14</v>
      </c>
      <c r="K9" s="318">
        <f>IFERROR(__xludf.DUMMYFUNCTION("""COMPUTED_VALUE"""),0.03)</f>
        <v>0.03</v>
      </c>
      <c r="L9" s="318">
        <f>IFERROR(__xludf.DUMMYFUNCTION("""COMPUTED_VALUE"""),0.01)</f>
        <v>0.01</v>
      </c>
      <c r="M9" s="318">
        <f>IFERROR(__xludf.DUMMYFUNCTION("""COMPUTED_VALUE"""),0.01)</f>
        <v>0.01</v>
      </c>
      <c r="N9" s="318">
        <f>IFERROR(__xludf.DUMMYFUNCTION("""COMPUTED_VALUE"""),0.01)</f>
        <v>0.01</v>
      </c>
    </row>
    <row r="10">
      <c r="A10" s="159" t="s">
        <v>259</v>
      </c>
      <c r="B10" s="15">
        <f>IFERROR(__xludf.DUMMYFUNCTION("SPLIT(A10,"" "")"),9.0)</f>
        <v>9</v>
      </c>
      <c r="C10" s="318">
        <f>IFERROR(__xludf.DUMMYFUNCTION("""COMPUTED_VALUE"""),0.46)</f>
        <v>0.46</v>
      </c>
      <c r="D10" s="318">
        <f>IFERROR(__xludf.DUMMYFUNCTION("""COMPUTED_VALUE"""),0.34)</f>
        <v>0.34</v>
      </c>
      <c r="E10" s="318">
        <f>IFERROR(__xludf.DUMMYFUNCTION("""COMPUTED_VALUE"""),0.51)</f>
        <v>0.51</v>
      </c>
      <c r="F10" s="318">
        <f>IFERROR(__xludf.DUMMYFUNCTION("""COMPUTED_VALUE"""),0.4)</f>
        <v>0.4</v>
      </c>
      <c r="G10" s="318">
        <f>IFERROR(__xludf.DUMMYFUNCTION("""COMPUTED_VALUE"""),0.38)</f>
        <v>0.38</v>
      </c>
      <c r="H10" s="318">
        <f>IFERROR(__xludf.DUMMYFUNCTION("""COMPUTED_VALUE"""),0.25)</f>
        <v>0.25</v>
      </c>
      <c r="I10" s="318">
        <f>IFERROR(__xludf.DUMMYFUNCTION("""COMPUTED_VALUE"""),0.2)</f>
        <v>0.2</v>
      </c>
      <c r="J10" s="318">
        <f>IFERROR(__xludf.DUMMYFUNCTION("""COMPUTED_VALUE"""),0.06)</f>
        <v>0.06</v>
      </c>
      <c r="K10" s="318">
        <f>IFERROR(__xludf.DUMMYFUNCTION("""COMPUTED_VALUE"""),0.0)</f>
        <v>0</v>
      </c>
      <c r="L10" s="318">
        <f>IFERROR(__xludf.DUMMYFUNCTION("""COMPUTED_VALUE"""),0.0)</f>
        <v>0</v>
      </c>
      <c r="M10" s="318">
        <f>IFERROR(__xludf.DUMMYFUNCTION("""COMPUTED_VALUE"""),0.03)</f>
        <v>0.03</v>
      </c>
      <c r="N10" s="318">
        <f>IFERROR(__xludf.DUMMYFUNCTION("""COMPUTED_VALUE"""),0.04)</f>
        <v>0.04</v>
      </c>
    </row>
    <row r="11">
      <c r="A11" s="159" t="s">
        <v>260</v>
      </c>
      <c r="B11" s="15">
        <f>IFERROR(__xludf.DUMMYFUNCTION("SPLIT(A11,"" "")"),10.0)</f>
        <v>10</v>
      </c>
      <c r="C11" s="318">
        <f>IFERROR(__xludf.DUMMYFUNCTION("""COMPUTED_VALUE"""),0.36)</f>
        <v>0.36</v>
      </c>
      <c r="D11" s="318">
        <f>IFERROR(__xludf.DUMMYFUNCTION("""COMPUTED_VALUE"""),0.26)</f>
        <v>0.26</v>
      </c>
      <c r="E11" s="318">
        <f>IFERROR(__xludf.DUMMYFUNCTION("""COMPUTED_VALUE"""),0.42)</f>
        <v>0.42</v>
      </c>
      <c r="F11" s="318">
        <f>IFERROR(__xludf.DUMMYFUNCTION("""COMPUTED_VALUE"""),0.31)</f>
        <v>0.31</v>
      </c>
      <c r="G11" s="318">
        <f>IFERROR(__xludf.DUMMYFUNCTION("""COMPUTED_VALUE"""),0.29)</f>
        <v>0.29</v>
      </c>
      <c r="H11" s="318">
        <f>IFERROR(__xludf.DUMMYFUNCTION("""COMPUTED_VALUE"""),0.16)</f>
        <v>0.16</v>
      </c>
      <c r="I11" s="318">
        <f>IFERROR(__xludf.DUMMYFUNCTION("""COMPUTED_VALUE"""),0.11)</f>
        <v>0.11</v>
      </c>
      <c r="J11" s="318">
        <f>IFERROR(__xludf.DUMMYFUNCTION("""COMPUTED_VALUE"""),0.02)</f>
        <v>0.02</v>
      </c>
      <c r="K11" s="318">
        <f>IFERROR(__xludf.DUMMYFUNCTION("""COMPUTED_VALUE"""),0.01)</f>
        <v>0.01</v>
      </c>
      <c r="L11" s="318">
        <f>IFERROR(__xludf.DUMMYFUNCTION("""COMPUTED_VALUE"""),0.02)</f>
        <v>0.02</v>
      </c>
      <c r="M11" s="318">
        <f>IFERROR(__xludf.DUMMYFUNCTION("""COMPUTED_VALUE"""),0.08)</f>
        <v>0.08</v>
      </c>
      <c r="N11" s="318">
        <f>IFERROR(__xludf.DUMMYFUNCTION("""COMPUTED_VALUE"""),0.09)</f>
        <v>0.09</v>
      </c>
    </row>
    <row r="12">
      <c r="A12" s="159" t="s">
        <v>261</v>
      </c>
      <c r="B12" s="15">
        <f>IFERROR(__xludf.DUMMYFUNCTION("SPLIT(A12,"" "")"),11.0)</f>
        <v>11</v>
      </c>
      <c r="C12" s="318">
        <f>IFERROR(__xludf.DUMMYFUNCTION("""COMPUTED_VALUE"""),0.27)</f>
        <v>0.27</v>
      </c>
      <c r="D12" s="318">
        <f>IFERROR(__xludf.DUMMYFUNCTION("""COMPUTED_VALUE"""),0.18)</f>
        <v>0.18</v>
      </c>
      <c r="E12" s="318">
        <f>IFERROR(__xludf.DUMMYFUNCTION("""COMPUTED_VALUE"""),0.33)</f>
        <v>0.33</v>
      </c>
      <c r="F12" s="318">
        <f>IFERROR(__xludf.DUMMYFUNCTION("""COMPUTED_VALUE"""),0.23)</f>
        <v>0.23</v>
      </c>
      <c r="G12" s="318">
        <f>IFERROR(__xludf.DUMMYFUNCTION("""COMPUTED_VALUE"""),0.2)</f>
        <v>0.2</v>
      </c>
      <c r="H12" s="318">
        <f>IFERROR(__xludf.DUMMYFUNCTION("""COMPUTED_VALUE"""),0.09)</f>
        <v>0.09</v>
      </c>
      <c r="I12" s="318">
        <f>IFERROR(__xludf.DUMMYFUNCTION("""COMPUTED_VALUE"""),0.05)</f>
        <v>0.05</v>
      </c>
      <c r="J12" s="318">
        <f>IFERROR(__xludf.DUMMYFUNCTION("""COMPUTED_VALUE"""),0.0)</f>
        <v>0</v>
      </c>
      <c r="K12" s="318">
        <f>IFERROR(__xludf.DUMMYFUNCTION("""COMPUTED_VALUE"""),0.04)</f>
        <v>0.04</v>
      </c>
      <c r="L12" s="318">
        <f>IFERROR(__xludf.DUMMYFUNCTION("""COMPUTED_VALUE"""),0.06)</f>
        <v>0.06</v>
      </c>
      <c r="M12" s="318">
        <f>IFERROR(__xludf.DUMMYFUNCTION("""COMPUTED_VALUE"""),0.14)</f>
        <v>0.14</v>
      </c>
      <c r="N12" s="318">
        <f>IFERROR(__xludf.DUMMYFUNCTION("""COMPUTED_VALUE"""),0.15)</f>
        <v>0.15</v>
      </c>
    </row>
    <row r="13">
      <c r="A13" s="159" t="s">
        <v>262</v>
      </c>
      <c r="B13" s="15">
        <f>IFERROR(__xludf.DUMMYFUNCTION("SPLIT(A13,"" "")"),12.0)</f>
        <v>12</v>
      </c>
      <c r="C13" s="318">
        <f>IFERROR(__xludf.DUMMYFUNCTION("""COMPUTED_VALUE"""),0.19)</f>
        <v>0.19</v>
      </c>
      <c r="D13" s="318">
        <f>IFERROR(__xludf.DUMMYFUNCTION("""COMPUTED_VALUE"""),0.11)</f>
        <v>0.11</v>
      </c>
      <c r="E13" s="318">
        <f>IFERROR(__xludf.DUMMYFUNCTION("""COMPUTED_VALUE"""),0.24)</f>
        <v>0.24</v>
      </c>
      <c r="F13" s="318">
        <f>IFERROR(__xludf.DUMMYFUNCTION("""COMPUTED_VALUE"""),0.15)</f>
        <v>0.15</v>
      </c>
      <c r="G13" s="318">
        <f>IFERROR(__xludf.DUMMYFUNCTION("""COMPUTED_VALUE"""),0.12)</f>
        <v>0.12</v>
      </c>
      <c r="H13" s="318">
        <f>IFERROR(__xludf.DUMMYFUNCTION("""COMPUTED_VALUE"""),0.03)</f>
        <v>0.03</v>
      </c>
      <c r="I13" s="318">
        <f>IFERROR(__xludf.DUMMYFUNCTION("""COMPUTED_VALUE"""),0.01)</f>
        <v>0.01</v>
      </c>
      <c r="J13" s="318">
        <f>IFERROR(__xludf.DUMMYFUNCTION("""COMPUTED_VALUE"""),0.01)</f>
        <v>0.01</v>
      </c>
      <c r="K13" s="318">
        <f>IFERROR(__xludf.DUMMYFUNCTION("""COMPUTED_VALUE"""),0.09)</f>
        <v>0.09</v>
      </c>
      <c r="L13" s="318">
        <f>IFERROR(__xludf.DUMMYFUNCTION("""COMPUTED_VALUE"""),0.12)</f>
        <v>0.12</v>
      </c>
      <c r="M13" s="318">
        <f>IFERROR(__xludf.DUMMYFUNCTION("""COMPUTED_VALUE"""),0.21)</f>
        <v>0.21</v>
      </c>
      <c r="N13" s="318">
        <f>IFERROR(__xludf.DUMMYFUNCTION("""COMPUTED_VALUE"""),0.22)</f>
        <v>0.22</v>
      </c>
    </row>
    <row r="14">
      <c r="A14" s="159" t="s">
        <v>263</v>
      </c>
      <c r="B14" s="15">
        <f>IFERROR(__xludf.DUMMYFUNCTION("SPLIT(A14,"" "")"),13.0)</f>
        <v>13</v>
      </c>
      <c r="C14" s="318">
        <f>IFERROR(__xludf.DUMMYFUNCTION("""COMPUTED_VALUE"""),0.12)</f>
        <v>0.12</v>
      </c>
      <c r="D14" s="318">
        <f>IFERROR(__xludf.DUMMYFUNCTION("""COMPUTED_VALUE"""),0.06)</f>
        <v>0.06</v>
      </c>
      <c r="E14" s="318">
        <f>IFERROR(__xludf.DUMMYFUNCTION("""COMPUTED_VALUE"""),0.17)</f>
        <v>0.17</v>
      </c>
      <c r="F14" s="318">
        <f>IFERROR(__xludf.DUMMYFUNCTION("""COMPUTED_VALUE"""),0.09)</f>
        <v>0.09</v>
      </c>
      <c r="G14" s="318">
        <f>IFERROR(__xludf.DUMMYFUNCTION("""COMPUTED_VALUE"""),0.06)</f>
        <v>0.06</v>
      </c>
      <c r="H14" s="318">
        <f>IFERROR(__xludf.DUMMYFUNCTION("""COMPUTED_VALUE"""),0.0)</f>
        <v>0</v>
      </c>
      <c r="I14" s="318">
        <f>IFERROR(__xludf.DUMMYFUNCTION("""COMPUTED_VALUE"""),0.0)</f>
        <v>0</v>
      </c>
      <c r="J14" s="318">
        <f>IFERROR(__xludf.DUMMYFUNCTION("""COMPUTED_VALUE"""),0.05)</f>
        <v>0.05</v>
      </c>
      <c r="K14" s="318">
        <f>IFERROR(__xludf.DUMMYFUNCTION("""COMPUTED_VALUE"""),0.16)</f>
        <v>0.16</v>
      </c>
      <c r="L14" s="318">
        <f>IFERROR(__xludf.DUMMYFUNCTION("""COMPUTED_VALUE"""),0.19)</f>
        <v>0.19</v>
      </c>
      <c r="M14" s="318">
        <f>IFERROR(__xludf.DUMMYFUNCTION("""COMPUTED_VALUE"""),0.29)</f>
        <v>0.29</v>
      </c>
      <c r="N14" s="318">
        <f>IFERROR(__xludf.DUMMYFUNCTION("""COMPUTED_VALUE"""),0.3)</f>
        <v>0.3</v>
      </c>
    </row>
    <row r="15">
      <c r="A15" s="159" t="s">
        <v>264</v>
      </c>
      <c r="B15" s="15">
        <f>IFERROR(__xludf.DUMMYFUNCTION("SPLIT(A15,"" "")"),14.0)</f>
        <v>14</v>
      </c>
      <c r="C15" s="318">
        <f>IFERROR(__xludf.DUMMYFUNCTION("""COMPUTED_VALUE"""),0.07)</f>
        <v>0.07</v>
      </c>
      <c r="D15" s="318">
        <f>IFERROR(__xludf.DUMMYFUNCTION("""COMPUTED_VALUE"""),0.02)</f>
        <v>0.02</v>
      </c>
      <c r="E15" s="318">
        <f>IFERROR(__xludf.DUMMYFUNCTION("""COMPUTED_VALUE"""),0.1)</f>
        <v>0.1</v>
      </c>
      <c r="F15" s="318">
        <f>IFERROR(__xludf.DUMMYFUNCTION("""COMPUTED_VALUE"""),0.04)</f>
        <v>0.04</v>
      </c>
      <c r="G15" s="318">
        <f>IFERROR(__xludf.DUMMYFUNCTION("""COMPUTED_VALUE"""),0.02)</f>
        <v>0.02</v>
      </c>
      <c r="H15" s="318">
        <f>IFERROR(__xludf.DUMMYFUNCTION("""COMPUTED_VALUE"""),0.0)</f>
        <v>0</v>
      </c>
      <c r="I15" s="318">
        <f>IFERROR(__xludf.DUMMYFUNCTION("""COMPUTED_VALUE"""),0.02)</f>
        <v>0.02</v>
      </c>
      <c r="J15" s="318">
        <f>IFERROR(__xludf.DUMMYFUNCTION("""COMPUTED_VALUE"""),0.12)</f>
        <v>0.12</v>
      </c>
      <c r="K15" s="318">
        <f>IFERROR(__xludf.DUMMYFUNCTION("""COMPUTED_VALUE"""),0.25)</f>
        <v>0.25</v>
      </c>
      <c r="L15" s="318">
        <f>IFERROR(__xludf.DUMMYFUNCTION("""COMPUTED_VALUE"""),0.28)</f>
        <v>0.28</v>
      </c>
      <c r="M15" s="318">
        <f>IFERROR(__xludf.DUMMYFUNCTION("""COMPUTED_VALUE"""),0.38)</f>
        <v>0.38</v>
      </c>
      <c r="N15" s="318">
        <f>IFERROR(__xludf.DUMMYFUNCTION("""COMPUTED_VALUE"""),0.39)</f>
        <v>0.39</v>
      </c>
    </row>
    <row r="16">
      <c r="A16" s="159" t="s">
        <v>265</v>
      </c>
      <c r="B16" s="15">
        <f>IFERROR(__xludf.DUMMYFUNCTION("SPLIT(A16,"" "")"),15.0)</f>
        <v>15</v>
      </c>
      <c r="C16" s="318">
        <f>IFERROR(__xludf.DUMMYFUNCTION("""COMPUTED_VALUE"""),0.03)</f>
        <v>0.03</v>
      </c>
      <c r="D16" s="318">
        <f>IFERROR(__xludf.DUMMYFUNCTION("""COMPUTED_VALUE"""),0.0)</f>
        <v>0</v>
      </c>
      <c r="E16" s="318">
        <f>IFERROR(__xludf.DUMMYFUNCTION("""COMPUTED_VALUE"""),0.05)</f>
        <v>0.05</v>
      </c>
      <c r="F16" s="318">
        <f>IFERROR(__xludf.DUMMYFUNCTION("""COMPUTED_VALUE"""),0.01)</f>
        <v>0.01</v>
      </c>
      <c r="G16" s="318">
        <f>IFERROR(__xludf.DUMMYFUNCTION("""COMPUTED_VALUE"""),0.0)</f>
        <v>0</v>
      </c>
      <c r="H16" s="318">
        <f>IFERROR(__xludf.DUMMYFUNCTION("""COMPUTED_VALUE"""),0.03)</f>
        <v>0.03</v>
      </c>
      <c r="I16" s="318">
        <f>IFERROR(__xludf.DUMMYFUNCTION("""COMPUTED_VALUE"""),0.07)</f>
        <v>0.07</v>
      </c>
      <c r="J16" s="318">
        <f>IFERROR(__xludf.DUMMYFUNCTION("""COMPUTED_VALUE"""),0.2)</f>
        <v>0.2</v>
      </c>
      <c r="K16" s="318">
        <f>IFERROR(__xludf.DUMMYFUNCTION("""COMPUTED_VALUE"""),0.34)</f>
        <v>0.34</v>
      </c>
      <c r="L16" s="318">
        <f>IFERROR(__xludf.DUMMYFUNCTION("""COMPUTED_VALUE"""),0.37)</f>
        <v>0.37</v>
      </c>
      <c r="M16" s="318">
        <f>IFERROR(__xludf.DUMMYFUNCTION("""COMPUTED_VALUE"""),0.47)</f>
        <v>0.47</v>
      </c>
      <c r="N16" s="318">
        <f>IFERROR(__xludf.DUMMYFUNCTION("""COMPUTED_VALUE"""),0.49)</f>
        <v>0.49</v>
      </c>
    </row>
    <row r="17">
      <c r="A17" s="159" t="s">
        <v>266</v>
      </c>
      <c r="B17" s="15">
        <f>IFERROR(__xludf.DUMMYFUNCTION("SPLIT(A17,"" "")"),16.0)</f>
        <v>16</v>
      </c>
      <c r="C17" s="318">
        <f>IFERROR(__xludf.DUMMYFUNCTION("""COMPUTED_VALUE"""),0.01)</f>
        <v>0.01</v>
      </c>
      <c r="D17" s="318">
        <f>IFERROR(__xludf.DUMMYFUNCTION("""COMPUTED_VALUE"""),0.0)</f>
        <v>0</v>
      </c>
      <c r="E17" s="318">
        <f>IFERROR(__xludf.DUMMYFUNCTION("""COMPUTED_VALUE"""),0.02)</f>
        <v>0.02</v>
      </c>
      <c r="F17" s="318">
        <f>IFERROR(__xludf.DUMMYFUNCTION("""COMPUTED_VALUE"""),0.0)</f>
        <v>0</v>
      </c>
      <c r="G17" s="318">
        <f>IFERROR(__xludf.DUMMYFUNCTION("""COMPUTED_VALUE"""),0.01)</f>
        <v>0.01</v>
      </c>
      <c r="H17" s="318">
        <f>IFERROR(__xludf.DUMMYFUNCTION("""COMPUTED_VALUE"""),0.09)</f>
        <v>0.09</v>
      </c>
      <c r="I17" s="318">
        <f>IFERROR(__xludf.DUMMYFUNCTION("""COMPUTED_VALUE"""),0.15)</f>
        <v>0.15</v>
      </c>
      <c r="J17" s="318">
        <f>IFERROR(__xludf.DUMMYFUNCTION("""COMPUTED_VALUE"""),0.3)</f>
        <v>0.3</v>
      </c>
      <c r="K17" s="318">
        <f>IFERROR(__xludf.DUMMYFUNCTION("""COMPUTED_VALUE"""),0.44)</f>
        <v>0.44</v>
      </c>
      <c r="L17" s="318">
        <f>IFERROR(__xludf.DUMMYFUNCTION("""COMPUTED_VALUE"""),0.46)</f>
        <v>0.46</v>
      </c>
      <c r="M17" s="318">
        <f>IFERROR(__xludf.DUMMYFUNCTION("""COMPUTED_VALUE"""),0.57)</f>
        <v>0.57</v>
      </c>
      <c r="N17" s="318">
        <f>IFERROR(__xludf.DUMMYFUNCTION("""COMPUTED_VALUE"""),0.58)</f>
        <v>0.58</v>
      </c>
    </row>
    <row r="18">
      <c r="A18" s="159" t="s">
        <v>267</v>
      </c>
      <c r="B18" s="15">
        <f>IFERROR(__xludf.DUMMYFUNCTION("SPLIT(A18,"" "")"),17.0)</f>
        <v>17</v>
      </c>
      <c r="C18" s="318">
        <f>IFERROR(__xludf.DUMMYFUNCTION("""COMPUTED_VALUE"""),0.0)</f>
        <v>0</v>
      </c>
      <c r="D18" s="318">
        <f>IFERROR(__xludf.DUMMYFUNCTION("""COMPUTED_VALUE"""),0.02)</f>
        <v>0.02</v>
      </c>
      <c r="E18" s="318">
        <f>IFERROR(__xludf.DUMMYFUNCTION("""COMPUTED_VALUE"""),0.0)</f>
        <v>0</v>
      </c>
      <c r="F18" s="318">
        <f>IFERROR(__xludf.DUMMYFUNCTION("""COMPUTED_VALUE"""),0.02)</f>
        <v>0.02</v>
      </c>
      <c r="G18" s="318">
        <f>IFERROR(__xludf.DUMMYFUNCTION("""COMPUTED_VALUE"""),0.05)</f>
        <v>0.05</v>
      </c>
      <c r="H18" s="318">
        <f>IFERROR(__xludf.DUMMYFUNCTION("""COMPUTED_VALUE"""),0.17)</f>
        <v>0.17</v>
      </c>
      <c r="I18" s="318">
        <f>IFERROR(__xludf.DUMMYFUNCTION("""COMPUTED_VALUE"""),0.24)</f>
        <v>0.24</v>
      </c>
      <c r="J18" s="318">
        <f>IFERROR(__xludf.DUMMYFUNCTION("""COMPUTED_VALUE"""),0.4)</f>
        <v>0.4</v>
      </c>
      <c r="K18" s="318">
        <f>IFERROR(__xludf.DUMMYFUNCTION("""COMPUTED_VALUE"""),0.54)</f>
        <v>0.54</v>
      </c>
      <c r="L18" s="318">
        <f>IFERROR(__xludf.DUMMYFUNCTION("""COMPUTED_VALUE"""),0.56)</f>
        <v>0.56</v>
      </c>
      <c r="M18" s="318">
        <f>IFERROR(__xludf.DUMMYFUNCTION("""COMPUTED_VALUE"""),0.66)</f>
        <v>0.66</v>
      </c>
      <c r="N18" s="318">
        <f>IFERROR(__xludf.DUMMYFUNCTION("""COMPUTED_VALUE"""),0.68)</f>
        <v>0.68</v>
      </c>
    </row>
    <row r="19">
      <c r="A19" s="159" t="s">
        <v>268</v>
      </c>
      <c r="B19" s="15">
        <f>IFERROR(__xludf.DUMMYFUNCTION("SPLIT(A19,"" "")"),18.0)</f>
        <v>18</v>
      </c>
      <c r="C19" s="318">
        <f>IFERROR(__xludf.DUMMYFUNCTION("""COMPUTED_VALUE"""),0.01)</f>
        <v>0.01</v>
      </c>
      <c r="D19" s="318">
        <f>IFERROR(__xludf.DUMMYFUNCTION("""COMPUTED_VALUE"""),0.06)</f>
        <v>0.06</v>
      </c>
      <c r="E19" s="318">
        <f>IFERROR(__xludf.DUMMYFUNCTION("""COMPUTED_VALUE"""),0.01)</f>
        <v>0.01</v>
      </c>
      <c r="F19" s="318">
        <f>IFERROR(__xludf.DUMMYFUNCTION("""COMPUTED_VALUE"""),0.07)</f>
        <v>0.07</v>
      </c>
      <c r="G19" s="318">
        <f>IFERROR(__xludf.DUMMYFUNCTION("""COMPUTED_VALUE"""),0.11)</f>
        <v>0.11</v>
      </c>
      <c r="H19" s="318">
        <f>IFERROR(__xludf.DUMMYFUNCTION("""COMPUTED_VALUE"""),0.27)</f>
        <v>0.27</v>
      </c>
      <c r="I19" s="318">
        <f>IFERROR(__xludf.DUMMYFUNCTION("""COMPUTED_VALUE"""),0.34)</f>
        <v>0.34</v>
      </c>
      <c r="J19" s="318">
        <f>IFERROR(__xludf.DUMMYFUNCTION("""COMPUTED_VALUE"""),0.5)</f>
        <v>0.5</v>
      </c>
      <c r="K19" s="318">
        <f>IFERROR(__xludf.DUMMYFUNCTION("""COMPUTED_VALUE"""),0.63)</f>
        <v>0.63</v>
      </c>
      <c r="L19" s="318">
        <f>IFERROR(__xludf.DUMMYFUNCTION("""COMPUTED_VALUE"""),0.65)</f>
        <v>0.65</v>
      </c>
      <c r="M19" s="318">
        <f>IFERROR(__xludf.DUMMYFUNCTION("""COMPUTED_VALUE"""),0.75)</f>
        <v>0.75</v>
      </c>
      <c r="N19" s="318">
        <f>IFERROR(__xludf.DUMMYFUNCTION("""COMPUTED_VALUE"""),0.77)</f>
        <v>0.77</v>
      </c>
    </row>
    <row r="20">
      <c r="A20" s="159" t="s">
        <v>269</v>
      </c>
      <c r="B20" s="15">
        <f>IFERROR(__xludf.DUMMYFUNCTION("SPLIT(A20,"" "")"),19.0)</f>
        <v>19</v>
      </c>
      <c r="C20" s="318">
        <f>IFERROR(__xludf.DUMMYFUNCTION("""COMPUTED_VALUE"""),0.05)</f>
        <v>0.05</v>
      </c>
      <c r="D20" s="318">
        <f>IFERROR(__xludf.DUMMYFUNCTION("""COMPUTED_VALUE"""),0.12)</f>
        <v>0.12</v>
      </c>
      <c r="E20" s="318">
        <f>IFERROR(__xludf.DUMMYFUNCTION("""COMPUTED_VALUE"""),0.04)</f>
        <v>0.04</v>
      </c>
      <c r="F20" s="318">
        <f>IFERROR(__xludf.DUMMYFUNCTION("""COMPUTED_VALUE"""),0.13)</f>
        <v>0.13</v>
      </c>
      <c r="G20" s="318">
        <f>IFERROR(__xludf.DUMMYFUNCTION("""COMPUTED_VALUE"""),0.2)</f>
        <v>0.2</v>
      </c>
      <c r="H20" s="318">
        <f>IFERROR(__xludf.DUMMYFUNCTION("""COMPUTED_VALUE"""),0.38)</f>
        <v>0.38</v>
      </c>
      <c r="I20" s="318">
        <f>IFERROR(__xludf.DUMMYFUNCTION("""COMPUTED_VALUE"""),0.45)</f>
        <v>0.45</v>
      </c>
      <c r="J20" s="318">
        <f>IFERROR(__xludf.DUMMYFUNCTION("""COMPUTED_VALUE"""),0.6)</f>
        <v>0.6</v>
      </c>
      <c r="K20" s="318">
        <f>IFERROR(__xludf.DUMMYFUNCTION("""COMPUTED_VALUE"""),0.72)</f>
        <v>0.72</v>
      </c>
      <c r="L20" s="318">
        <f>IFERROR(__xludf.DUMMYFUNCTION("""COMPUTED_VALUE"""),0.74)</f>
        <v>0.74</v>
      </c>
      <c r="M20" s="318">
        <f>IFERROR(__xludf.DUMMYFUNCTION("""COMPUTED_VALUE"""),0.83)</f>
        <v>0.83</v>
      </c>
      <c r="N20" s="318">
        <f>IFERROR(__xludf.DUMMYFUNCTION("""COMPUTED_VALUE"""),0.85)</f>
        <v>0.85</v>
      </c>
    </row>
    <row r="21">
      <c r="A21" s="159" t="s">
        <v>270</v>
      </c>
      <c r="B21" s="15">
        <f>IFERROR(__xludf.DUMMYFUNCTION("SPLIT(A21,"" "")"),20.0)</f>
        <v>20</v>
      </c>
      <c r="C21" s="318">
        <f>IFERROR(__xludf.DUMMYFUNCTION("""COMPUTED_VALUE"""),0.09)</f>
        <v>0.09</v>
      </c>
      <c r="D21" s="318">
        <f>IFERROR(__xludf.DUMMYFUNCTION("""COMPUTED_VALUE"""),0.2)</f>
        <v>0.2</v>
      </c>
      <c r="E21" s="318">
        <f>IFERROR(__xludf.DUMMYFUNCTION("""COMPUTED_VALUE"""),0.09)</f>
        <v>0.09</v>
      </c>
      <c r="F21" s="318">
        <f>IFERROR(__xludf.DUMMYFUNCTION("""COMPUTED_VALUE"""),0.22)</f>
        <v>0.22</v>
      </c>
      <c r="G21" s="318">
        <f>IFERROR(__xludf.DUMMYFUNCTION("""COMPUTED_VALUE"""),0.3)</f>
        <v>0.3</v>
      </c>
      <c r="H21" s="318">
        <f>IFERROR(__xludf.DUMMYFUNCTION("""COMPUTED_VALUE"""),0.49)</f>
        <v>0.49</v>
      </c>
      <c r="I21" s="318">
        <f>IFERROR(__xludf.DUMMYFUNCTION("""COMPUTED_VALUE"""),0.55)</f>
        <v>0.55</v>
      </c>
      <c r="J21" s="318">
        <f>IFERROR(__xludf.DUMMYFUNCTION("""COMPUTED_VALUE"""),0.69)</f>
        <v>0.69</v>
      </c>
      <c r="K21" s="318">
        <f>IFERROR(__xludf.DUMMYFUNCTION("""COMPUTED_VALUE"""),0.8)</f>
        <v>0.8</v>
      </c>
      <c r="L21" s="318">
        <f>IFERROR(__xludf.DUMMYFUNCTION("""COMPUTED_VALUE"""),0.81)</f>
        <v>0.81</v>
      </c>
      <c r="M21" s="318">
        <f>IFERROR(__xludf.DUMMYFUNCTION("""COMPUTED_VALUE"""),0.9)</f>
        <v>0.9</v>
      </c>
      <c r="N21" s="318">
        <f>IFERROR(__xludf.DUMMYFUNCTION("""COMPUTED_VALUE"""),0.92)</f>
        <v>0.92</v>
      </c>
    </row>
    <row r="22">
      <c r="A22" s="159" t="s">
        <v>271</v>
      </c>
      <c r="B22" s="15">
        <f>IFERROR(__xludf.DUMMYFUNCTION("SPLIT(A22,"" "")"),21.0)</f>
        <v>21</v>
      </c>
      <c r="C22" s="318">
        <f>IFERROR(__xludf.DUMMYFUNCTION("""COMPUTED_VALUE"""),0.16)</f>
        <v>0.16</v>
      </c>
      <c r="D22" s="318">
        <f>IFERROR(__xludf.DUMMYFUNCTION("""COMPUTED_VALUE"""),0.29)</f>
        <v>0.29</v>
      </c>
      <c r="E22" s="318">
        <f>IFERROR(__xludf.DUMMYFUNCTION("""COMPUTED_VALUE"""),0.16)</f>
        <v>0.16</v>
      </c>
      <c r="F22" s="318">
        <f>IFERROR(__xludf.DUMMYFUNCTION("""COMPUTED_VALUE"""),0.32)</f>
        <v>0.32</v>
      </c>
      <c r="G22" s="318">
        <f>IFERROR(__xludf.DUMMYFUNCTION("""COMPUTED_VALUE"""),0.41)</f>
        <v>0.41</v>
      </c>
      <c r="H22" s="318">
        <f>IFERROR(__xludf.DUMMYFUNCTION("""COMPUTED_VALUE"""),0.6)</f>
        <v>0.6</v>
      </c>
      <c r="I22" s="318">
        <f>IFERROR(__xludf.DUMMYFUNCTION("""COMPUTED_VALUE"""),0.65)</f>
        <v>0.65</v>
      </c>
      <c r="J22" s="318">
        <f>IFERROR(__xludf.DUMMYFUNCTION("""COMPUTED_VALUE"""),0.78)</f>
        <v>0.78</v>
      </c>
      <c r="K22" s="318">
        <f>IFERROR(__xludf.DUMMYFUNCTION("""COMPUTED_VALUE"""),0.87)</f>
        <v>0.87</v>
      </c>
      <c r="L22" s="318">
        <f>IFERROR(__xludf.DUMMYFUNCTION("""COMPUTED_VALUE"""),0.88)</f>
        <v>0.88</v>
      </c>
      <c r="M22" s="318">
        <f>IFERROR(__xludf.DUMMYFUNCTION("""COMPUTED_VALUE"""),0.95)</f>
        <v>0.95</v>
      </c>
      <c r="N22" s="318">
        <f>IFERROR(__xludf.DUMMYFUNCTION("""COMPUTED_VALUE"""),0.97)</f>
        <v>0.97</v>
      </c>
    </row>
    <row r="23">
      <c r="A23" s="159" t="s">
        <v>272</v>
      </c>
      <c r="B23" s="15">
        <f>IFERROR(__xludf.DUMMYFUNCTION("SPLIT(A23,"" "")"),22.0)</f>
        <v>22</v>
      </c>
      <c r="C23" s="318">
        <f>IFERROR(__xludf.DUMMYFUNCTION("""COMPUTED_VALUE"""),0.24)</f>
        <v>0.24</v>
      </c>
      <c r="D23" s="318">
        <f>IFERROR(__xludf.DUMMYFUNCTION("""COMPUTED_VALUE"""),0.39)</f>
        <v>0.39</v>
      </c>
      <c r="E23" s="318">
        <f>IFERROR(__xludf.DUMMYFUNCTION("""COMPUTED_VALUE"""),0.25)</f>
        <v>0.25</v>
      </c>
      <c r="F23" s="318">
        <f>IFERROR(__xludf.DUMMYFUNCTION("""COMPUTED_VALUE"""),0.44)</f>
        <v>0.44</v>
      </c>
      <c r="G23" s="318">
        <f>IFERROR(__xludf.DUMMYFUNCTION("""COMPUTED_VALUE"""),0.52)</f>
        <v>0.52</v>
      </c>
      <c r="H23" s="318">
        <f>IFERROR(__xludf.DUMMYFUNCTION("""COMPUTED_VALUE"""),0.7)</f>
        <v>0.7</v>
      </c>
      <c r="I23" s="318">
        <f>IFERROR(__xludf.DUMMYFUNCTION("""COMPUTED_VALUE"""),0.75)</f>
        <v>0.75</v>
      </c>
      <c r="J23" s="318">
        <f>IFERROR(__xludf.DUMMYFUNCTION("""COMPUTED_VALUE"""),0.85)</f>
        <v>0.85</v>
      </c>
      <c r="K23" s="318">
        <f>IFERROR(__xludf.DUMMYFUNCTION("""COMPUTED_VALUE"""),0.93)</f>
        <v>0.93</v>
      </c>
      <c r="L23" s="318">
        <f>IFERROR(__xludf.DUMMYFUNCTION("""COMPUTED_VALUE"""),0.94)</f>
        <v>0.94</v>
      </c>
      <c r="M23" s="318">
        <f>IFERROR(__xludf.DUMMYFUNCTION("""COMPUTED_VALUE"""),0.99)</f>
        <v>0.99</v>
      </c>
      <c r="N23" s="318">
        <f>IFERROR(__xludf.DUMMYFUNCTION("""COMPUTED_VALUE"""),1.0)</f>
        <v>1</v>
      </c>
    </row>
    <row r="24">
      <c r="A24" s="159" t="s">
        <v>273</v>
      </c>
      <c r="B24" s="15">
        <f>IFERROR(__xludf.DUMMYFUNCTION("SPLIT(A24,"" "")"),23.0)</f>
        <v>23</v>
      </c>
      <c r="C24" s="318">
        <f>IFERROR(__xludf.DUMMYFUNCTION("""COMPUTED_VALUE"""),0.33)</f>
        <v>0.33</v>
      </c>
      <c r="D24" s="318">
        <f>IFERROR(__xludf.DUMMYFUNCTION("""COMPUTED_VALUE"""),0.5)</f>
        <v>0.5</v>
      </c>
      <c r="E24" s="318">
        <f>IFERROR(__xludf.DUMMYFUNCTION("""COMPUTED_VALUE"""),0.35)</f>
        <v>0.35</v>
      </c>
      <c r="F24" s="318">
        <f>IFERROR(__xludf.DUMMYFUNCTION("""COMPUTED_VALUE"""),0.55)</f>
        <v>0.55</v>
      </c>
      <c r="G24" s="318">
        <f>IFERROR(__xludf.DUMMYFUNCTION("""COMPUTED_VALUE"""),0.63)</f>
        <v>0.63</v>
      </c>
      <c r="H24" s="318">
        <f>IFERROR(__xludf.DUMMYFUNCTION("""COMPUTED_VALUE"""),0.79)</f>
        <v>0.79</v>
      </c>
      <c r="I24" s="318">
        <f>IFERROR(__xludf.DUMMYFUNCTION("""COMPUTED_VALUE"""),0.83)</f>
        <v>0.83</v>
      </c>
      <c r="J24" s="318">
        <f>IFERROR(__xludf.DUMMYFUNCTION("""COMPUTED_VALUE"""),0.91)</f>
        <v>0.91</v>
      </c>
      <c r="K24" s="318">
        <f>IFERROR(__xludf.DUMMYFUNCTION("""COMPUTED_VALUE"""),0.97)</f>
        <v>0.97</v>
      </c>
      <c r="L24" s="318">
        <f>IFERROR(__xludf.DUMMYFUNCTION("""COMPUTED_VALUE"""),0.98)</f>
        <v>0.98</v>
      </c>
      <c r="M24" s="318">
        <f>IFERROR(__xludf.DUMMYFUNCTION("""COMPUTED_VALUE"""),1.0)</f>
        <v>1</v>
      </c>
      <c r="N24" s="318">
        <f>IFERROR(__xludf.DUMMYFUNCTION("""COMPUTED_VALUE"""),0.99)</f>
        <v>0.99</v>
      </c>
    </row>
    <row r="25">
      <c r="A25" s="159" t="s">
        <v>274</v>
      </c>
      <c r="B25" s="15">
        <f>IFERROR(__xludf.DUMMYFUNCTION("SPLIT(A25,"" "")"),24.0)</f>
        <v>24</v>
      </c>
      <c r="C25" s="318">
        <f>IFERROR(__xludf.DUMMYFUNCTION("""COMPUTED_VALUE"""),0.44)</f>
        <v>0.44</v>
      </c>
      <c r="D25" s="318">
        <f>IFERROR(__xludf.DUMMYFUNCTION("""COMPUTED_VALUE"""),0.61)</f>
        <v>0.61</v>
      </c>
      <c r="E25" s="318">
        <f>IFERROR(__xludf.DUMMYFUNCTION("""COMPUTED_VALUE"""),0.47)</f>
        <v>0.47</v>
      </c>
      <c r="F25" s="318">
        <f>IFERROR(__xludf.DUMMYFUNCTION("""COMPUTED_VALUE"""),0.66)</f>
        <v>0.66</v>
      </c>
      <c r="G25" s="318">
        <f>IFERROR(__xludf.DUMMYFUNCTION("""COMPUTED_VALUE"""),0.73)</f>
        <v>0.73</v>
      </c>
      <c r="H25" s="318">
        <f>IFERROR(__xludf.DUMMYFUNCTION("""COMPUTED_VALUE"""),0.86)</f>
        <v>0.86</v>
      </c>
      <c r="I25" s="318">
        <f>IFERROR(__xludf.DUMMYFUNCTION("""COMPUTED_VALUE"""),0.89)</f>
        <v>0.89</v>
      </c>
      <c r="J25" s="318">
        <f>IFERROR(__xludf.DUMMYFUNCTION("""COMPUTED_VALUE"""),0.96)</f>
        <v>0.96</v>
      </c>
      <c r="K25" s="318">
        <f>IFERROR(__xludf.DUMMYFUNCTION("""COMPUTED_VALUE"""),0.99)</f>
        <v>0.99</v>
      </c>
      <c r="L25" s="318">
        <f>IFERROR(__xludf.DUMMYFUNCTION("""COMPUTED_VALUE"""),1.0)</f>
        <v>1</v>
      </c>
      <c r="M25" s="318">
        <f>IFERROR(__xludf.DUMMYFUNCTION("""COMPUTED_VALUE"""),0.98)</f>
        <v>0.98</v>
      </c>
      <c r="N25" s="318">
        <f>IFERROR(__xludf.DUMMYFUNCTION("""COMPUTED_VALUE"""),0.96)</f>
        <v>0.96</v>
      </c>
    </row>
    <row r="26">
      <c r="A26" s="159" t="s">
        <v>275</v>
      </c>
      <c r="B26" s="15">
        <f>IFERROR(__xludf.DUMMYFUNCTION("SPLIT(A26,"" "")"),25.0)</f>
        <v>25</v>
      </c>
      <c r="C26" s="318">
        <f>IFERROR(__xludf.DUMMYFUNCTION("""COMPUTED_VALUE"""),0.55)</f>
        <v>0.55</v>
      </c>
      <c r="D26" s="318">
        <f>IFERROR(__xludf.DUMMYFUNCTION("""COMPUTED_VALUE"""),0.72)</f>
        <v>0.72</v>
      </c>
      <c r="E26" s="318">
        <f>IFERROR(__xludf.DUMMYFUNCTION("""COMPUTED_VALUE"""),0.58)</f>
        <v>0.58</v>
      </c>
      <c r="F26" s="318">
        <f>IFERROR(__xludf.DUMMYFUNCTION("""COMPUTED_VALUE"""),0.76)</f>
        <v>0.76</v>
      </c>
      <c r="G26" s="318">
        <f>IFERROR(__xludf.DUMMYFUNCTION("""COMPUTED_VALUE"""),0.82)</f>
        <v>0.82</v>
      </c>
      <c r="H26" s="318">
        <f>IFERROR(__xludf.DUMMYFUNCTION("""COMPUTED_VALUE"""),0.92)</f>
        <v>0.92</v>
      </c>
      <c r="I26" s="318">
        <f>IFERROR(__xludf.DUMMYFUNCTION("""COMPUTED_VALUE"""),0.94)</f>
        <v>0.94</v>
      </c>
      <c r="J26" s="318">
        <f>IFERROR(__xludf.DUMMYFUNCTION("""COMPUTED_VALUE"""),0.99)</f>
        <v>0.99</v>
      </c>
      <c r="K26" s="318">
        <f>IFERROR(__xludf.DUMMYFUNCTION("""COMPUTED_VALUE"""),1.0)</f>
        <v>1</v>
      </c>
      <c r="L26" s="318">
        <f>IFERROR(__xludf.DUMMYFUNCTION("""COMPUTED_VALUE"""),0.99)</f>
        <v>0.99</v>
      </c>
      <c r="M26" s="318">
        <f>IFERROR(__xludf.DUMMYFUNCTION("""COMPUTED_VALUE"""),0.94)</f>
        <v>0.94</v>
      </c>
      <c r="N26" s="318">
        <f>IFERROR(__xludf.DUMMYFUNCTION("""COMPUTED_VALUE"""),0.91)</f>
        <v>0.91</v>
      </c>
    </row>
    <row r="27">
      <c r="A27" s="159" t="s">
        <v>276</v>
      </c>
      <c r="B27" s="15">
        <f>IFERROR(__xludf.DUMMYFUNCTION("SPLIT(A27,"" "")"),26.0)</f>
        <v>26</v>
      </c>
      <c r="C27" s="318">
        <f>IFERROR(__xludf.DUMMYFUNCTION("""COMPUTED_VALUE"""),0.65)</f>
        <v>0.65</v>
      </c>
      <c r="D27" s="318">
        <f>IFERROR(__xludf.DUMMYFUNCTION("""COMPUTED_VALUE"""),0.82)</f>
        <v>0.82</v>
      </c>
      <c r="E27" s="318">
        <f>IFERROR(__xludf.DUMMYFUNCTION("""COMPUTED_VALUE"""),0.69)</f>
        <v>0.69</v>
      </c>
      <c r="F27" s="318">
        <f>IFERROR(__xludf.DUMMYFUNCTION("""COMPUTED_VALUE"""),0.85)</f>
        <v>0.85</v>
      </c>
      <c r="G27" s="318">
        <f>IFERROR(__xludf.DUMMYFUNCTION("""COMPUTED_VALUE"""),0.89)</f>
        <v>0.89</v>
      </c>
      <c r="H27" s="318">
        <f>IFERROR(__xludf.DUMMYFUNCTION("""COMPUTED_VALUE"""),0.97)</f>
        <v>0.97</v>
      </c>
      <c r="I27" s="318">
        <f>IFERROR(__xludf.DUMMYFUNCTION("""COMPUTED_VALUE"""),0.98)</f>
        <v>0.98</v>
      </c>
      <c r="J27" s="318">
        <f>IFERROR(__xludf.DUMMYFUNCTION("""COMPUTED_VALUE"""),1.0)</f>
        <v>1</v>
      </c>
      <c r="K27" s="318">
        <f>IFERROR(__xludf.DUMMYFUNCTION("""COMPUTED_VALUE"""),0.98)</f>
        <v>0.98</v>
      </c>
      <c r="L27" s="318">
        <f>IFERROR(__xludf.DUMMYFUNCTION("""COMPUTED_VALUE"""),0.97)</f>
        <v>0.97</v>
      </c>
      <c r="M27" s="318">
        <f>IFERROR(__xludf.DUMMYFUNCTION("""COMPUTED_VALUE"""),0.88)</f>
        <v>0.88</v>
      </c>
      <c r="N27" s="318">
        <f>IFERROR(__xludf.DUMMYFUNCTION("""COMPUTED_VALUE"""),0.82)</f>
        <v>0.82</v>
      </c>
    </row>
    <row r="28">
      <c r="A28" s="159" t="s">
        <v>277</v>
      </c>
      <c r="B28" s="15">
        <f>IFERROR(__xludf.DUMMYFUNCTION("SPLIT(A28,"" "")"),27.0)</f>
        <v>27</v>
      </c>
      <c r="C28" s="318">
        <f>IFERROR(__xludf.DUMMYFUNCTION("""COMPUTED_VALUE"""),0.76)</f>
        <v>0.76</v>
      </c>
      <c r="D28" s="318">
        <f>IFERROR(__xludf.DUMMYFUNCTION("""COMPUTED_VALUE"""),0.9)</f>
        <v>0.9</v>
      </c>
      <c r="E28" s="318">
        <f>IFERROR(__xludf.DUMMYFUNCTION("""COMPUTED_VALUE"""),0.79)</f>
        <v>0.79</v>
      </c>
      <c r="F28" s="318">
        <f>IFERROR(__xludf.DUMMYFUNCTION("""COMPUTED_VALUE"""),0.92)</f>
        <v>0.92</v>
      </c>
      <c r="G28" s="318">
        <f>IFERROR(__xludf.DUMMYFUNCTION("""COMPUTED_VALUE"""),0.95)</f>
        <v>0.95</v>
      </c>
      <c r="H28" s="318">
        <f>IFERROR(__xludf.DUMMYFUNCTION("""COMPUTED_VALUE"""),0.99)</f>
        <v>0.99</v>
      </c>
      <c r="I28" s="318">
        <f>IFERROR(__xludf.DUMMYFUNCTION("""COMPUTED_VALUE"""),1.0)</f>
        <v>1</v>
      </c>
      <c r="J28" s="318">
        <f>IFERROR(__xludf.DUMMYFUNCTION("""COMPUTED_VALUE"""),0.99)</f>
        <v>0.99</v>
      </c>
      <c r="K28" s="318">
        <f>IFERROR(__xludf.DUMMYFUNCTION("""COMPUTED_VALUE"""),0.95)</f>
        <v>0.95</v>
      </c>
      <c r="L28" s="318">
        <f>IFERROR(__xludf.DUMMYFUNCTION("""COMPUTED_VALUE"""),0.92)</f>
        <v>0.92</v>
      </c>
      <c r="M28" s="318">
        <f>IFERROR(__xludf.DUMMYFUNCTION("""COMPUTED_VALUE"""),0.79)</f>
        <v>0.79</v>
      </c>
      <c r="N28" s="318">
        <f>IFERROR(__xludf.DUMMYFUNCTION("""COMPUTED_VALUE"""),0.73)</f>
        <v>0.73</v>
      </c>
    </row>
    <row r="29">
      <c r="A29" s="159" t="s">
        <v>278</v>
      </c>
      <c r="B29" s="15">
        <f>IFERROR(__xludf.DUMMYFUNCTION("SPLIT(A29,"" "")"),28.0)</f>
        <v>28</v>
      </c>
      <c r="C29" s="318">
        <f>IFERROR(__xludf.DUMMYFUNCTION("""COMPUTED_VALUE"""),0.85)</f>
        <v>0.85</v>
      </c>
      <c r="D29" s="318">
        <f>IFERROR(__xludf.DUMMYFUNCTION("""COMPUTED_VALUE"""),0.96)</f>
        <v>0.96</v>
      </c>
      <c r="E29" s="318">
        <f>IFERROR(__xludf.DUMMYFUNCTION("""COMPUTED_VALUE"""),0.88)</f>
        <v>0.88</v>
      </c>
      <c r="F29" s="318">
        <f>IFERROR(__xludf.DUMMYFUNCTION("""COMPUTED_VALUE"""),0.97)</f>
        <v>0.97</v>
      </c>
      <c r="G29" s="318">
        <f>IFERROR(__xludf.DUMMYFUNCTION("""COMPUTED_VALUE"""),0.98)</f>
        <v>0.98</v>
      </c>
      <c r="H29" s="318">
        <f>IFERROR(__xludf.DUMMYFUNCTION("""COMPUTED_VALUE"""),1.0)</f>
        <v>1</v>
      </c>
      <c r="I29" s="318">
        <f>IFERROR(__xludf.DUMMYFUNCTION("""COMPUTED_VALUE"""),1.0)</f>
        <v>1</v>
      </c>
      <c r="J29" s="318">
        <f>IFERROR(__xludf.DUMMYFUNCTION("""COMPUTED_VALUE"""),0.97)</f>
        <v>0.97</v>
      </c>
      <c r="K29" s="318">
        <f>IFERROR(__xludf.DUMMYFUNCTION("""COMPUTED_VALUE"""),0.89)</f>
        <v>0.89</v>
      </c>
      <c r="L29" s="318">
        <f>IFERROR(__xludf.DUMMYFUNCTION("""COMPUTED_VALUE"""),0.85)</f>
        <v>0.85</v>
      </c>
      <c r="M29" s="318">
        <f>IFERROR(__xludf.DUMMYFUNCTION("""COMPUTED_VALUE"""),0.69)</f>
        <v>0.69</v>
      </c>
      <c r="N29" s="318">
        <f>IFERROR(__xludf.DUMMYFUNCTION("""COMPUTED_VALUE"""),0.62)</f>
        <v>0.62</v>
      </c>
    </row>
    <row r="30">
      <c r="A30" s="159" t="s">
        <v>279</v>
      </c>
      <c r="B30" s="15">
        <f>IFERROR(__xludf.DUMMYFUNCTION("SPLIT(A30,"" "")"),29.0)</f>
        <v>29</v>
      </c>
      <c r="C30" s="318">
        <f>IFERROR(__xludf.DUMMYFUNCTION("""COMPUTED_VALUE"""),0.93)</f>
        <v>0.93</v>
      </c>
      <c r="D30" s="318" t="str">
        <f>IFERROR(__xludf.DUMMYFUNCTION("""COMPUTED_VALUE"""),"x")</f>
        <v>x</v>
      </c>
      <c r="E30" s="318">
        <f>IFERROR(__xludf.DUMMYFUNCTION("""COMPUTED_VALUE"""),0.94)</f>
        <v>0.94</v>
      </c>
      <c r="F30" s="318">
        <f>IFERROR(__xludf.DUMMYFUNCTION("""COMPUTED_VALUE"""),0.99)</f>
        <v>0.99</v>
      </c>
      <c r="G30" s="318">
        <f>IFERROR(__xludf.DUMMYFUNCTION("""COMPUTED_VALUE"""),1.0)</f>
        <v>1</v>
      </c>
      <c r="H30" s="318">
        <f>IFERROR(__xludf.DUMMYFUNCTION("""COMPUTED_VALUE"""),0.99)</f>
        <v>0.99</v>
      </c>
      <c r="I30" s="318">
        <f>IFERROR(__xludf.DUMMYFUNCTION("""COMPUTED_VALUE"""),0.98)</f>
        <v>0.98</v>
      </c>
      <c r="J30" s="318">
        <f>IFERROR(__xludf.DUMMYFUNCTION("""COMPUTED_VALUE"""),0.92)</f>
        <v>0.92</v>
      </c>
      <c r="K30" s="318">
        <f>IFERROR(__xludf.DUMMYFUNCTION("""COMPUTED_VALUE"""),0.82)</f>
        <v>0.82</v>
      </c>
      <c r="L30" s="318">
        <f>IFERROR(__xludf.DUMMYFUNCTION("""COMPUTED_VALUE"""),0.76)</f>
        <v>0.76</v>
      </c>
      <c r="M30" s="318">
        <f>IFERROR(__xludf.DUMMYFUNCTION("""COMPUTED_VALUE"""),0.58)</f>
        <v>0.58</v>
      </c>
      <c r="N30" s="318">
        <f>IFERROR(__xludf.DUMMYFUNCTION("""COMPUTED_VALUE"""),0.51)</f>
        <v>0.51</v>
      </c>
    </row>
    <row r="31">
      <c r="A31" s="159" t="s">
        <v>280</v>
      </c>
      <c r="B31" s="15">
        <f>IFERROR(__xludf.DUMMYFUNCTION("SPLIT(A31,"" "")"),30.0)</f>
        <v>30</v>
      </c>
      <c r="C31" s="318">
        <f>IFERROR(__xludf.DUMMYFUNCTION("""COMPUTED_VALUE"""),0.98)</f>
        <v>0.98</v>
      </c>
      <c r="D31" s="318" t="str">
        <f>IFERROR(__xludf.DUMMYFUNCTION("""COMPUTED_VALUE"""),"x")</f>
        <v>x</v>
      </c>
      <c r="E31" s="318">
        <f>IFERROR(__xludf.DUMMYFUNCTION("""COMPUTED_VALUE"""),0.98)</f>
        <v>0.98</v>
      </c>
      <c r="F31" s="318">
        <f>IFERROR(__xludf.DUMMYFUNCTION("""COMPUTED_VALUE"""),1.0)</f>
        <v>1</v>
      </c>
      <c r="G31" s="318">
        <f>IFERROR(__xludf.DUMMYFUNCTION("""COMPUTED_VALUE"""),0.99)</f>
        <v>0.99</v>
      </c>
      <c r="H31" s="318">
        <f>IFERROR(__xludf.DUMMYFUNCTION("""COMPUTED_VALUE"""),0.96)</f>
        <v>0.96</v>
      </c>
      <c r="I31" s="318">
        <f>IFERROR(__xludf.DUMMYFUNCTION("""COMPUTED_VALUE"""),0.94)</f>
        <v>0.94</v>
      </c>
      <c r="J31" s="318">
        <f>IFERROR(__xludf.DUMMYFUNCTION("""COMPUTED_VALUE"""),0.86)</f>
        <v>0.86</v>
      </c>
      <c r="K31" s="318">
        <f>IFERROR(__xludf.DUMMYFUNCTION("""COMPUTED_VALUE"""),0.72)</f>
        <v>0.72</v>
      </c>
      <c r="L31" s="318">
        <f>IFERROR(__xludf.DUMMYFUNCTION("""COMPUTED_VALUE"""),0.65)</f>
        <v>0.65</v>
      </c>
      <c r="M31" s="318">
        <f>IFERROR(__xludf.DUMMYFUNCTION("""COMPUTED_VALUE"""),0.47)</f>
        <v>0.47</v>
      </c>
      <c r="N31" s="318">
        <f>IFERROR(__xludf.DUMMYFUNCTION("""COMPUTED_VALUE"""),0.4)</f>
        <v>0.4</v>
      </c>
    </row>
    <row r="32">
      <c r="A32" s="159" t="s">
        <v>281</v>
      </c>
      <c r="B32" s="15">
        <f>IFERROR(__xludf.DUMMYFUNCTION("SPLIT(A32,"" "")"),31.0)</f>
        <v>31</v>
      </c>
      <c r="C32" s="318">
        <f>IFERROR(__xludf.DUMMYFUNCTION("""COMPUTED_VALUE"""),1.0)</f>
        <v>1</v>
      </c>
      <c r="D32" s="318" t="str">
        <f>IFERROR(__xludf.DUMMYFUNCTION("""COMPUTED_VALUE"""),"x")</f>
        <v>x</v>
      </c>
      <c r="E32" s="318">
        <f>IFERROR(__xludf.DUMMYFUNCTION("""COMPUTED_VALUE"""),1.0)</f>
        <v>1</v>
      </c>
      <c r="F32" s="318" t="str">
        <f>IFERROR(__xludf.DUMMYFUNCTION("""COMPUTED_VALUE"""),"x")</f>
        <v>x</v>
      </c>
      <c r="G32" s="318">
        <f>IFERROR(__xludf.DUMMYFUNCTION("""COMPUTED_VALUE"""),0.97)</f>
        <v>0.97</v>
      </c>
      <c r="H32" s="318" t="str">
        <f>IFERROR(__xludf.DUMMYFUNCTION("""COMPUTED_VALUE"""),"x")</f>
        <v>x</v>
      </c>
      <c r="I32" s="318">
        <f>IFERROR(__xludf.DUMMYFUNCTION("""COMPUTED_VALUE"""),0.89)</f>
        <v>0.89</v>
      </c>
      <c r="J32" s="318">
        <f>IFERROR(__xludf.DUMMYFUNCTION("""COMPUTED_VALUE"""),0.78)</f>
        <v>0.78</v>
      </c>
      <c r="K32" s="318" t="str">
        <f>IFERROR(__xludf.DUMMYFUNCTION("""COMPUTED_VALUE"""),"x")</f>
        <v>x</v>
      </c>
      <c r="L32" s="318">
        <f>IFERROR(__xludf.DUMMYFUNCTION("""COMPUTED_VALUE"""),0.54)</f>
        <v>0.54</v>
      </c>
      <c r="M32" s="318" t="str">
        <f>IFERROR(__xludf.DUMMYFUNCTION("""COMPUTED_VALUE"""),"x")</f>
        <v>x</v>
      </c>
      <c r="N32" s="318">
        <f>IFERROR(__xludf.DUMMYFUNCTION("""COMPUTED_VALUE"""),0.3)</f>
        <v>0.3</v>
      </c>
    </row>
    <row r="33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</row>
    <row r="101"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</row>
    <row r="102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</row>
    <row r="105"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</row>
    <row r="106"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</row>
    <row r="107"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</row>
    <row r="108"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</row>
    <row r="109"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</row>
    <row r="110"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</row>
    <row r="111"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</row>
    <row r="112"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</row>
    <row r="113"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</row>
    <row r="114"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</row>
    <row r="115"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</row>
    <row r="116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</row>
    <row r="117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</row>
    <row r="122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</row>
    <row r="123"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</row>
    <row r="124"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</row>
    <row r="125"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</row>
    <row r="126"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</row>
    <row r="127"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</row>
    <row r="128"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</row>
    <row r="129"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</row>
    <row r="130"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</row>
    <row r="131"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</row>
    <row r="132"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</row>
    <row r="133"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</row>
    <row r="134"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</row>
    <row r="135"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</row>
    <row r="1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</row>
    <row r="137"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</row>
    <row r="138"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</row>
    <row r="139"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</row>
    <row r="140"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</row>
    <row r="141"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</row>
    <row r="142"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</row>
    <row r="143"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</row>
    <row r="144"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</row>
    <row r="145"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</row>
    <row r="146"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</row>
    <row r="147"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</row>
    <row r="148"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</row>
    <row r="149"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</row>
    <row r="150"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</row>
    <row r="151"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</row>
    <row r="152"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</row>
    <row r="153"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</row>
    <row r="154"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</row>
    <row r="155"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</row>
    <row r="156"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</row>
    <row r="157"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</row>
    <row r="158"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</row>
    <row r="159"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</row>
    <row r="160"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</row>
    <row r="161"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</row>
    <row r="162"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</row>
    <row r="163"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</row>
    <row r="164"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</row>
    <row r="165"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</row>
    <row r="166"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</row>
    <row r="167"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</row>
    <row r="168"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</row>
    <row r="169"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</row>
    <row r="170"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</row>
    <row r="171"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</row>
    <row r="172"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</row>
    <row r="173"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</row>
    <row r="174"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</row>
    <row r="175"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</row>
    <row r="176"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</row>
    <row r="177"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</row>
    <row r="178"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</row>
    <row r="179"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</row>
    <row r="180"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</row>
    <row r="181"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</row>
    <row r="182"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</row>
    <row r="183"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</row>
    <row r="184"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</row>
    <row r="185"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</row>
    <row r="186"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</row>
    <row r="187"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</row>
    <row r="188"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</row>
    <row r="189"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</row>
    <row r="190"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</row>
    <row r="191"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</row>
    <row r="192"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</row>
    <row r="193"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</row>
    <row r="194"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</row>
    <row r="195"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</row>
    <row r="196"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</row>
    <row r="197"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</row>
    <row r="198"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</row>
    <row r="199"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</row>
    <row r="200"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</row>
    <row r="201"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</row>
    <row r="202"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</row>
    <row r="203"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</row>
    <row r="204"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</row>
    <row r="205"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</row>
    <row r="206"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</row>
    <row r="207"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</row>
    <row r="208"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</row>
    <row r="209"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</row>
    <row r="210"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</row>
    <row r="211"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</row>
    <row r="212"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</row>
    <row r="213"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</row>
    <row r="214"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</row>
    <row r="215"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</row>
    <row r="216"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</row>
    <row r="217"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</row>
    <row r="218"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</row>
    <row r="219"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</row>
    <row r="220"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</row>
    <row r="221"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</row>
    <row r="222"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</row>
    <row r="223"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</row>
    <row r="224"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</row>
    <row r="225"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</row>
    <row r="226"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</row>
    <row r="227"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</row>
    <row r="228"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</row>
    <row r="229"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</row>
    <row r="230"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</row>
    <row r="231"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</row>
    <row r="232"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</row>
    <row r="233"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</row>
    <row r="234"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</row>
    <row r="235"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</row>
    <row r="236"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</row>
    <row r="237"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</row>
    <row r="238"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</row>
    <row r="239"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</row>
    <row r="240"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</row>
    <row r="241"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</row>
    <row r="242"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</row>
    <row r="243"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</row>
    <row r="244"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</row>
    <row r="245"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</row>
    <row r="246"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</row>
    <row r="247"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</row>
    <row r="248"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</row>
    <row r="249"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</row>
    <row r="250"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</row>
    <row r="251"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</row>
    <row r="252"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</row>
    <row r="253"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</row>
    <row r="254"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</row>
    <row r="255"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</row>
    <row r="256"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</row>
    <row r="257"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</row>
    <row r="258"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</row>
    <row r="259"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</row>
    <row r="260"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</row>
    <row r="261"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</row>
    <row r="262"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</row>
    <row r="263"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</row>
    <row r="264"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</row>
    <row r="265"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</row>
    <row r="266"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</row>
    <row r="267"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</row>
    <row r="268"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</row>
    <row r="269"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</row>
    <row r="270"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</row>
    <row r="271"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</row>
    <row r="272"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</row>
    <row r="273"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</row>
    <row r="274"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</row>
    <row r="275"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</row>
    <row r="276"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</row>
    <row r="277"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</row>
    <row r="278"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</row>
    <row r="279"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</row>
    <row r="280"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</row>
    <row r="281"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</row>
    <row r="282"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</row>
    <row r="283"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</row>
    <row r="284"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</row>
    <row r="285"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</row>
    <row r="286"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</row>
    <row r="287"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</row>
    <row r="288"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</row>
    <row r="289"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</row>
    <row r="290"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</row>
    <row r="291"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</row>
    <row r="292"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</row>
    <row r="293"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</row>
    <row r="294"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</row>
    <row r="295"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</row>
    <row r="296"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</row>
    <row r="297"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</row>
    <row r="298"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</row>
    <row r="299"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</row>
    <row r="300"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</row>
    <row r="301"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</row>
    <row r="302"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</row>
    <row r="303"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</row>
    <row r="304"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</row>
    <row r="305"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</row>
    <row r="306"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</row>
    <row r="307"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</row>
    <row r="308"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</row>
    <row r="309"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</row>
    <row r="310"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</row>
    <row r="311"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</row>
    <row r="312"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</row>
    <row r="313"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</row>
    <row r="314"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</row>
    <row r="315"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</row>
    <row r="316"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</row>
    <row r="317"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</row>
    <row r="318"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</row>
    <row r="319"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</row>
    <row r="320"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</row>
    <row r="321"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</row>
    <row r="322"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</row>
    <row r="323"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</row>
    <row r="324"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</row>
    <row r="325"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</row>
    <row r="326"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</row>
    <row r="327"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</row>
    <row r="328"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</row>
    <row r="329"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</row>
    <row r="330"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</row>
    <row r="331"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</row>
    <row r="332"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</row>
    <row r="333"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</row>
    <row r="334"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</row>
    <row r="335"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</row>
    <row r="336"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</row>
    <row r="337"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</row>
    <row r="338"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</row>
    <row r="339"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</row>
    <row r="340"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</row>
    <row r="341"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</row>
    <row r="342"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</row>
    <row r="343"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</row>
    <row r="344"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</row>
    <row r="345"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</row>
    <row r="346"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</row>
    <row r="347"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</row>
    <row r="348"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</row>
    <row r="349"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</row>
    <row r="350"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</row>
    <row r="351"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</row>
    <row r="352"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</row>
    <row r="353"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</row>
    <row r="354"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</row>
    <row r="355"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</row>
    <row r="356"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</row>
    <row r="357"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</row>
    <row r="358"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</row>
    <row r="359"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</row>
    <row r="360"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</row>
    <row r="361"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</row>
    <row r="362"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</row>
    <row r="363"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</row>
    <row r="364"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</row>
    <row r="365"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</row>
    <row r="366"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</row>
    <row r="367"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</row>
    <row r="368"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</row>
    <row r="369"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</row>
    <row r="370"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</row>
    <row r="371"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</row>
    <row r="372"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</row>
    <row r="373"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</row>
    <row r="374"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</row>
    <row r="375"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</row>
    <row r="376"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</row>
    <row r="377"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</row>
    <row r="378"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</row>
    <row r="379"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</row>
    <row r="380"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</row>
    <row r="381"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</row>
    <row r="382"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</row>
    <row r="383"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</row>
    <row r="384"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</row>
    <row r="385"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</row>
    <row r="386"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</row>
    <row r="387"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</row>
    <row r="388"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</row>
    <row r="389"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</row>
    <row r="390"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</row>
    <row r="391"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</row>
    <row r="392"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</row>
    <row r="393"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</row>
    <row r="394"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</row>
    <row r="395"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</row>
    <row r="396"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</row>
    <row r="397"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</row>
    <row r="398"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</row>
    <row r="399"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</row>
    <row r="400"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</row>
    <row r="401"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</row>
    <row r="402"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</row>
    <row r="403"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</row>
    <row r="404"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</row>
    <row r="405"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</row>
    <row r="406"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</row>
    <row r="407"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</row>
    <row r="408"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</row>
    <row r="409"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</row>
    <row r="410"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</row>
    <row r="411"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</row>
    <row r="412"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</row>
    <row r="413"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</row>
    <row r="414"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</row>
    <row r="415"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</row>
    <row r="416"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</row>
    <row r="417"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</row>
    <row r="418"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</row>
    <row r="419"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</row>
    <row r="420"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</row>
    <row r="421"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</row>
    <row r="422"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</row>
    <row r="423"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</row>
    <row r="424"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</row>
    <row r="425"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</row>
    <row r="426"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</row>
    <row r="427"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</row>
    <row r="428"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</row>
    <row r="429"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</row>
    <row r="430"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</row>
    <row r="431"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</row>
    <row r="432"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</row>
    <row r="433"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</row>
    <row r="434"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</row>
    <row r="435"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</row>
    <row r="436"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</row>
    <row r="437"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</row>
    <row r="438"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</row>
    <row r="439"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</row>
    <row r="440"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</row>
    <row r="441"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</row>
    <row r="442"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</row>
    <row r="443"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</row>
    <row r="444"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</row>
    <row r="445"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</row>
    <row r="446"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</row>
    <row r="447"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</row>
    <row r="448"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</row>
    <row r="449"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</row>
    <row r="450"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</row>
    <row r="451"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</row>
    <row r="452"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</row>
    <row r="453"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</row>
    <row r="454"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</row>
    <row r="455"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</row>
    <row r="456"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</row>
    <row r="457"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</row>
    <row r="458"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</row>
    <row r="459"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</row>
    <row r="460"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</row>
    <row r="461"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</row>
    <row r="462"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</row>
    <row r="463"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</row>
    <row r="464"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</row>
    <row r="465"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</row>
    <row r="466"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</row>
    <row r="467"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</row>
    <row r="468"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</row>
    <row r="469"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</row>
    <row r="470"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</row>
    <row r="471"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</row>
    <row r="472"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</row>
    <row r="473"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</row>
    <row r="474"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</row>
    <row r="475"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</row>
    <row r="476"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</row>
    <row r="477"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</row>
    <row r="478"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</row>
    <row r="479"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</row>
    <row r="480"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</row>
    <row r="481"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</row>
    <row r="482"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</row>
    <row r="483"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</row>
    <row r="484"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</row>
    <row r="485"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</row>
    <row r="486"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</row>
    <row r="487"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</row>
    <row r="488"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</row>
    <row r="489"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</row>
    <row r="490"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</row>
    <row r="491"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</row>
    <row r="492"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</row>
    <row r="493"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</row>
    <row r="494"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</row>
    <row r="495"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</row>
    <row r="496"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</row>
    <row r="497"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</row>
    <row r="498"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</row>
    <row r="499"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</row>
    <row r="500"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</row>
    <row r="501"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</row>
    <row r="502"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</row>
    <row r="503"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</row>
    <row r="504"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</row>
    <row r="505"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</row>
    <row r="506"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</row>
    <row r="507"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</row>
    <row r="508"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</row>
    <row r="509"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</row>
    <row r="510"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</row>
    <row r="511"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</row>
    <row r="512"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</row>
    <row r="513"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</row>
    <row r="514"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</row>
    <row r="515"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</row>
    <row r="516"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</row>
    <row r="517"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</row>
    <row r="518"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</row>
    <row r="519"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</row>
    <row r="520"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</row>
    <row r="521"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</row>
    <row r="522"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</row>
    <row r="523"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</row>
    <row r="524"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</row>
    <row r="525"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</row>
    <row r="526"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</row>
    <row r="527"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</row>
    <row r="528"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</row>
    <row r="529"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</row>
    <row r="530"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</row>
    <row r="531"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</row>
    <row r="532"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</row>
    <row r="533"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</row>
    <row r="534"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</row>
    <row r="535"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</row>
    <row r="536"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</row>
    <row r="537"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</row>
    <row r="538"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</row>
    <row r="539"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</row>
    <row r="540"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</row>
    <row r="541"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</row>
    <row r="542"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</row>
    <row r="543"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</row>
    <row r="544"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</row>
    <row r="545"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</row>
    <row r="546"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</row>
    <row r="547"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</row>
    <row r="548"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</row>
    <row r="549"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</row>
    <row r="550"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</row>
    <row r="551"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</row>
    <row r="552"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</row>
    <row r="553"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</row>
    <row r="554"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</row>
    <row r="555"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</row>
    <row r="556"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</row>
    <row r="557"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</row>
    <row r="558"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</row>
    <row r="559"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</row>
    <row r="560"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</row>
    <row r="561"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</row>
    <row r="562"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</row>
    <row r="563"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</row>
    <row r="564"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</row>
    <row r="565"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</row>
    <row r="566"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</row>
    <row r="567"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</row>
    <row r="568"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</row>
    <row r="569"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</row>
    <row r="570"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</row>
    <row r="571"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</row>
    <row r="572"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</row>
    <row r="573"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</row>
    <row r="574"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</row>
    <row r="575"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</row>
    <row r="576"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</row>
    <row r="577"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</row>
    <row r="578"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</row>
    <row r="579"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</row>
    <row r="580"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</row>
    <row r="581"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</row>
    <row r="582"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</row>
    <row r="583"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</row>
    <row r="584"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</row>
    <row r="585"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</row>
    <row r="586"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</row>
    <row r="587"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</row>
    <row r="588"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</row>
    <row r="589"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</row>
    <row r="590"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</row>
    <row r="591"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</row>
    <row r="592"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</row>
    <row r="593"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</row>
    <row r="594"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</row>
    <row r="595"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</row>
    <row r="596"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</row>
    <row r="597"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</row>
    <row r="598"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</row>
    <row r="599"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</row>
    <row r="600"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</row>
    <row r="601"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</row>
    <row r="602"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</row>
    <row r="603"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</row>
    <row r="604"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</row>
    <row r="605"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</row>
    <row r="606"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</row>
    <row r="607"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</row>
    <row r="608"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</row>
    <row r="609"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</row>
    <row r="610"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</row>
    <row r="611"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</row>
    <row r="612"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</row>
    <row r="613"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</row>
    <row r="614"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</row>
    <row r="615"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</row>
    <row r="616"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</row>
    <row r="617"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</row>
    <row r="618"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</row>
    <row r="619"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</row>
    <row r="620"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</row>
    <row r="621"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</row>
    <row r="622"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</row>
    <row r="623"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</row>
    <row r="624"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</row>
    <row r="625"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</row>
    <row r="626"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</row>
    <row r="627"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</row>
    <row r="628"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</row>
    <row r="629"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</row>
    <row r="630"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</row>
    <row r="631"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</row>
    <row r="632"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</row>
    <row r="633"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</row>
    <row r="634"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</row>
    <row r="635"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</row>
    <row r="636"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</row>
    <row r="637"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</row>
    <row r="638"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</row>
    <row r="639"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</row>
    <row r="640"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</row>
    <row r="641"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</row>
    <row r="642"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</row>
    <row r="643"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</row>
    <row r="644"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</row>
    <row r="645"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</row>
    <row r="646"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</row>
    <row r="647"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</row>
    <row r="648"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</row>
    <row r="649"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</row>
    <row r="650"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</row>
    <row r="651"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</row>
    <row r="652"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</row>
    <row r="653"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</row>
    <row r="654"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</row>
    <row r="655"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</row>
    <row r="656"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</row>
    <row r="657"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</row>
    <row r="658"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</row>
    <row r="659"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</row>
    <row r="660"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</row>
    <row r="661"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</row>
    <row r="662"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</row>
    <row r="663"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</row>
    <row r="664"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</row>
    <row r="665"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</row>
    <row r="666"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</row>
    <row r="667"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</row>
    <row r="668"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</row>
    <row r="669"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</row>
    <row r="670"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</row>
    <row r="671"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</row>
    <row r="672"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</row>
    <row r="673"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</row>
    <row r="674"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</row>
    <row r="675"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</row>
    <row r="676"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</row>
    <row r="677"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</row>
    <row r="678"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</row>
    <row r="679"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</row>
    <row r="680"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</row>
    <row r="681"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</row>
    <row r="682"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</row>
    <row r="683"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</row>
    <row r="684"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</row>
    <row r="685"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</row>
    <row r="686"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</row>
    <row r="687"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</row>
    <row r="688"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</row>
    <row r="689"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</row>
    <row r="690"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</row>
    <row r="691"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</row>
    <row r="692"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</row>
    <row r="693"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</row>
    <row r="694"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</row>
    <row r="695"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</row>
    <row r="696"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</row>
    <row r="697"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</row>
    <row r="698"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</row>
    <row r="699"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</row>
    <row r="700"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</row>
    <row r="701"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</row>
    <row r="702"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</row>
    <row r="703"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</row>
    <row r="704"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</row>
    <row r="705"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</row>
    <row r="706"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</row>
    <row r="707"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</row>
    <row r="708"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</row>
    <row r="709"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</row>
    <row r="710"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</row>
    <row r="711"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</row>
    <row r="712"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</row>
    <row r="713"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</row>
    <row r="714"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</row>
    <row r="715"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</row>
    <row r="716"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</row>
    <row r="717"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</row>
    <row r="718"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</row>
    <row r="719"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</row>
    <row r="720"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</row>
    <row r="721"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</row>
    <row r="722"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</row>
    <row r="723"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</row>
    <row r="724"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</row>
    <row r="725"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</row>
    <row r="726"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</row>
    <row r="727"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</row>
    <row r="728"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</row>
    <row r="729"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</row>
    <row r="730"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</row>
    <row r="731"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</row>
    <row r="732"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</row>
    <row r="733"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</row>
    <row r="734"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</row>
    <row r="735"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</row>
    <row r="736"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</row>
    <row r="737"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</row>
    <row r="738"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</row>
    <row r="739"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</row>
    <row r="740"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</row>
    <row r="741"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</row>
    <row r="742"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</row>
    <row r="743"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</row>
    <row r="744"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</row>
    <row r="745"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</row>
    <row r="746"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</row>
    <row r="747"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</row>
    <row r="748"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</row>
    <row r="749"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</row>
    <row r="750"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</row>
    <row r="751"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</row>
    <row r="752"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</row>
    <row r="753"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</row>
    <row r="754"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</row>
    <row r="755"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</row>
    <row r="756"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</row>
    <row r="757"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</row>
    <row r="758"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</row>
    <row r="759"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</row>
    <row r="760"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</row>
    <row r="761"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</row>
    <row r="762"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</row>
    <row r="763"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</row>
    <row r="764"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</row>
    <row r="765"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</row>
    <row r="766"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</row>
    <row r="767"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</row>
    <row r="768"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</row>
    <row r="769"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</row>
    <row r="770"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</row>
    <row r="771"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</row>
    <row r="772"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</row>
    <row r="773"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</row>
    <row r="774"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</row>
    <row r="775"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</row>
    <row r="776"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</row>
    <row r="777"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</row>
    <row r="778"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</row>
    <row r="779"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</row>
    <row r="780"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</row>
    <row r="781"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</row>
    <row r="782"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</row>
    <row r="783"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</row>
    <row r="784"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</row>
    <row r="785"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</row>
    <row r="786"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</row>
    <row r="787"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</row>
    <row r="788"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</row>
    <row r="789"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</row>
    <row r="790"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</row>
    <row r="791"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</row>
    <row r="792"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</row>
    <row r="793"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</row>
    <row r="794"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</row>
    <row r="795"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</row>
    <row r="796"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</row>
    <row r="797"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</row>
    <row r="798"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</row>
    <row r="799"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</row>
    <row r="800"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</row>
    <row r="801"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</row>
    <row r="802"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</row>
    <row r="803"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</row>
    <row r="804"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</row>
    <row r="805"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</row>
    <row r="806"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</row>
    <row r="807"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</row>
    <row r="808"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</row>
    <row r="809"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</row>
    <row r="810"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</row>
    <row r="811"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</row>
    <row r="812"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</row>
    <row r="813"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</row>
    <row r="814"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</row>
    <row r="815"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</row>
    <row r="816"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</row>
    <row r="817"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</row>
    <row r="818"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</row>
    <row r="819"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</row>
    <row r="820"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</row>
    <row r="821"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</row>
    <row r="822"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</row>
    <row r="823"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</row>
    <row r="824"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</row>
    <row r="825"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</row>
    <row r="826"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</row>
    <row r="827"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</row>
    <row r="828"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</row>
    <row r="829"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</row>
    <row r="830"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</row>
    <row r="831"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</row>
    <row r="832"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</row>
    <row r="833"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</row>
    <row r="834"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</row>
    <row r="835"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</row>
    <row r="836"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</row>
    <row r="837"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</row>
    <row r="838"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</row>
    <row r="839"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</row>
    <row r="840"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</row>
    <row r="841"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</row>
    <row r="842"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</row>
    <row r="843"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</row>
    <row r="844"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</row>
    <row r="845"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</row>
    <row r="846"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</row>
    <row r="847"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</row>
    <row r="848"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</row>
    <row r="849"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</row>
    <row r="850"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</row>
    <row r="851"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</row>
    <row r="852"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</row>
    <row r="853"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</row>
    <row r="854"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</row>
    <row r="855"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</row>
    <row r="856"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</row>
    <row r="857"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</row>
    <row r="858"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</row>
    <row r="859"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</row>
    <row r="860"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</row>
    <row r="861"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</row>
    <row r="862"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</row>
    <row r="863"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</row>
    <row r="864"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</row>
    <row r="865"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</row>
    <row r="866"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</row>
    <row r="867"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</row>
    <row r="868"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</row>
    <row r="869"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</row>
    <row r="870"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</row>
    <row r="871"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</row>
    <row r="872"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</row>
    <row r="873"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</row>
    <row r="874"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</row>
    <row r="875"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</row>
    <row r="876"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</row>
    <row r="877"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</row>
    <row r="878"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</row>
    <row r="879"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</row>
    <row r="880"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</row>
    <row r="881"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</row>
    <row r="882"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</row>
    <row r="883"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</row>
    <row r="884"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</row>
    <row r="885"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</row>
    <row r="886"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</row>
    <row r="887"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</row>
    <row r="888"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</row>
    <row r="889"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</row>
    <row r="890"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</row>
    <row r="891"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</row>
    <row r="892"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</row>
    <row r="893"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</row>
    <row r="894"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</row>
    <row r="895"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</row>
    <row r="896"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</row>
    <row r="897"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</row>
    <row r="898"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</row>
    <row r="899"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</row>
    <row r="900"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</row>
    <row r="901"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</row>
    <row r="902"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</row>
    <row r="903"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</row>
    <row r="904"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</row>
    <row r="905"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</row>
    <row r="906"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</row>
    <row r="907"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</row>
    <row r="908"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</row>
    <row r="909"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</row>
    <row r="910"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</row>
    <row r="911"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</row>
    <row r="912"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</row>
    <row r="913"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</row>
    <row r="914"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</row>
    <row r="915"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</row>
    <row r="916"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</row>
    <row r="917"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</row>
    <row r="918"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</row>
    <row r="919"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</row>
    <row r="920"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</row>
    <row r="921"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</row>
    <row r="922"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</row>
    <row r="923"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</row>
    <row r="924"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</row>
    <row r="925"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</row>
    <row r="926"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</row>
    <row r="927"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</row>
    <row r="928"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</row>
    <row r="929"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</row>
    <row r="930"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</row>
    <row r="931"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</row>
    <row r="932"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</row>
    <row r="933"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</row>
    <row r="934"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</row>
    <row r="935"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</row>
    <row r="936"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</row>
    <row r="937"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</row>
    <row r="938"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</row>
    <row r="939"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</row>
    <row r="940"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</row>
    <row r="941"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</row>
    <row r="942"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</row>
    <row r="943"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</row>
    <row r="944"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</row>
    <row r="945"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</row>
    <row r="946"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</row>
    <row r="947"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</row>
    <row r="948"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</row>
    <row r="949"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</row>
    <row r="950"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</row>
    <row r="951"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</row>
    <row r="952"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</row>
    <row r="953"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</row>
    <row r="954"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</row>
    <row r="955"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</row>
    <row r="956"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</row>
    <row r="957"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</row>
    <row r="958"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</row>
    <row r="959"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</row>
    <row r="960"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</row>
    <row r="961"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</row>
    <row r="962"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</row>
    <row r="963"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</row>
    <row r="964"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</row>
    <row r="965"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</row>
    <row r="966"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</row>
    <row r="967"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</row>
    <row r="968"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</row>
    <row r="969"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</row>
    <row r="970"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</row>
    <row r="971"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</row>
    <row r="972"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</row>
    <row r="973"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</row>
    <row r="974"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</row>
    <row r="975"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</row>
    <row r="976"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</row>
    <row r="977"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</row>
    <row r="978"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</row>
    <row r="979"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</row>
    <row r="980"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</row>
    <row r="981"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</row>
    <row r="982"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</row>
    <row r="983"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</row>
    <row r="984"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</row>
    <row r="985"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</row>
    <row r="986"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</row>
    <row r="987"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</row>
    <row r="988"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</row>
    <row r="989"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</row>
    <row r="990"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</row>
    <row r="991"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</row>
    <row r="992"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</row>
    <row r="993"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</row>
    <row r="994"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</row>
    <row r="995"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</row>
    <row r="996"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</row>
    <row r="997"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</row>
    <row r="998"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</row>
    <row r="999"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</row>
    <row r="1000"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</row>
  </sheetData>
  <conditionalFormatting sqref="A2:A32">
    <cfRule type="colorScale" priority="1">
      <colorScale>
        <cfvo type="min"/>
        <cfvo type="max"/>
        <color rgb="FF999999"/>
        <color rgb="FFFFFFFF"/>
      </colorScale>
    </cfRule>
  </conditionalFormatting>
  <conditionalFormatting sqref="C2:N32">
    <cfRule type="colorScale" priority="2">
      <colorScale>
        <cfvo type="min"/>
        <cfvo type="max"/>
        <color rgb="FF666666"/>
        <color rgb="FFFFFFFF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76.13"/>
    <col customWidth="1" min="2" max="2" width="6.0"/>
    <col customWidth="1" min="3" max="14" width="5.75"/>
  </cols>
  <sheetData>
    <row r="1">
      <c r="A1" s="159" t="s">
        <v>250</v>
      </c>
      <c r="B1" t="str">
        <f>IFERROR(__xludf.DUMMYFUNCTION("split(A1,"" "")"),"Day")</f>
        <v>Day</v>
      </c>
      <c r="C1" s="15" t="str">
        <f>IFERROR(__xludf.DUMMYFUNCTION("""COMPUTED_VALUE"""),"Jan.")</f>
        <v>Jan.</v>
      </c>
      <c r="D1" s="15" t="str">
        <f>IFERROR(__xludf.DUMMYFUNCTION("""COMPUTED_VALUE"""),"Feb.")</f>
        <v>Feb.</v>
      </c>
      <c r="E1" s="15" t="str">
        <f>IFERROR(__xludf.DUMMYFUNCTION("""COMPUTED_VALUE"""),"Mar.")</f>
        <v>Mar.</v>
      </c>
      <c r="F1" s="15" t="str">
        <f>IFERROR(__xludf.DUMMYFUNCTION("""COMPUTED_VALUE"""),"Apr.")</f>
        <v>Apr.</v>
      </c>
      <c r="G1" s="15" t="str">
        <f>IFERROR(__xludf.DUMMYFUNCTION("""COMPUTED_VALUE"""),"May")</f>
        <v>May</v>
      </c>
      <c r="H1" s="15" t="str">
        <f>IFERROR(__xludf.DUMMYFUNCTION("""COMPUTED_VALUE"""),"June")</f>
        <v>June</v>
      </c>
      <c r="I1" s="15" t="str">
        <f>IFERROR(__xludf.DUMMYFUNCTION("""COMPUTED_VALUE"""),"July")</f>
        <v>July</v>
      </c>
      <c r="J1" s="15" t="str">
        <f>IFERROR(__xludf.DUMMYFUNCTION("""COMPUTED_VALUE"""),"Aug.")</f>
        <v>Aug.</v>
      </c>
      <c r="K1" s="15" t="str">
        <f>IFERROR(__xludf.DUMMYFUNCTION("""COMPUTED_VALUE"""),"Sep.")</f>
        <v>Sep.</v>
      </c>
      <c r="L1" s="15" t="str">
        <f>IFERROR(__xludf.DUMMYFUNCTION("""COMPUTED_VALUE"""),"Oct.")</f>
        <v>Oct.</v>
      </c>
      <c r="M1" s="15" t="str">
        <f>IFERROR(__xludf.DUMMYFUNCTION("""COMPUTED_VALUE"""),"Nov.")</f>
        <v>Nov.</v>
      </c>
      <c r="N1" s="15" t="str">
        <f>IFERROR(__xludf.DUMMYFUNCTION("""COMPUTED_VALUE"""),"Dec.")</f>
        <v>Dec.</v>
      </c>
    </row>
    <row r="2">
      <c r="A2" s="159" t="s">
        <v>282</v>
      </c>
      <c r="B2" s="317">
        <v>1.0</v>
      </c>
      <c r="C2" s="15">
        <v>0.21</v>
      </c>
      <c r="D2" s="15">
        <v>0.21</v>
      </c>
      <c r="E2" s="253">
        <v>0.21</v>
      </c>
      <c r="F2" s="15">
        <v>0.15</v>
      </c>
      <c r="G2" s="15">
        <v>0.13</v>
      </c>
      <c r="H2" s="15">
        <v>0.05</v>
      </c>
      <c r="I2" s="15">
        <v>0.03</v>
      </c>
      <c r="J2" s="15">
        <v>0.0</v>
      </c>
      <c r="K2" s="15">
        <v>0.06</v>
      </c>
      <c r="L2" s="15">
        <v>0.1</v>
      </c>
      <c r="M2" s="15">
        <v>0.21</v>
      </c>
      <c r="N2" s="15">
        <v>0.23</v>
      </c>
    </row>
    <row r="3">
      <c r="A3" s="159" t="s">
        <v>283</v>
      </c>
      <c r="B3" s="317">
        <v>2.0</v>
      </c>
      <c r="C3" s="15">
        <v>0.13</v>
      </c>
      <c r="D3" s="15">
        <v>0.13</v>
      </c>
      <c r="E3" s="255">
        <v>0.13</v>
      </c>
      <c r="F3" s="15">
        <v>0.09</v>
      </c>
      <c r="G3" s="15">
        <v>0.07</v>
      </c>
      <c r="H3" s="15">
        <v>0.02</v>
      </c>
      <c r="I3" s="15">
        <v>0.0</v>
      </c>
      <c r="J3" s="15">
        <v>0.02</v>
      </c>
      <c r="K3" s="15">
        <v>0.12</v>
      </c>
      <c r="L3" s="15">
        <v>0.17</v>
      </c>
      <c r="M3" s="15">
        <v>0.3</v>
      </c>
      <c r="N3" s="15">
        <v>0.32</v>
      </c>
    </row>
    <row r="4">
      <c r="A4" s="159" t="s">
        <v>284</v>
      </c>
      <c r="B4" s="319">
        <v>3.0</v>
      </c>
      <c r="C4" s="15">
        <v>0.07</v>
      </c>
      <c r="D4" s="15">
        <v>0.07</v>
      </c>
      <c r="E4" s="256">
        <v>0.07</v>
      </c>
      <c r="F4" s="15">
        <v>0.04</v>
      </c>
      <c r="G4" s="15">
        <v>0.03</v>
      </c>
      <c r="H4" s="15">
        <v>0.0</v>
      </c>
      <c r="I4" s="15">
        <v>0.0</v>
      </c>
      <c r="J4" s="15">
        <v>0.07</v>
      </c>
      <c r="K4" s="15">
        <v>0.21</v>
      </c>
      <c r="L4" s="15">
        <v>0.26</v>
      </c>
      <c r="M4" s="15">
        <v>0.39</v>
      </c>
      <c r="N4" s="15">
        <v>0.41</v>
      </c>
    </row>
    <row r="5">
      <c r="A5" s="159" t="s">
        <v>285</v>
      </c>
      <c r="B5" s="317">
        <v>4.0</v>
      </c>
      <c r="C5" s="15">
        <v>0.03</v>
      </c>
      <c r="D5" s="15">
        <v>0.03</v>
      </c>
      <c r="E5" s="257">
        <v>0.03</v>
      </c>
      <c r="F5" s="15">
        <v>0.01</v>
      </c>
      <c r="G5" s="15">
        <v>0.01</v>
      </c>
      <c r="H5" s="15">
        <v>0.01</v>
      </c>
      <c r="I5" s="15">
        <v>0.03</v>
      </c>
      <c r="J5" s="15">
        <v>0.15</v>
      </c>
      <c r="K5" s="15">
        <v>0.31</v>
      </c>
      <c r="L5" s="15">
        <v>0.36</v>
      </c>
      <c r="M5" s="15">
        <v>0.49</v>
      </c>
      <c r="N5" s="15">
        <v>0.51</v>
      </c>
    </row>
    <row r="6">
      <c r="A6" s="159" t="s">
        <v>286</v>
      </c>
      <c r="B6" s="317">
        <v>5.0</v>
      </c>
      <c r="C6" s="15">
        <v>0.01</v>
      </c>
      <c r="D6" s="15">
        <v>0.01</v>
      </c>
      <c r="E6" s="258">
        <v>0.01</v>
      </c>
      <c r="F6" s="15">
        <v>0.0</v>
      </c>
      <c r="G6" s="15">
        <v>0.0</v>
      </c>
      <c r="H6" s="15">
        <v>0.05</v>
      </c>
      <c r="I6" s="15">
        <v>0.09</v>
      </c>
      <c r="J6" s="15">
        <v>0.24</v>
      </c>
      <c r="K6" s="15">
        <v>0.42</v>
      </c>
      <c r="L6" s="15">
        <v>0.46</v>
      </c>
      <c r="M6" s="15">
        <v>0.59</v>
      </c>
      <c r="N6" s="15">
        <v>0.6</v>
      </c>
    </row>
    <row r="7">
      <c r="A7" s="159" t="s">
        <v>287</v>
      </c>
      <c r="B7" s="317">
        <v>6.0</v>
      </c>
      <c r="C7" s="15">
        <v>0.0</v>
      </c>
      <c r="D7" s="15">
        <v>0.0</v>
      </c>
      <c r="E7" s="260">
        <v>0.0</v>
      </c>
      <c r="F7" s="15">
        <v>0.01</v>
      </c>
      <c r="G7" s="15">
        <v>0.02</v>
      </c>
      <c r="H7" s="15">
        <v>0.11</v>
      </c>
      <c r="I7" s="15">
        <v>0.17</v>
      </c>
      <c r="J7" s="15">
        <v>0.35</v>
      </c>
      <c r="K7" s="15">
        <v>0.52</v>
      </c>
      <c r="L7" s="15">
        <v>0.56</v>
      </c>
      <c r="M7" s="15">
        <v>0.68</v>
      </c>
      <c r="N7" s="15">
        <v>0.69</v>
      </c>
    </row>
    <row r="8">
      <c r="A8" s="159" t="s">
        <v>288</v>
      </c>
      <c r="B8" s="317">
        <v>7.0</v>
      </c>
      <c r="C8" s="15">
        <v>0.01</v>
      </c>
      <c r="D8" s="15">
        <v>0.01</v>
      </c>
      <c r="E8" s="258">
        <v>0.01</v>
      </c>
      <c r="F8" s="15">
        <v>0.04</v>
      </c>
      <c r="G8" s="15">
        <v>0.06</v>
      </c>
      <c r="H8" s="15">
        <v>0.19</v>
      </c>
      <c r="I8" s="15">
        <v>0.27</v>
      </c>
      <c r="J8" s="15">
        <v>0.46</v>
      </c>
      <c r="K8" s="15">
        <v>0.62</v>
      </c>
      <c r="L8" s="15">
        <v>0.66</v>
      </c>
      <c r="M8" s="15">
        <v>0.76</v>
      </c>
      <c r="N8" s="15">
        <v>0.77</v>
      </c>
    </row>
    <row r="9">
      <c r="A9" s="159" t="s">
        <v>289</v>
      </c>
      <c r="B9" s="317">
        <v>8.0</v>
      </c>
      <c r="C9" s="15">
        <v>0.05</v>
      </c>
      <c r="D9" s="15">
        <v>0.05</v>
      </c>
      <c r="E9" s="261">
        <v>0.05</v>
      </c>
      <c r="F9" s="15">
        <v>0.09</v>
      </c>
      <c r="G9" s="15">
        <v>0.13</v>
      </c>
      <c r="H9" s="15">
        <v>0.29</v>
      </c>
      <c r="I9" s="15">
        <v>0.37</v>
      </c>
      <c r="J9" s="15">
        <v>0.57</v>
      </c>
      <c r="K9" s="15">
        <v>0.72</v>
      </c>
      <c r="L9" s="15">
        <v>0.75</v>
      </c>
      <c r="M9" s="15">
        <v>0.84</v>
      </c>
      <c r="N9" s="15">
        <v>0.85</v>
      </c>
    </row>
    <row r="10">
      <c r="A10" s="159" t="s">
        <v>290</v>
      </c>
      <c r="B10" s="317">
        <v>9.0</v>
      </c>
      <c r="C10" s="15">
        <v>0.09</v>
      </c>
      <c r="D10" s="15">
        <v>0.09</v>
      </c>
      <c r="E10" s="262">
        <v>0.09</v>
      </c>
      <c r="F10" s="15">
        <v>0.16</v>
      </c>
      <c r="G10" s="15">
        <v>0.21</v>
      </c>
      <c r="H10" s="15">
        <v>0.4</v>
      </c>
      <c r="I10" s="15">
        <v>0.49</v>
      </c>
      <c r="J10" s="15">
        <v>0.67</v>
      </c>
      <c r="K10" s="15">
        <v>0.8</v>
      </c>
      <c r="L10" s="15">
        <v>0.82</v>
      </c>
      <c r="M10" s="15">
        <v>0.9</v>
      </c>
      <c r="N10" s="15">
        <v>0.91</v>
      </c>
    </row>
    <row r="11">
      <c r="A11" s="159" t="s">
        <v>291</v>
      </c>
      <c r="B11" s="317">
        <v>10.0</v>
      </c>
      <c r="C11" s="15">
        <v>0.16</v>
      </c>
      <c r="D11" s="15">
        <v>0.16</v>
      </c>
      <c r="E11" s="265">
        <v>0.16</v>
      </c>
      <c r="F11" s="15">
        <v>0.24</v>
      </c>
      <c r="G11" s="15">
        <v>0.31</v>
      </c>
      <c r="H11" s="15">
        <v>0.51</v>
      </c>
      <c r="I11" s="15">
        <v>0.6</v>
      </c>
      <c r="J11" s="15">
        <v>0.76</v>
      </c>
      <c r="K11" s="15">
        <v>0.87</v>
      </c>
      <c r="L11" s="15">
        <v>0.89</v>
      </c>
      <c r="M11" s="15">
        <v>0.95</v>
      </c>
      <c r="N11" s="15">
        <v>0.96</v>
      </c>
    </row>
    <row r="12">
      <c r="A12" s="159" t="s">
        <v>292</v>
      </c>
      <c r="B12" s="317">
        <v>11.0</v>
      </c>
      <c r="C12" s="15">
        <v>0.23</v>
      </c>
      <c r="D12" s="15">
        <v>0.23</v>
      </c>
      <c r="E12" s="267">
        <v>0.23</v>
      </c>
      <c r="F12" s="15">
        <v>0.34</v>
      </c>
      <c r="G12" s="15">
        <v>0.42</v>
      </c>
      <c r="H12" s="15">
        <v>0.62</v>
      </c>
      <c r="I12" s="15">
        <v>0.7</v>
      </c>
      <c r="J12" s="15">
        <v>0.84</v>
      </c>
      <c r="K12" s="15">
        <v>0.93</v>
      </c>
      <c r="L12" s="15">
        <v>0.94</v>
      </c>
      <c r="M12" s="15">
        <v>0.98</v>
      </c>
      <c r="N12" s="15">
        <v>0.99</v>
      </c>
    </row>
    <row r="13">
      <c r="A13" s="159" t="s">
        <v>293</v>
      </c>
      <c r="B13" s="317">
        <v>12.0</v>
      </c>
      <c r="C13" s="15">
        <v>0.31</v>
      </c>
      <c r="D13" s="15">
        <v>0.31</v>
      </c>
      <c r="E13" s="268">
        <v>0.31</v>
      </c>
      <c r="F13" s="15">
        <v>0.45</v>
      </c>
      <c r="G13" s="15">
        <v>0.53</v>
      </c>
      <c r="H13" s="15">
        <v>0.73</v>
      </c>
      <c r="I13" s="15">
        <v>0.8</v>
      </c>
      <c r="J13" s="15">
        <v>0.91</v>
      </c>
      <c r="K13" s="15">
        <v>0.97</v>
      </c>
      <c r="L13" s="15">
        <v>0.98</v>
      </c>
      <c r="M13" s="15">
        <v>1.0</v>
      </c>
      <c r="N13" s="15">
        <v>1.0</v>
      </c>
    </row>
    <row r="14">
      <c r="A14" s="159" t="s">
        <v>294</v>
      </c>
      <c r="B14" s="317">
        <v>13.0</v>
      </c>
      <c r="C14" s="15">
        <v>0.41</v>
      </c>
      <c r="D14" s="15">
        <v>0.41</v>
      </c>
      <c r="E14" s="269">
        <v>0.41</v>
      </c>
      <c r="F14" s="15">
        <v>0.56</v>
      </c>
      <c r="G14" s="15">
        <v>0.65</v>
      </c>
      <c r="H14" s="15">
        <v>0.82</v>
      </c>
      <c r="I14" s="15">
        <v>0.87</v>
      </c>
      <c r="J14" s="15">
        <v>0.96</v>
      </c>
      <c r="K14" s="15">
        <v>0.99</v>
      </c>
      <c r="L14" s="15">
        <v>1.0</v>
      </c>
      <c r="M14" s="15">
        <v>0.99</v>
      </c>
      <c r="N14" s="15">
        <v>0.99</v>
      </c>
    </row>
    <row r="15">
      <c r="A15" s="159" t="s">
        <v>295</v>
      </c>
      <c r="B15" s="317">
        <v>14.0</v>
      </c>
      <c r="C15" s="15">
        <v>0.51</v>
      </c>
      <c r="D15" s="15">
        <v>0.51</v>
      </c>
      <c r="E15" s="270">
        <v>0.51</v>
      </c>
      <c r="F15" s="15">
        <v>0.67</v>
      </c>
      <c r="G15" s="15">
        <v>0.75</v>
      </c>
      <c r="H15" s="15">
        <v>0.9</v>
      </c>
      <c r="I15" s="15">
        <v>0.93</v>
      </c>
      <c r="J15" s="15">
        <v>0.99</v>
      </c>
      <c r="K15" s="15">
        <v>1.0</v>
      </c>
      <c r="L15" s="15">
        <v>1.0</v>
      </c>
      <c r="M15" s="15">
        <v>0.97</v>
      </c>
      <c r="N15" s="15">
        <v>0.95</v>
      </c>
    </row>
    <row r="16">
      <c r="A16" s="159" t="s">
        <v>296</v>
      </c>
      <c r="B16" s="317">
        <v>15.0</v>
      </c>
      <c r="C16" s="15">
        <v>0.61</v>
      </c>
      <c r="D16" s="15">
        <v>0.61</v>
      </c>
      <c r="E16" s="271">
        <v>0.61</v>
      </c>
      <c r="F16" s="15">
        <v>0.78</v>
      </c>
      <c r="G16" s="15">
        <v>0.84</v>
      </c>
      <c r="H16" s="15">
        <v>0.95</v>
      </c>
      <c r="I16" s="15">
        <v>0.98</v>
      </c>
      <c r="J16" s="15">
        <v>1.0</v>
      </c>
      <c r="K16" s="15">
        <v>0.99</v>
      </c>
      <c r="L16" s="15">
        <v>0.98</v>
      </c>
      <c r="M16" s="15">
        <v>0.92</v>
      </c>
      <c r="N16" s="15">
        <v>0.89</v>
      </c>
    </row>
    <row r="17">
      <c r="A17" s="159" t="s">
        <v>297</v>
      </c>
      <c r="B17" s="317">
        <v>16.0</v>
      </c>
      <c r="C17" s="15">
        <v>0.71</v>
      </c>
      <c r="D17" s="15">
        <v>0.71</v>
      </c>
      <c r="E17" s="272">
        <v>0.71</v>
      </c>
      <c r="F17" s="15">
        <v>0.87</v>
      </c>
      <c r="G17" s="15">
        <v>0.92</v>
      </c>
      <c r="H17" s="15">
        <v>0.99</v>
      </c>
      <c r="I17" s="15">
        <v>1.0</v>
      </c>
      <c r="J17" s="15">
        <v>0.99</v>
      </c>
      <c r="K17" s="15">
        <v>0.96</v>
      </c>
      <c r="L17" s="15">
        <v>0.94</v>
      </c>
      <c r="M17" s="15">
        <v>0.85</v>
      </c>
      <c r="N17" s="15">
        <v>0.81</v>
      </c>
    </row>
    <row r="18">
      <c r="A18" s="159" t="s">
        <v>298</v>
      </c>
      <c r="B18" s="317">
        <v>17.0</v>
      </c>
      <c r="C18" s="15">
        <v>0.8</v>
      </c>
      <c r="D18" s="15">
        <v>0.8</v>
      </c>
      <c r="E18" s="320">
        <v>0.8</v>
      </c>
      <c r="F18" s="15">
        <v>0.94</v>
      </c>
      <c r="G18" s="15">
        <v>0.97</v>
      </c>
      <c r="H18" s="15">
        <v>1.0</v>
      </c>
      <c r="I18" s="15">
        <v>1.0</v>
      </c>
      <c r="J18" s="15">
        <v>0.97</v>
      </c>
      <c r="K18" s="15">
        <v>0.91</v>
      </c>
      <c r="L18" s="15">
        <v>0.89</v>
      </c>
      <c r="M18" s="15">
        <v>0.77</v>
      </c>
      <c r="N18" s="15">
        <v>0.71</v>
      </c>
    </row>
    <row r="19">
      <c r="A19" s="159" t="s">
        <v>299</v>
      </c>
      <c r="B19" s="317">
        <v>18.0</v>
      </c>
      <c r="C19" s="15">
        <v>0.88</v>
      </c>
      <c r="D19" s="15">
        <v>0.88</v>
      </c>
      <c r="E19" s="278">
        <v>0.88</v>
      </c>
      <c r="F19" s="15">
        <v>0.98</v>
      </c>
      <c r="G19" s="15">
        <v>0.99</v>
      </c>
      <c r="H19" s="15">
        <v>0.99</v>
      </c>
      <c r="I19" s="15">
        <v>0.98</v>
      </c>
      <c r="J19" s="15">
        <v>0.93</v>
      </c>
      <c r="K19" s="15">
        <v>0.85</v>
      </c>
      <c r="L19" s="15">
        <v>0.82</v>
      </c>
      <c r="M19" s="15">
        <v>0.67</v>
      </c>
      <c r="N19" s="15">
        <v>0.6</v>
      </c>
    </row>
    <row r="20">
      <c r="A20" s="159" t="s">
        <v>300</v>
      </c>
      <c r="B20" s="317">
        <v>19.0</v>
      </c>
      <c r="C20" s="15">
        <v>0.95</v>
      </c>
      <c r="D20" s="15">
        <v>0.95</v>
      </c>
      <c r="E20" s="279">
        <v>0.95</v>
      </c>
      <c r="F20" s="15">
        <v>1.0</v>
      </c>
      <c r="G20" s="15">
        <v>1.0</v>
      </c>
      <c r="H20" s="15">
        <v>0.96</v>
      </c>
      <c r="I20" s="15">
        <v>0.95</v>
      </c>
      <c r="J20" s="15">
        <v>0.87</v>
      </c>
      <c r="K20" s="15">
        <v>0.77</v>
      </c>
      <c r="L20" s="15">
        <v>0.73</v>
      </c>
      <c r="M20" s="15">
        <v>0.56</v>
      </c>
      <c r="N20" s="15">
        <v>0.49</v>
      </c>
    </row>
    <row r="21">
      <c r="A21" s="159" t="s">
        <v>301</v>
      </c>
      <c r="B21" s="317">
        <v>20.0</v>
      </c>
      <c r="C21" s="15">
        <v>0.99</v>
      </c>
      <c r="D21" s="15">
        <v>0.99</v>
      </c>
      <c r="E21" s="281">
        <v>0.99</v>
      </c>
      <c r="F21" s="15">
        <v>0.99</v>
      </c>
      <c r="G21" s="15">
        <v>0.98</v>
      </c>
      <c r="H21" s="15">
        <v>0.91</v>
      </c>
      <c r="I21" s="15">
        <v>0.89</v>
      </c>
      <c r="J21" s="15">
        <v>0.8</v>
      </c>
      <c r="K21" s="15">
        <v>0.68</v>
      </c>
      <c r="L21" s="15">
        <v>0.63</v>
      </c>
      <c r="M21" s="15">
        <v>0.45</v>
      </c>
      <c r="N21" s="15">
        <v>0.37</v>
      </c>
    </row>
    <row r="22">
      <c r="A22" s="159" t="s">
        <v>302</v>
      </c>
      <c r="B22" s="317">
        <v>21.0</v>
      </c>
      <c r="C22" s="15">
        <v>1.0</v>
      </c>
      <c r="D22" s="15">
        <v>1.0</v>
      </c>
      <c r="E22" s="282">
        <v>1.0</v>
      </c>
      <c r="F22" s="15">
        <v>0.95</v>
      </c>
      <c r="G22" s="15">
        <v>0.93</v>
      </c>
      <c r="H22" s="15">
        <v>0.85</v>
      </c>
      <c r="I22" s="15">
        <v>0.83</v>
      </c>
      <c r="J22" s="15">
        <v>0.72</v>
      </c>
      <c r="K22" s="15">
        <v>0.58</v>
      </c>
      <c r="L22" s="15">
        <v>0.52</v>
      </c>
      <c r="M22" s="15">
        <v>0.34</v>
      </c>
      <c r="N22" s="15">
        <v>0.27</v>
      </c>
    </row>
    <row r="23">
      <c r="A23" s="159" t="s">
        <v>303</v>
      </c>
      <c r="B23" s="317">
        <v>22.0</v>
      </c>
      <c r="C23" s="15">
        <v>0.98</v>
      </c>
      <c r="D23" s="15">
        <v>0.98</v>
      </c>
      <c r="E23" s="284">
        <v>0.98</v>
      </c>
      <c r="F23" s="15">
        <v>0.9</v>
      </c>
      <c r="G23" s="15">
        <v>0.87</v>
      </c>
      <c r="H23" s="15">
        <v>0.78</v>
      </c>
      <c r="I23" s="15">
        <v>0.75</v>
      </c>
      <c r="J23" s="15">
        <v>0.63</v>
      </c>
      <c r="K23" s="15">
        <v>0.48</v>
      </c>
      <c r="L23" s="15">
        <v>0.41</v>
      </c>
      <c r="M23" s="15">
        <v>0.23</v>
      </c>
      <c r="N23" s="15">
        <v>0.17</v>
      </c>
    </row>
    <row r="24">
      <c r="A24" s="159" t="s">
        <v>304</v>
      </c>
      <c r="B24" s="317">
        <v>23.0</v>
      </c>
      <c r="C24" s="15">
        <v>0.93</v>
      </c>
      <c r="D24" s="15">
        <v>0.93</v>
      </c>
      <c r="E24" s="285">
        <v>0.93</v>
      </c>
      <c r="F24" s="15">
        <v>0.83</v>
      </c>
      <c r="G24" s="15">
        <v>0.8</v>
      </c>
      <c r="H24" s="15">
        <v>0.69</v>
      </c>
      <c r="I24" s="15">
        <v>0.67</v>
      </c>
      <c r="J24" s="15">
        <v>0.53</v>
      </c>
      <c r="K24" s="15">
        <v>0.37</v>
      </c>
      <c r="L24" s="15">
        <v>0.3</v>
      </c>
      <c r="M24" s="15">
        <v>0.14</v>
      </c>
      <c r="N24" s="15">
        <v>0.1</v>
      </c>
    </row>
    <row r="25">
      <c r="A25" s="159" t="s">
        <v>305</v>
      </c>
      <c r="B25" s="317">
        <v>24.0</v>
      </c>
      <c r="C25" s="15">
        <v>0.86</v>
      </c>
      <c r="D25" s="15">
        <v>0.86</v>
      </c>
      <c r="E25" s="286">
        <v>0.86</v>
      </c>
      <c r="F25" s="15">
        <v>0.74</v>
      </c>
      <c r="G25" s="15">
        <v>0.72</v>
      </c>
      <c r="H25" s="15">
        <v>0.6</v>
      </c>
      <c r="I25" s="15">
        <v>0.57</v>
      </c>
      <c r="J25" s="15">
        <v>0.43</v>
      </c>
      <c r="K25" s="15">
        <v>0.26</v>
      </c>
      <c r="L25" s="15">
        <v>0.2</v>
      </c>
      <c r="M25" s="15">
        <v>0.07</v>
      </c>
      <c r="N25" s="15">
        <v>0.04</v>
      </c>
    </row>
    <row r="26">
      <c r="A26" s="159" t="s">
        <v>306</v>
      </c>
      <c r="B26" s="317">
        <v>25.0</v>
      </c>
      <c r="C26" s="15">
        <v>0.77</v>
      </c>
      <c r="D26" s="15">
        <v>0.77</v>
      </c>
      <c r="E26" s="287">
        <v>0.77</v>
      </c>
      <c r="F26" s="15">
        <v>0.65</v>
      </c>
      <c r="G26" s="15">
        <v>0.63</v>
      </c>
      <c r="H26" s="15">
        <v>0.51</v>
      </c>
      <c r="I26" s="15">
        <v>0.47</v>
      </c>
      <c r="J26" s="15">
        <v>0.32</v>
      </c>
      <c r="K26" s="15">
        <v>0.17</v>
      </c>
      <c r="L26" s="15">
        <v>0.11</v>
      </c>
      <c r="M26" s="15">
        <v>0.02</v>
      </c>
      <c r="N26" s="15">
        <v>0.01</v>
      </c>
    </row>
    <row r="27">
      <c r="A27" s="159" t="s">
        <v>307</v>
      </c>
      <c r="B27" s="317">
        <v>26.0</v>
      </c>
      <c r="C27" s="15">
        <v>0.67</v>
      </c>
      <c r="D27" s="15">
        <v>0.67</v>
      </c>
      <c r="E27" s="289">
        <v>0.67</v>
      </c>
      <c r="F27" s="15">
        <v>0.56</v>
      </c>
      <c r="G27" s="15">
        <v>0.54</v>
      </c>
      <c r="H27" s="15">
        <v>0.41</v>
      </c>
      <c r="I27" s="15">
        <v>0.37</v>
      </c>
      <c r="J27" s="15">
        <v>0.23</v>
      </c>
      <c r="K27" s="15">
        <v>0.09</v>
      </c>
      <c r="L27" s="15">
        <v>0.05</v>
      </c>
      <c r="M27" s="15">
        <v>0.0</v>
      </c>
      <c r="N27" s="15">
        <v>0.0</v>
      </c>
    </row>
    <row r="28">
      <c r="A28" s="159" t="s">
        <v>308</v>
      </c>
      <c r="B28" s="317">
        <v>27.0</v>
      </c>
      <c r="C28" s="15">
        <v>0.56</v>
      </c>
      <c r="D28" s="15">
        <v>0.56</v>
      </c>
      <c r="E28" s="291">
        <v>0.56</v>
      </c>
      <c r="F28" s="15">
        <v>0.46</v>
      </c>
      <c r="G28" s="15">
        <v>0.44</v>
      </c>
      <c r="H28" s="15">
        <v>0.32</v>
      </c>
      <c r="I28" s="15">
        <v>0.28</v>
      </c>
      <c r="J28" s="15">
        <v>0.14</v>
      </c>
      <c r="K28" s="15">
        <v>0.03</v>
      </c>
      <c r="L28" s="15">
        <v>0.01</v>
      </c>
      <c r="M28" s="15">
        <v>0.01</v>
      </c>
      <c r="N28" s="15">
        <v>0.01</v>
      </c>
    </row>
    <row r="29">
      <c r="A29" s="159" t="s">
        <v>309</v>
      </c>
      <c r="B29" s="317">
        <v>28.0</v>
      </c>
      <c r="C29" s="15">
        <v>0.45</v>
      </c>
      <c r="D29" s="15">
        <v>0.45</v>
      </c>
      <c r="E29" s="292">
        <v>0.45</v>
      </c>
      <c r="F29" s="15">
        <v>0.37</v>
      </c>
      <c r="G29" s="15">
        <v>0.35</v>
      </c>
      <c r="H29" s="15">
        <v>0.23</v>
      </c>
      <c r="I29" s="15">
        <v>0.19</v>
      </c>
      <c r="J29" s="15">
        <v>0.07</v>
      </c>
      <c r="K29" s="15">
        <v>0.0</v>
      </c>
      <c r="L29" s="15">
        <v>0.0</v>
      </c>
      <c r="M29" s="15">
        <v>0.04</v>
      </c>
      <c r="N29" s="15">
        <v>0.05</v>
      </c>
    </row>
    <row r="30">
      <c r="A30" s="159" t="s">
        <v>310</v>
      </c>
      <c r="B30" s="317">
        <v>29.0</v>
      </c>
      <c r="C30" s="15">
        <v>0.35</v>
      </c>
      <c r="D30" s="15">
        <v>0.35</v>
      </c>
      <c r="E30" s="293">
        <v>0.35</v>
      </c>
      <c r="F30" s="15">
        <v>0.28</v>
      </c>
      <c r="G30" s="15">
        <v>0.26</v>
      </c>
      <c r="H30" s="15">
        <v>0.15</v>
      </c>
      <c r="I30" s="15">
        <v>0.11</v>
      </c>
      <c r="J30" s="15">
        <v>0.02</v>
      </c>
      <c r="K30" s="15">
        <v>0.01</v>
      </c>
      <c r="L30" s="15">
        <v>0.02</v>
      </c>
      <c r="M30" s="15">
        <v>0.09</v>
      </c>
      <c r="N30" s="15">
        <v>0.1</v>
      </c>
    </row>
    <row r="31">
      <c r="A31" s="159" t="s">
        <v>311</v>
      </c>
      <c r="B31" s="317">
        <v>30.0</v>
      </c>
      <c r="C31" s="15">
        <v>0.26</v>
      </c>
      <c r="D31" s="15">
        <v>0.26</v>
      </c>
      <c r="E31" s="294">
        <v>0.26</v>
      </c>
      <c r="F31" s="15">
        <v>0.2</v>
      </c>
      <c r="G31" s="15">
        <v>0.18</v>
      </c>
      <c r="H31" s="15">
        <v>0.08</v>
      </c>
      <c r="I31" s="15">
        <v>0.05</v>
      </c>
      <c r="J31" s="15">
        <v>0.0</v>
      </c>
      <c r="K31" s="15">
        <v>0.04</v>
      </c>
      <c r="L31" s="15">
        <v>0.06</v>
      </c>
      <c r="M31" s="15">
        <v>0.15</v>
      </c>
      <c r="N31" s="15">
        <v>0.17</v>
      </c>
    </row>
    <row r="32">
      <c r="A32" s="321" t="s">
        <v>312</v>
      </c>
      <c r="B32" s="317">
        <v>31.0</v>
      </c>
      <c r="C32" s="15">
        <v>0.18</v>
      </c>
      <c r="D32" s="15">
        <v>0.18</v>
      </c>
      <c r="E32" s="295">
        <v>0.18</v>
      </c>
      <c r="F32" s="15" t="s">
        <v>111</v>
      </c>
      <c r="G32" s="15">
        <v>0.11</v>
      </c>
      <c r="H32" s="15" t="s">
        <v>111</v>
      </c>
      <c r="I32" s="15">
        <v>0.01</v>
      </c>
      <c r="J32" s="15">
        <v>0.01</v>
      </c>
      <c r="K32" s="15" t="s">
        <v>111</v>
      </c>
      <c r="L32" s="15">
        <v>0.13</v>
      </c>
      <c r="M32" s="15" t="s">
        <v>111</v>
      </c>
      <c r="N32" s="15">
        <v>0.24</v>
      </c>
    </row>
  </sheetData>
  <conditionalFormatting sqref="C2:N32">
    <cfRule type="colorScale" priority="1">
      <colorScale>
        <cfvo type="min"/>
        <cfvo type="max"/>
        <color rgb="FF666666"/>
        <color rgb="FFFFFFFF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5.38"/>
  </cols>
  <sheetData>
    <row r="1">
      <c r="A1" s="196" t="s">
        <v>313</v>
      </c>
      <c r="B1" s="196" t="s">
        <v>314</v>
      </c>
      <c r="C1" s="322" t="s">
        <v>315</v>
      </c>
      <c r="D1" s="323" t="s">
        <v>316</v>
      </c>
      <c r="E1" s="196" t="s">
        <v>317</v>
      </c>
      <c r="F1" s="196" t="s">
        <v>318</v>
      </c>
    </row>
    <row r="2" ht="19.5" customHeight="1">
      <c r="A2" s="322" t="s">
        <v>74</v>
      </c>
      <c r="B2" s="322" t="s">
        <v>74</v>
      </c>
      <c r="C2" s="322" t="s">
        <v>74</v>
      </c>
      <c r="D2" s="324" t="s">
        <v>74</v>
      </c>
      <c r="E2" s="322" t="s">
        <v>74</v>
      </c>
      <c r="F2" s="322" t="s">
        <v>74</v>
      </c>
      <c r="G2" s="325" t="s">
        <v>74</v>
      </c>
      <c r="J2" s="196"/>
      <c r="K2" s="196"/>
      <c r="L2" s="196"/>
      <c r="M2" s="196"/>
    </row>
    <row r="3" ht="19.5" customHeight="1">
      <c r="A3" s="322" t="s">
        <v>1</v>
      </c>
      <c r="B3" s="322" t="s">
        <v>1</v>
      </c>
      <c r="C3" s="322" t="s">
        <v>1</v>
      </c>
      <c r="D3" s="324" t="s">
        <v>1</v>
      </c>
      <c r="E3" s="322" t="s">
        <v>1</v>
      </c>
      <c r="F3" s="322" t="s">
        <v>1</v>
      </c>
      <c r="G3" s="325" t="s">
        <v>1</v>
      </c>
      <c r="I3" s="326"/>
      <c r="J3" s="308"/>
      <c r="K3" s="308"/>
      <c r="L3" s="308"/>
      <c r="M3" s="308"/>
    </row>
    <row r="4" ht="18.0" customHeight="1">
      <c r="A4" s="322" t="s">
        <v>2</v>
      </c>
      <c r="B4" s="322" t="s">
        <v>2</v>
      </c>
      <c r="C4" s="327" t="s">
        <v>2</v>
      </c>
      <c r="D4" s="322" t="s">
        <v>2</v>
      </c>
      <c r="E4" s="322" t="s">
        <v>2</v>
      </c>
      <c r="F4" s="322" t="s">
        <v>2</v>
      </c>
      <c r="G4" s="325" t="s">
        <v>2</v>
      </c>
      <c r="I4" s="247"/>
    </row>
    <row r="5" ht="19.5" customHeight="1">
      <c r="A5" s="322" t="s">
        <v>3</v>
      </c>
      <c r="B5" s="322" t="s">
        <v>3</v>
      </c>
      <c r="C5" s="322" t="s">
        <v>3</v>
      </c>
      <c r="D5" s="324" t="s">
        <v>3</v>
      </c>
      <c r="E5" s="322" t="s">
        <v>3</v>
      </c>
      <c r="F5" s="322" t="s">
        <v>3</v>
      </c>
      <c r="G5" s="325" t="s">
        <v>3</v>
      </c>
      <c r="I5" s="247"/>
      <c r="J5" s="308"/>
      <c r="K5" s="308"/>
      <c r="L5" s="308"/>
      <c r="M5" s="308"/>
    </row>
    <row r="6" ht="19.5" customHeight="1">
      <c r="A6" s="322" t="s">
        <v>4</v>
      </c>
      <c r="B6" s="322" t="s">
        <v>4</v>
      </c>
      <c r="C6" s="322" t="s">
        <v>4</v>
      </c>
      <c r="D6" s="324" t="s">
        <v>4</v>
      </c>
      <c r="E6" s="322" t="s">
        <v>4</v>
      </c>
      <c r="F6" s="322" t="s">
        <v>4</v>
      </c>
      <c r="G6" s="328" t="s">
        <v>4</v>
      </c>
    </row>
    <row r="7" ht="19.5" customHeight="1">
      <c r="A7" s="329" t="s">
        <v>319</v>
      </c>
      <c r="B7" s="329" t="s">
        <v>319</v>
      </c>
      <c r="C7" s="322" t="s">
        <v>319</v>
      </c>
      <c r="D7" s="324" t="s">
        <v>319</v>
      </c>
      <c r="E7" s="322" t="s">
        <v>319</v>
      </c>
      <c r="F7" s="322" t="s">
        <v>319</v>
      </c>
      <c r="G7" s="330" t="s">
        <v>319</v>
      </c>
    </row>
    <row r="8" ht="19.5" customHeight="1">
      <c r="A8" s="329" t="s">
        <v>320</v>
      </c>
      <c r="B8" s="329" t="s">
        <v>320</v>
      </c>
      <c r="C8" s="322" t="s">
        <v>320</v>
      </c>
      <c r="D8" s="324" t="s">
        <v>320</v>
      </c>
      <c r="E8" s="322" t="s">
        <v>320</v>
      </c>
      <c r="F8" s="322" t="s">
        <v>320</v>
      </c>
      <c r="G8" s="330" t="s">
        <v>320</v>
      </c>
    </row>
    <row r="9" ht="19.5" customHeight="1">
      <c r="A9" s="322" t="s">
        <v>321</v>
      </c>
      <c r="B9" s="322" t="s">
        <v>321</v>
      </c>
      <c r="C9" s="322" t="s">
        <v>321</v>
      </c>
      <c r="D9" s="324" t="s">
        <v>75</v>
      </c>
      <c r="E9" s="322" t="s">
        <v>75</v>
      </c>
      <c r="F9" s="322" t="s">
        <v>75</v>
      </c>
      <c r="G9" s="325" t="s">
        <v>321</v>
      </c>
    </row>
    <row r="10" ht="19.5" customHeight="1">
      <c r="A10" s="322" t="s">
        <v>9</v>
      </c>
      <c r="B10" s="322" t="s">
        <v>9</v>
      </c>
      <c r="C10" s="322" t="s">
        <v>9</v>
      </c>
      <c r="D10" s="324" t="s">
        <v>9</v>
      </c>
      <c r="E10" s="322" t="s">
        <v>9</v>
      </c>
      <c r="F10" s="322" t="s">
        <v>9</v>
      </c>
      <c r="G10" s="328" t="s">
        <v>9</v>
      </c>
    </row>
    <row r="11" ht="19.5" customHeight="1">
      <c r="A11" s="322" t="s">
        <v>10</v>
      </c>
      <c r="B11" s="322" t="s">
        <v>10</v>
      </c>
      <c r="C11" s="322" t="s">
        <v>139</v>
      </c>
      <c r="D11" s="324" t="s">
        <v>10</v>
      </c>
      <c r="E11" s="322" t="s">
        <v>76</v>
      </c>
      <c r="F11" s="322" t="s">
        <v>76</v>
      </c>
      <c r="G11" s="328" t="s">
        <v>10</v>
      </c>
    </row>
    <row r="12" ht="19.5" customHeight="1">
      <c r="A12" s="322" t="s">
        <v>11</v>
      </c>
      <c r="B12" s="322" t="s">
        <v>11</v>
      </c>
      <c r="C12" s="322" t="s">
        <v>11</v>
      </c>
      <c r="D12" s="324" t="s">
        <v>11</v>
      </c>
      <c r="E12" s="322" t="s">
        <v>77</v>
      </c>
      <c r="F12" s="322" t="s">
        <v>77</v>
      </c>
      <c r="G12" s="328" t="s">
        <v>11</v>
      </c>
    </row>
    <row r="13" ht="19.5" customHeight="1">
      <c r="A13" s="322" t="s">
        <v>12</v>
      </c>
      <c r="B13" s="322" t="s">
        <v>12</v>
      </c>
      <c r="C13" s="322" t="s">
        <v>12</v>
      </c>
      <c r="D13" s="324" t="s">
        <v>12</v>
      </c>
      <c r="E13" s="322" t="s">
        <v>12</v>
      </c>
      <c r="F13" s="322" t="s">
        <v>12</v>
      </c>
      <c r="G13" s="325" t="s">
        <v>12</v>
      </c>
    </row>
    <row r="14" ht="19.5" customHeight="1">
      <c r="A14" s="322" t="s">
        <v>13</v>
      </c>
      <c r="B14" s="322" t="s">
        <v>13</v>
      </c>
      <c r="C14" s="324" t="s">
        <v>13</v>
      </c>
      <c r="D14" s="324" t="s">
        <v>13</v>
      </c>
      <c r="E14" s="324" t="s">
        <v>13</v>
      </c>
      <c r="F14" s="324" t="s">
        <v>13</v>
      </c>
      <c r="G14" s="328" t="s">
        <v>13</v>
      </c>
    </row>
    <row r="15" ht="19.5" customHeight="1">
      <c r="A15" s="322" t="s">
        <v>14</v>
      </c>
      <c r="B15" s="322" t="s">
        <v>14</v>
      </c>
      <c r="C15" s="324" t="s">
        <v>14</v>
      </c>
      <c r="D15" s="324" t="s">
        <v>14</v>
      </c>
      <c r="E15" s="324" t="s">
        <v>14</v>
      </c>
      <c r="F15" s="324" t="s">
        <v>14</v>
      </c>
      <c r="G15" s="328" t="s">
        <v>14</v>
      </c>
      <c r="H15" s="159" t="s">
        <v>322</v>
      </c>
      <c r="I15" s="159" t="s">
        <v>323</v>
      </c>
      <c r="J15" s="159" t="s">
        <v>324</v>
      </c>
      <c r="K15" s="159" t="s">
        <v>325</v>
      </c>
      <c r="L15" s="159" t="s">
        <v>326</v>
      </c>
      <c r="M15" t="str">
        <f>IFERROR(__xludf.DUMMYFUNCTION("JOIN("" + "",H15:L15)"),"NOV_F_A_DN + DEC_F_A_DN + JAN_F_A_DN + FEB_F_A_DN + MAR_F_A_DN")</f>
        <v>NOV_F_A_DN + DEC_F_A_DN + JAN_F_A_DN + FEB_F_A_DN + MAR_F_A_DN</v>
      </c>
    </row>
    <row r="16" ht="19.5" customHeight="1">
      <c r="A16" s="322" t="s">
        <v>15</v>
      </c>
      <c r="B16" s="322" t="s">
        <v>15</v>
      </c>
      <c r="C16" s="324" t="s">
        <v>78</v>
      </c>
      <c r="D16" s="324" t="s">
        <v>78</v>
      </c>
      <c r="E16" s="324" t="s">
        <v>78</v>
      </c>
      <c r="F16" s="324" t="s">
        <v>78</v>
      </c>
      <c r="G16" s="328" t="s">
        <v>15</v>
      </c>
      <c r="H16" s="159" t="s">
        <v>327</v>
      </c>
      <c r="I16" s="159" t="s">
        <v>328</v>
      </c>
      <c r="J16" s="159" t="s">
        <v>329</v>
      </c>
      <c r="K16" s="159" t="s">
        <v>330</v>
      </c>
      <c r="L16" s="159" t="s">
        <v>331</v>
      </c>
      <c r="M16" t="str">
        <f>IFERROR(__xludf.DUMMYFUNCTION("JOIN("" + "",H16:L16)"),"NOV_M_A_DN + DEC_M_A_DN + JAN_M_A_DN + FEB_M_A_DN + MAR_M_A_DN")</f>
        <v>NOV_M_A_DN + DEC_M_A_DN + JAN_M_A_DN + FEB_M_A_DN + MAR_M_A_DN</v>
      </c>
    </row>
    <row r="17" ht="19.5" customHeight="1">
      <c r="A17" s="322" t="s">
        <v>16</v>
      </c>
      <c r="B17" s="322" t="s">
        <v>16</v>
      </c>
      <c r="C17" s="324" t="s">
        <v>79</v>
      </c>
      <c r="D17" s="324" t="s">
        <v>174</v>
      </c>
      <c r="E17" s="324" t="s">
        <v>79</v>
      </c>
      <c r="F17" s="324" t="s">
        <v>79</v>
      </c>
      <c r="G17" s="328" t="s">
        <v>16</v>
      </c>
      <c r="H17" s="159" t="s">
        <v>332</v>
      </c>
      <c r="I17" s="159" t="s">
        <v>333</v>
      </c>
      <c r="J17" s="159" t="s">
        <v>334</v>
      </c>
      <c r="K17" s="159" t="s">
        <v>335</v>
      </c>
      <c r="L17" s="159" t="s">
        <v>336</v>
      </c>
      <c r="M17" t="str">
        <f>IFERROR(__xludf.DUMMYFUNCTION("JOIN("" + "",H17:L17)"),"NOV_F_U_DN + DEC_F_U_DN + JAN_F_U_DN + FEB_F_U_DN + MAR_F_U_DN")</f>
        <v>NOV_F_U_DN + DEC_F_U_DN + JAN_F_U_DN + FEB_F_U_DN + MAR_F_U_DN</v>
      </c>
    </row>
    <row r="18" ht="19.5" customHeight="1">
      <c r="A18" s="322" t="s">
        <v>17</v>
      </c>
      <c r="B18" s="322" t="s">
        <v>17</v>
      </c>
      <c r="C18" s="324" t="s">
        <v>140</v>
      </c>
      <c r="D18" s="324" t="s">
        <v>140</v>
      </c>
      <c r="E18" s="324" t="s">
        <v>80</v>
      </c>
      <c r="F18" s="324" t="s">
        <v>80</v>
      </c>
      <c r="G18" s="328" t="s">
        <v>114</v>
      </c>
      <c r="H18" s="159" t="s">
        <v>337</v>
      </c>
      <c r="I18" s="159" t="s">
        <v>338</v>
      </c>
      <c r="J18" s="159" t="s">
        <v>339</v>
      </c>
      <c r="K18" s="159" t="s">
        <v>340</v>
      </c>
      <c r="L18" s="159" t="s">
        <v>341</v>
      </c>
      <c r="M18" t="str">
        <f>IFERROR(__xludf.DUMMYFUNCTION("JOIN("" + "",H18:L18)"),"NOV_M_U_DN + DEC_M_U_DN + JAN_M_U_DN + FEB_M_U_DN + MAR_M_U_DN")</f>
        <v>NOV_M_U_DN + DEC_M_U_DN + JAN_M_U_DN + FEB_M_U_DN + MAR_M_U_DN</v>
      </c>
    </row>
    <row r="19" ht="19.5" customHeight="1">
      <c r="A19" s="322" t="s">
        <v>18</v>
      </c>
      <c r="B19" s="322" t="s">
        <v>18</v>
      </c>
      <c r="C19" s="324" t="s">
        <v>81</v>
      </c>
      <c r="D19" s="324" t="s">
        <v>81</v>
      </c>
      <c r="E19" s="324" t="s">
        <v>81</v>
      </c>
      <c r="F19" s="324" t="s">
        <v>81</v>
      </c>
      <c r="G19" s="328" t="s">
        <v>115</v>
      </c>
      <c r="H19" s="159" t="s">
        <v>342</v>
      </c>
      <c r="I19" s="159" t="s">
        <v>343</v>
      </c>
      <c r="J19" s="159" t="s">
        <v>344</v>
      </c>
      <c r="K19" s="159" t="s">
        <v>345</v>
      </c>
      <c r="L19" s="159" t="s">
        <v>346</v>
      </c>
      <c r="M19" t="str">
        <f>IFERROR(__xludf.DUMMYFUNCTION("JOIN("" + "",H19:L19)"),"NOV_F_A_UP + DEC_F_A_UP + JAN_F_A_UP + FEB_F_A_UP + MAR_F_A_UP")</f>
        <v>NOV_F_A_UP + DEC_F_A_UP + JAN_F_A_UP + FEB_F_A_UP + MAR_F_A_UP</v>
      </c>
    </row>
    <row r="20" ht="19.5" customHeight="1">
      <c r="A20" s="322" t="s">
        <v>19</v>
      </c>
      <c r="B20" s="322" t="s">
        <v>19</v>
      </c>
      <c r="C20" s="324" t="s">
        <v>82</v>
      </c>
      <c r="D20" s="324" t="s">
        <v>82</v>
      </c>
      <c r="E20" s="324" t="s">
        <v>82</v>
      </c>
      <c r="F20" s="324" t="s">
        <v>82</v>
      </c>
      <c r="G20" s="328" t="s">
        <v>19</v>
      </c>
      <c r="H20" s="159" t="s">
        <v>347</v>
      </c>
      <c r="I20" s="159" t="s">
        <v>348</v>
      </c>
      <c r="J20" s="159" t="s">
        <v>349</v>
      </c>
      <c r="K20" s="159" t="s">
        <v>350</v>
      </c>
      <c r="L20" s="159" t="s">
        <v>351</v>
      </c>
      <c r="M20" t="str">
        <f>IFERROR(__xludf.DUMMYFUNCTION("JOIN("" + "",H20:L20)"),"NOV_M_A_UP + DEC_M_A_UP + JAN_M_A_UP + FEB_M_A_UP + MAR_M_A_UP")</f>
        <v>NOV_M_A_UP + DEC_M_A_UP + JAN_M_A_UP + FEB_M_A_UP + MAR_M_A_UP</v>
      </c>
    </row>
    <row r="21" ht="19.5" customHeight="1">
      <c r="A21" s="322" t="s">
        <v>20</v>
      </c>
      <c r="B21" s="322" t="s">
        <v>20</v>
      </c>
      <c r="C21" s="324" t="s">
        <v>83</v>
      </c>
      <c r="D21" s="324" t="s">
        <v>83</v>
      </c>
      <c r="E21" s="324" t="s">
        <v>83</v>
      </c>
      <c r="F21" s="324" t="s">
        <v>83</v>
      </c>
      <c r="G21" s="328" t="s">
        <v>20</v>
      </c>
      <c r="H21" s="159" t="s">
        <v>352</v>
      </c>
      <c r="I21" s="159" t="s">
        <v>353</v>
      </c>
      <c r="J21" s="159" t="s">
        <v>354</v>
      </c>
      <c r="K21" s="159" t="s">
        <v>355</v>
      </c>
      <c r="L21" s="159" t="s">
        <v>356</v>
      </c>
      <c r="M21" t="str">
        <f>IFERROR(__xludf.DUMMYFUNCTION("JOIN("" + "",H21:L21)"),"NOV_F_U_UP + DEC_F_U_UP + JAN_F_U_UP + FEB_F_U_UP + MAR_F_U_UP")</f>
        <v>NOV_F_U_UP + DEC_F_U_UP + JAN_F_U_UP + FEB_F_U_UP + MAR_F_U_UP</v>
      </c>
    </row>
    <row r="22" ht="19.5" customHeight="1">
      <c r="A22" s="322" t="s">
        <v>21</v>
      </c>
      <c r="B22" s="322" t="s">
        <v>21</v>
      </c>
      <c r="C22" s="324" t="s">
        <v>141</v>
      </c>
      <c r="D22" s="324" t="s">
        <v>84</v>
      </c>
      <c r="E22" s="324" t="s">
        <v>84</v>
      </c>
      <c r="F22" s="324" t="s">
        <v>84</v>
      </c>
      <c r="G22" s="328" t="s">
        <v>21</v>
      </c>
      <c r="H22" s="159" t="s">
        <v>357</v>
      </c>
      <c r="I22" s="159" t="s">
        <v>358</v>
      </c>
      <c r="J22" s="159" t="s">
        <v>359</v>
      </c>
      <c r="K22" s="159" t="s">
        <v>360</v>
      </c>
      <c r="L22" s="159" t="s">
        <v>361</v>
      </c>
      <c r="M22" t="str">
        <f>IFERROR(__xludf.DUMMYFUNCTION("JOIN("" + "",H22:L22)"),"NOV_M_U_UP + DEC_M_U_UP + JAN_M_U_UP + FEB_M_U_UP + MAR_M_U_UP")</f>
        <v>NOV_M_U_UP + DEC_M_U_UP + JAN_M_U_UP + FEB_M_U_UP + MAR_M_U_UP</v>
      </c>
    </row>
    <row r="23" ht="19.5" customHeight="1">
      <c r="A23" s="322" t="s">
        <v>22</v>
      </c>
      <c r="B23" s="322" t="s">
        <v>22</v>
      </c>
      <c r="C23" s="324" t="s">
        <v>85</v>
      </c>
      <c r="D23" s="324" t="s">
        <v>85</v>
      </c>
      <c r="E23" s="324" t="s">
        <v>85</v>
      </c>
      <c r="F23" s="324" t="s">
        <v>85</v>
      </c>
      <c r="G23" s="328" t="s">
        <v>116</v>
      </c>
      <c r="H23" s="159" t="s">
        <v>362</v>
      </c>
      <c r="I23" s="159" t="s">
        <v>363</v>
      </c>
      <c r="J23" s="159" t="s">
        <v>364</v>
      </c>
      <c r="K23" s="159" t="s">
        <v>365</v>
      </c>
      <c r="L23" s="159" t="s">
        <v>366</v>
      </c>
      <c r="M23" t="str">
        <f>IFERROR(__xludf.DUMMYFUNCTION("JOIN("" + "",H23:L23)"),"NOV_JUV + DEC_JUV + JAN_JUV + FEB_JUV + MAR_JUV")</f>
        <v>NOV_JUV + DEC_JUV + JAN_JUV + FEB_JUV + MAR_JUV</v>
      </c>
    </row>
    <row r="24" ht="19.5" customHeight="1">
      <c r="A24" s="322" t="s">
        <v>23</v>
      </c>
      <c r="B24" s="322" t="s">
        <v>23</v>
      </c>
      <c r="C24" s="324" t="s">
        <v>142</v>
      </c>
      <c r="D24" s="324" t="s">
        <v>142</v>
      </c>
      <c r="E24" s="324" t="s">
        <v>86</v>
      </c>
      <c r="F24" s="324" t="s">
        <v>86</v>
      </c>
      <c r="G24" s="328" t="s">
        <v>117</v>
      </c>
      <c r="H24" s="159" t="s">
        <v>367</v>
      </c>
      <c r="I24" s="159" t="s">
        <v>368</v>
      </c>
      <c r="J24" s="159" t="s">
        <v>369</v>
      </c>
      <c r="K24" s="159" t="s">
        <v>370</v>
      </c>
      <c r="L24" s="159" t="s">
        <v>371</v>
      </c>
      <c r="M24" t="str">
        <f>IFERROR(__xludf.DUMMYFUNCTION("JOIN("" + "",H24:L24)"),"NOV_M_ROADKILL + DEC_M_ROADKILL + JAN_M_ROADKILL + FEB_M_ROADKILL + MAR_M_ROADKILL")</f>
        <v>NOV_M_ROADKILL + DEC_M_ROADKILL + JAN_M_ROADKILL + FEB_M_ROADKILL + MAR_M_ROADKILL</v>
      </c>
    </row>
    <row r="25" ht="19.5" customHeight="1">
      <c r="A25" s="322" t="s">
        <v>24</v>
      </c>
      <c r="B25" s="322" t="s">
        <v>24</v>
      </c>
      <c r="C25" s="322" t="s">
        <v>87</v>
      </c>
      <c r="D25" s="324" t="s">
        <v>87</v>
      </c>
      <c r="E25" s="324" t="s">
        <v>87</v>
      </c>
      <c r="F25" s="324" t="s">
        <v>87</v>
      </c>
      <c r="G25" s="328" t="s">
        <v>118</v>
      </c>
      <c r="H25" s="159" t="s">
        <v>372</v>
      </c>
      <c r="I25" s="159" t="s">
        <v>373</v>
      </c>
      <c r="J25" s="159" t="s">
        <v>374</v>
      </c>
      <c r="K25" s="159" t="s">
        <v>375</v>
      </c>
      <c r="L25" s="159" t="s">
        <v>376</v>
      </c>
      <c r="M25" t="str">
        <f>IFERROR(__xludf.DUMMYFUNCTION("JOIN("" + "",H25:L25)"),"NOV_F_ROADKILL + DEC_F_ROADKILL + JAN_F_ROADKILL + FEB_F_ROADKILL + MAR_F_ROADKILL")</f>
        <v>NOV_F_ROADKILL + DEC_F_ROADKILL + JAN_F_ROADKILL + FEB_F_ROADKILL + MAR_F_ROADKILL</v>
      </c>
    </row>
    <row r="26" ht="19.5" customHeight="1">
      <c r="A26" s="322" t="s">
        <v>25</v>
      </c>
      <c r="B26" s="322" t="s">
        <v>25</v>
      </c>
      <c r="C26" s="322" t="s">
        <v>143</v>
      </c>
      <c r="D26" s="324" t="s">
        <v>175</v>
      </c>
      <c r="E26" s="322" t="s">
        <v>88</v>
      </c>
      <c r="F26" s="322" t="s">
        <v>88</v>
      </c>
      <c r="G26" s="328" t="s">
        <v>25</v>
      </c>
      <c r="H26" s="159" t="s">
        <v>377</v>
      </c>
      <c r="I26" s="159" t="s">
        <v>378</v>
      </c>
      <c r="J26" s="159" t="s">
        <v>379</v>
      </c>
      <c r="K26" s="159" t="s">
        <v>380</v>
      </c>
      <c r="L26" s="159" t="s">
        <v>381</v>
      </c>
      <c r="M26" t="str">
        <f>IFERROR(__xludf.DUMMYFUNCTION("JOIN("" + "",H26:L26)"),"NOV_UNK_ROADKILL + DEC_UNK_ROADKILL + JAN_UNK_ROADKILL + FEB_UNK_ROADKILL + MAR_UNK_ROADKILL")</f>
        <v>NOV_UNK_ROADKILL + DEC_UNK_ROADKILL + JAN_UNK_ROADKILL + FEB_UNK_ROADKILL + MAR_UNK_ROADKILL</v>
      </c>
    </row>
    <row r="27" ht="19.5" customHeight="1">
      <c r="A27" s="322" t="s">
        <v>26</v>
      </c>
      <c r="B27" s="322" t="s">
        <v>26</v>
      </c>
      <c r="C27" s="322" t="s">
        <v>89</v>
      </c>
      <c r="D27" s="324" t="s">
        <v>176</v>
      </c>
      <c r="E27" s="322" t="s">
        <v>89</v>
      </c>
      <c r="F27" s="322" t="s">
        <v>89</v>
      </c>
      <c r="G27" s="328" t="s">
        <v>26</v>
      </c>
    </row>
    <row r="28" ht="19.5" customHeight="1">
      <c r="A28" s="322" t="s">
        <v>382</v>
      </c>
      <c r="B28" s="322" t="s">
        <v>382</v>
      </c>
      <c r="C28" s="322" t="s">
        <v>382</v>
      </c>
      <c r="D28" s="322" t="s">
        <v>382</v>
      </c>
      <c r="E28" s="322" t="s">
        <v>382</v>
      </c>
      <c r="F28" s="322" t="s">
        <v>382</v>
      </c>
      <c r="G28" s="328" t="s">
        <v>382</v>
      </c>
    </row>
    <row r="29" ht="19.5" customHeight="1">
      <c r="A29" s="322" t="s">
        <v>30</v>
      </c>
      <c r="B29" s="322" t="s">
        <v>30</v>
      </c>
      <c r="C29" s="322" t="s">
        <v>30</v>
      </c>
      <c r="D29" s="324" t="s">
        <v>30</v>
      </c>
      <c r="E29" s="322" t="s">
        <v>30</v>
      </c>
      <c r="F29" s="322" t="s">
        <v>30</v>
      </c>
      <c r="G29" s="325" t="s">
        <v>30</v>
      </c>
    </row>
    <row r="30" ht="52.5" customHeight="1">
      <c r="A30" s="322"/>
      <c r="B30" s="322"/>
      <c r="C30" s="195"/>
      <c r="D30" s="331"/>
      <c r="E30" s="332"/>
      <c r="F30" s="332"/>
      <c r="G30" s="158"/>
    </row>
    <row r="31" ht="52.5" customHeight="1">
      <c r="A31" s="158"/>
      <c r="B31" s="222"/>
      <c r="C31" s="195"/>
      <c r="D31" s="224"/>
      <c r="E31" s="332"/>
      <c r="F31" s="332"/>
      <c r="G31" s="158"/>
    </row>
    <row r="32" ht="52.5" customHeight="1">
      <c r="A32" s="158"/>
      <c r="B32" s="222"/>
      <c r="C32" s="195"/>
      <c r="D32" s="224"/>
      <c r="E32" s="332"/>
      <c r="F32" s="332"/>
      <c r="G32" s="158"/>
    </row>
    <row r="33" ht="52.5" customHeight="1">
      <c r="A33" s="158"/>
      <c r="B33" s="222"/>
      <c r="C33" s="195"/>
      <c r="D33" s="224"/>
      <c r="E33" s="332"/>
      <c r="F33" s="332"/>
      <c r="G33" s="158"/>
    </row>
    <row r="34" ht="52.5" customHeight="1">
      <c r="A34" s="158"/>
      <c r="B34" s="222"/>
      <c r="C34" s="195"/>
      <c r="D34" s="224"/>
      <c r="E34" s="332"/>
      <c r="F34" s="332"/>
      <c r="G34" s="158"/>
    </row>
    <row r="35" ht="52.5" customHeight="1">
      <c r="A35" s="158"/>
      <c r="B35" s="222"/>
      <c r="C35" s="195"/>
      <c r="D35" s="224"/>
      <c r="E35" s="332"/>
      <c r="F35" s="332"/>
      <c r="G35" s="158"/>
    </row>
    <row r="36" ht="52.5" customHeight="1">
      <c r="A36" s="158"/>
      <c r="B36" s="222"/>
      <c r="C36" s="195"/>
      <c r="D36" s="224"/>
      <c r="E36" s="333"/>
      <c r="F36" s="333"/>
      <c r="G36" s="158"/>
    </row>
    <row r="37" ht="52.5" customHeight="1">
      <c r="A37" s="158"/>
      <c r="B37" s="222"/>
      <c r="C37" s="195"/>
      <c r="D37" s="224"/>
      <c r="E37" s="333"/>
      <c r="F37" s="333"/>
      <c r="G37" s="158"/>
    </row>
    <row r="38" ht="52.5" customHeight="1">
      <c r="A38" s="158"/>
      <c r="B38" s="222"/>
      <c r="C38" s="195"/>
      <c r="D38" s="224"/>
      <c r="E38" s="333"/>
      <c r="F38" s="333"/>
      <c r="G38" s="158"/>
    </row>
    <row r="39" ht="52.5" customHeight="1">
      <c r="A39" s="158"/>
      <c r="B39" s="222"/>
      <c r="C39" s="195"/>
      <c r="D39" s="224"/>
      <c r="E39" s="333"/>
      <c r="F39" s="333"/>
      <c r="G39" s="158"/>
    </row>
    <row r="40" ht="52.5" customHeight="1">
      <c r="A40" s="158"/>
      <c r="B40" s="222"/>
      <c r="C40" s="195"/>
      <c r="D40" s="224"/>
      <c r="E40" s="333"/>
      <c r="F40" s="333"/>
      <c r="G40" s="158"/>
    </row>
    <row r="41" ht="52.5" customHeight="1">
      <c r="A41" s="158"/>
      <c r="B41" s="222"/>
      <c r="C41" s="195"/>
      <c r="D41" s="224"/>
      <c r="E41" s="333"/>
      <c r="F41" s="333"/>
      <c r="G41" s="158"/>
    </row>
    <row r="42" ht="52.5" customHeight="1">
      <c r="A42" s="158"/>
      <c r="B42" s="222"/>
      <c r="C42" s="195"/>
      <c r="D42" s="224"/>
      <c r="E42" s="158"/>
      <c r="F42" s="158"/>
      <c r="G42" s="158"/>
    </row>
    <row r="43" ht="52.5" customHeight="1">
      <c r="A43" s="158"/>
      <c r="B43" s="222"/>
      <c r="C43" s="195"/>
      <c r="D43" s="224"/>
      <c r="E43" s="158"/>
      <c r="F43" s="158"/>
      <c r="G43" s="158"/>
    </row>
    <row r="44" ht="52.5" customHeight="1">
      <c r="A44" s="158"/>
      <c r="B44" s="222"/>
      <c r="C44" s="195"/>
      <c r="D44" s="224"/>
      <c r="E44" s="158"/>
      <c r="F44" s="158"/>
      <c r="G44" s="158"/>
    </row>
    <row r="45" ht="52.5" customHeight="1">
      <c r="A45" s="158"/>
      <c r="B45" s="222"/>
      <c r="C45" s="195"/>
      <c r="D45" s="224"/>
      <c r="E45" s="158"/>
      <c r="F45" s="158"/>
      <c r="G45" s="158"/>
    </row>
    <row r="46" ht="52.5" customHeight="1">
      <c r="A46" s="158"/>
      <c r="B46" s="222"/>
      <c r="C46" s="195"/>
      <c r="D46" s="224"/>
      <c r="E46" s="158"/>
      <c r="F46" s="158"/>
      <c r="G46" s="158"/>
    </row>
    <row r="47" ht="52.5" customHeight="1">
      <c r="A47" s="158"/>
      <c r="B47" s="222"/>
      <c r="C47" s="195"/>
      <c r="D47" s="224"/>
      <c r="E47" s="158"/>
      <c r="F47" s="158"/>
      <c r="G47" s="158"/>
    </row>
    <row r="48" ht="52.5" customHeight="1">
      <c r="A48" s="158"/>
      <c r="B48" s="222"/>
      <c r="C48" s="195"/>
      <c r="D48" s="224"/>
      <c r="E48" s="158"/>
      <c r="F48" s="158"/>
      <c r="G48" s="158"/>
    </row>
    <row r="49" ht="52.5" customHeight="1">
      <c r="A49" s="158"/>
      <c r="B49" s="222"/>
      <c r="C49" s="195"/>
      <c r="D49" s="224"/>
      <c r="E49" s="158"/>
      <c r="F49" s="158"/>
      <c r="G49" s="158"/>
    </row>
    <row r="50" ht="52.5" customHeight="1">
      <c r="A50" s="158"/>
      <c r="B50" s="222"/>
      <c r="C50" s="195"/>
      <c r="D50" s="224"/>
      <c r="E50" s="158"/>
      <c r="F50" s="158"/>
      <c r="G50" s="158"/>
    </row>
    <row r="51" ht="52.5" customHeight="1">
      <c r="A51" s="158"/>
      <c r="B51" s="222"/>
      <c r="C51" s="195"/>
      <c r="D51" s="224"/>
      <c r="E51" s="158"/>
      <c r="F51" s="158"/>
      <c r="G51" s="158"/>
    </row>
    <row r="52" ht="52.5" customHeight="1">
      <c r="A52" s="158"/>
      <c r="B52" s="222"/>
      <c r="C52" s="322" t="s">
        <v>74</v>
      </c>
      <c r="D52" s="224"/>
      <c r="E52" s="158"/>
      <c r="F52" s="158"/>
      <c r="G52" s="158"/>
    </row>
    <row r="53" ht="52.5" customHeight="1">
      <c r="A53" s="158"/>
      <c r="B53" s="222"/>
      <c r="C53" s="322" t="s">
        <v>1</v>
      </c>
      <c r="D53" s="224"/>
      <c r="E53" s="158"/>
      <c r="F53" s="158"/>
      <c r="G53" s="158"/>
    </row>
    <row r="54" ht="52.5" customHeight="1">
      <c r="A54" s="158"/>
      <c r="B54" s="222"/>
      <c r="C54" s="161" t="s">
        <v>2</v>
      </c>
      <c r="D54" s="224"/>
      <c r="E54" s="158"/>
      <c r="F54" s="158"/>
      <c r="G54" s="158"/>
    </row>
    <row r="55" ht="52.5" customHeight="1">
      <c r="A55" s="158"/>
      <c r="B55" s="222"/>
      <c r="C55" s="322" t="s">
        <v>3</v>
      </c>
      <c r="D55" s="224"/>
      <c r="E55" s="158"/>
      <c r="F55" s="158"/>
      <c r="G55" s="158"/>
    </row>
    <row r="56" ht="52.5" customHeight="1">
      <c r="A56" s="158"/>
      <c r="B56" s="222"/>
      <c r="C56" s="322" t="s">
        <v>4</v>
      </c>
      <c r="D56" s="224"/>
      <c r="E56" s="158"/>
      <c r="F56" s="158"/>
      <c r="G56" s="158"/>
    </row>
    <row r="57" ht="52.5" customHeight="1">
      <c r="A57" s="158"/>
      <c r="B57" s="222"/>
      <c r="C57" s="322" t="s">
        <v>319</v>
      </c>
      <c r="D57" s="224"/>
      <c r="E57" s="158"/>
      <c r="F57" s="158"/>
      <c r="G57" s="158"/>
    </row>
    <row r="58" ht="52.5" customHeight="1">
      <c r="A58" s="158"/>
      <c r="B58" s="222"/>
      <c r="C58" s="322" t="s">
        <v>320</v>
      </c>
      <c r="D58" s="224"/>
      <c r="E58" s="158"/>
      <c r="F58" s="158"/>
      <c r="G58" s="158"/>
    </row>
    <row r="59" ht="52.5" customHeight="1">
      <c r="A59" s="158"/>
      <c r="B59" s="222"/>
      <c r="C59" s="322" t="s">
        <v>321</v>
      </c>
      <c r="D59" s="224"/>
      <c r="E59" s="158"/>
      <c r="F59" s="158"/>
      <c r="G59" s="158"/>
    </row>
    <row r="60" ht="52.5" customHeight="1">
      <c r="A60" s="158"/>
      <c r="B60" s="222"/>
      <c r="C60" s="322" t="s">
        <v>9</v>
      </c>
      <c r="D60" s="224"/>
      <c r="E60" s="158"/>
      <c r="F60" s="158"/>
      <c r="G60" s="158"/>
    </row>
    <row r="61" ht="52.5" customHeight="1">
      <c r="A61" s="158"/>
      <c r="B61" s="222"/>
      <c r="C61" s="322" t="s">
        <v>139</v>
      </c>
      <c r="D61" s="224"/>
      <c r="E61" s="158"/>
      <c r="F61" s="158"/>
      <c r="G61" s="158"/>
    </row>
    <row r="62">
      <c r="A62" s="158"/>
      <c r="B62" s="222"/>
      <c r="C62" s="322" t="s">
        <v>11</v>
      </c>
      <c r="D62" s="224"/>
      <c r="E62" s="158"/>
      <c r="G62" s="158"/>
    </row>
    <row r="63">
      <c r="A63" s="158"/>
      <c r="B63" s="222"/>
      <c r="C63" s="322" t="s">
        <v>12</v>
      </c>
      <c r="D63" s="224"/>
      <c r="E63" s="158"/>
      <c r="G63" s="158"/>
    </row>
    <row r="64">
      <c r="A64" s="158"/>
      <c r="B64" s="222"/>
      <c r="C64" s="324" t="s">
        <v>13</v>
      </c>
      <c r="D64" s="323" t="s">
        <v>383</v>
      </c>
      <c r="E64" s="196" t="s">
        <v>74</v>
      </c>
      <c r="G64" s="158"/>
    </row>
    <row r="65">
      <c r="A65" s="158"/>
      <c r="B65" s="222"/>
      <c r="C65" s="324" t="s">
        <v>14</v>
      </c>
      <c r="D65" s="323" t="s">
        <v>1</v>
      </c>
      <c r="E65" s="196" t="s">
        <v>1</v>
      </c>
    </row>
    <row r="66">
      <c r="A66" s="158"/>
      <c r="B66" s="222"/>
      <c r="C66" s="324" t="s">
        <v>78</v>
      </c>
      <c r="D66" s="196" t="s">
        <v>2</v>
      </c>
      <c r="E66" s="196" t="s">
        <v>2</v>
      </c>
    </row>
    <row r="67">
      <c r="A67" s="196" t="s">
        <v>38</v>
      </c>
      <c r="B67" s="196" t="s">
        <v>74</v>
      </c>
      <c r="C67" s="324" t="s">
        <v>79</v>
      </c>
      <c r="D67" s="323" t="s">
        <v>3</v>
      </c>
      <c r="E67" s="196" t="s">
        <v>3</v>
      </c>
    </row>
    <row r="68">
      <c r="A68" s="196" t="s">
        <v>1</v>
      </c>
      <c r="B68" s="196" t="s">
        <v>1</v>
      </c>
      <c r="C68" s="324" t="s">
        <v>114</v>
      </c>
      <c r="D68" s="324" t="s">
        <v>4</v>
      </c>
      <c r="E68" s="322" t="s">
        <v>4</v>
      </c>
    </row>
    <row r="69">
      <c r="A69" s="196" t="s">
        <v>2</v>
      </c>
      <c r="B69" s="196" t="s">
        <v>2</v>
      </c>
      <c r="C69" s="324" t="s">
        <v>115</v>
      </c>
      <c r="D69" s="324" t="s">
        <v>319</v>
      </c>
      <c r="E69" s="322" t="s">
        <v>319</v>
      </c>
    </row>
    <row r="70">
      <c r="A70" s="196" t="s">
        <v>384</v>
      </c>
      <c r="B70" s="196" t="s">
        <v>3</v>
      </c>
      <c r="C70" s="324" t="s">
        <v>385</v>
      </c>
      <c r="D70" s="324" t="s">
        <v>320</v>
      </c>
      <c r="E70" s="322" t="s">
        <v>320</v>
      </c>
    </row>
    <row r="71">
      <c r="A71" s="196" t="s">
        <v>3</v>
      </c>
      <c r="B71" s="322" t="s">
        <v>4</v>
      </c>
      <c r="C71" s="324" t="s">
        <v>386</v>
      </c>
      <c r="D71" s="324" t="s">
        <v>75</v>
      </c>
      <c r="E71" s="322" t="s">
        <v>75</v>
      </c>
    </row>
    <row r="72">
      <c r="A72" s="322" t="s">
        <v>4</v>
      </c>
      <c r="B72" s="334" t="s">
        <v>319</v>
      </c>
      <c r="C72" s="324" t="s">
        <v>141</v>
      </c>
      <c r="D72" s="324" t="s">
        <v>9</v>
      </c>
      <c r="E72" s="322" t="s">
        <v>9</v>
      </c>
    </row>
    <row r="73">
      <c r="A73" s="334" t="s">
        <v>319</v>
      </c>
      <c r="B73" s="334" t="s">
        <v>320</v>
      </c>
      <c r="C73" s="324" t="s">
        <v>85</v>
      </c>
      <c r="D73" s="324" t="s">
        <v>10</v>
      </c>
      <c r="E73" s="322" t="s">
        <v>76</v>
      </c>
    </row>
    <row r="74">
      <c r="A74" s="334" t="s">
        <v>320</v>
      </c>
      <c r="B74" s="196" t="s">
        <v>321</v>
      </c>
      <c r="C74" s="324" t="s">
        <v>142</v>
      </c>
      <c r="D74" s="324" t="s">
        <v>11</v>
      </c>
      <c r="E74" s="322" t="s">
        <v>77</v>
      </c>
    </row>
    <row r="75">
      <c r="A75" s="196" t="s">
        <v>321</v>
      </c>
      <c r="B75" s="322" t="s">
        <v>9</v>
      </c>
      <c r="C75" s="322" t="s">
        <v>87</v>
      </c>
      <c r="D75" s="323" t="s">
        <v>12</v>
      </c>
      <c r="E75" s="196" t="s">
        <v>12</v>
      </c>
    </row>
    <row r="76">
      <c r="A76" s="322" t="s">
        <v>9</v>
      </c>
      <c r="B76" s="322" t="s">
        <v>10</v>
      </c>
      <c r="C76" s="322" t="s">
        <v>387</v>
      </c>
      <c r="D76" s="324" t="s">
        <v>13</v>
      </c>
      <c r="E76" s="324" t="s">
        <v>13</v>
      </c>
    </row>
    <row r="77">
      <c r="A77" s="322" t="s">
        <v>10</v>
      </c>
      <c r="B77" s="322" t="s">
        <v>11</v>
      </c>
      <c r="C77" s="322" t="s">
        <v>388</v>
      </c>
      <c r="D77" s="324" t="s">
        <v>14</v>
      </c>
      <c r="E77" s="324" t="s">
        <v>14</v>
      </c>
    </row>
    <row r="78">
      <c r="A78" s="322" t="s">
        <v>11</v>
      </c>
      <c r="B78" s="196" t="s">
        <v>12</v>
      </c>
      <c r="C78" s="322" t="s">
        <v>389</v>
      </c>
      <c r="D78" s="324" t="s">
        <v>78</v>
      </c>
      <c r="E78" s="324" t="s">
        <v>78</v>
      </c>
    </row>
    <row r="79">
      <c r="A79" s="196" t="s">
        <v>12</v>
      </c>
      <c r="B79" s="322" t="s">
        <v>13</v>
      </c>
      <c r="C79" s="322" t="s">
        <v>30</v>
      </c>
      <c r="D79" s="324" t="s">
        <v>79</v>
      </c>
      <c r="E79" s="324" t="s">
        <v>79</v>
      </c>
    </row>
    <row r="80">
      <c r="A80" s="322" t="s">
        <v>13</v>
      </c>
      <c r="B80" s="322" t="s">
        <v>14</v>
      </c>
      <c r="C80" s="195"/>
      <c r="D80" s="324" t="s">
        <v>114</v>
      </c>
      <c r="E80" s="324" t="s">
        <v>114</v>
      </c>
    </row>
    <row r="81">
      <c r="A81" s="322" t="s">
        <v>14</v>
      </c>
      <c r="B81" s="322" t="s">
        <v>15</v>
      </c>
      <c r="C81" s="195"/>
      <c r="D81" s="324" t="s">
        <v>115</v>
      </c>
      <c r="E81" s="324" t="s">
        <v>115</v>
      </c>
    </row>
    <row r="82">
      <c r="A82" s="322" t="s">
        <v>15</v>
      </c>
      <c r="B82" s="322" t="s">
        <v>16</v>
      </c>
      <c r="C82" s="195"/>
      <c r="D82" s="324" t="s">
        <v>385</v>
      </c>
      <c r="E82" s="324" t="s">
        <v>385</v>
      </c>
    </row>
    <row r="83">
      <c r="A83" s="322" t="s">
        <v>16</v>
      </c>
      <c r="B83" s="322" t="s">
        <v>17</v>
      </c>
      <c r="C83" s="195"/>
      <c r="D83" s="324" t="s">
        <v>386</v>
      </c>
      <c r="E83" s="324" t="s">
        <v>386</v>
      </c>
    </row>
    <row r="84">
      <c r="A84" s="322" t="s">
        <v>17</v>
      </c>
      <c r="B84" s="322" t="s">
        <v>18</v>
      </c>
      <c r="C84" s="195"/>
      <c r="D84" s="324" t="s">
        <v>141</v>
      </c>
      <c r="E84" s="324" t="s">
        <v>141</v>
      </c>
    </row>
    <row r="85">
      <c r="A85" s="322" t="s">
        <v>18</v>
      </c>
      <c r="B85" s="322" t="s">
        <v>19</v>
      </c>
      <c r="C85" s="195"/>
      <c r="D85" s="324" t="s">
        <v>85</v>
      </c>
      <c r="E85" s="324" t="s">
        <v>85</v>
      </c>
    </row>
    <row r="86">
      <c r="A86" s="322" t="s">
        <v>19</v>
      </c>
      <c r="B86" s="322" t="s">
        <v>20</v>
      </c>
      <c r="C86" s="195"/>
      <c r="D86" s="324" t="s">
        <v>142</v>
      </c>
      <c r="E86" s="324" t="s">
        <v>86</v>
      </c>
    </row>
    <row r="87">
      <c r="A87" s="322" t="s">
        <v>20</v>
      </c>
      <c r="B87" s="322" t="s">
        <v>21</v>
      </c>
      <c r="C87" s="195"/>
      <c r="D87" s="324" t="s">
        <v>87</v>
      </c>
      <c r="E87" s="324" t="s">
        <v>87</v>
      </c>
    </row>
    <row r="88">
      <c r="A88" s="322" t="s">
        <v>21</v>
      </c>
      <c r="B88" s="322" t="s">
        <v>22</v>
      </c>
      <c r="C88" s="195"/>
      <c r="D88" s="324" t="s">
        <v>25</v>
      </c>
      <c r="E88" s="322" t="s">
        <v>387</v>
      </c>
    </row>
    <row r="89">
      <c r="A89" s="322" t="s">
        <v>22</v>
      </c>
      <c r="B89" s="322" t="s">
        <v>23</v>
      </c>
      <c r="C89" s="195"/>
      <c r="D89" s="324" t="s">
        <v>26</v>
      </c>
      <c r="E89" s="322" t="s">
        <v>388</v>
      </c>
    </row>
    <row r="90">
      <c r="A90" s="322" t="s">
        <v>23</v>
      </c>
      <c r="B90" s="322" t="s">
        <v>25</v>
      </c>
      <c r="C90" s="195"/>
      <c r="D90" s="324" t="s">
        <v>382</v>
      </c>
      <c r="E90" s="324" t="s">
        <v>382</v>
      </c>
    </row>
    <row r="91">
      <c r="A91" s="322" t="s">
        <v>25</v>
      </c>
      <c r="B91" s="322" t="s">
        <v>26</v>
      </c>
      <c r="C91" s="195"/>
      <c r="D91" s="323" t="s">
        <v>30</v>
      </c>
      <c r="E91" s="322" t="s">
        <v>30</v>
      </c>
    </row>
    <row r="92">
      <c r="A92" s="322" t="s">
        <v>26</v>
      </c>
      <c r="B92" s="196" t="s">
        <v>30</v>
      </c>
      <c r="C92" s="195"/>
      <c r="D92" s="224"/>
      <c r="E92" s="158"/>
    </row>
    <row r="93">
      <c r="A93" s="196" t="s">
        <v>30</v>
      </c>
      <c r="B93" s="196"/>
      <c r="C93" s="195"/>
      <c r="D93" s="224"/>
      <c r="E93" s="158"/>
    </row>
    <row r="94">
      <c r="A94" s="196" t="s">
        <v>390</v>
      </c>
      <c r="B94" s="222"/>
      <c r="C94" s="195"/>
      <c r="D94" s="224"/>
      <c r="E94" s="158"/>
    </row>
    <row r="95">
      <c r="A95" s="158"/>
      <c r="B95" s="222"/>
      <c r="C95" s="195"/>
      <c r="D95" s="224"/>
      <c r="E95" s="158"/>
    </row>
    <row r="96">
      <c r="A96" s="158"/>
      <c r="B96" s="222"/>
      <c r="C96" s="195"/>
      <c r="D96" s="224"/>
      <c r="E96" s="158"/>
    </row>
    <row r="97">
      <c r="A97" s="158"/>
      <c r="B97" s="222"/>
      <c r="C97" s="195"/>
      <c r="D97" s="224"/>
      <c r="E97" s="158"/>
    </row>
    <row r="98">
      <c r="A98" s="158"/>
      <c r="B98" s="222"/>
      <c r="C98" s="195"/>
      <c r="D98" s="224"/>
      <c r="E98" s="158"/>
    </row>
    <row r="99">
      <c r="A99" s="158"/>
      <c r="B99" s="222"/>
      <c r="C99" s="195"/>
      <c r="D99" s="224"/>
      <c r="E99" s="158"/>
    </row>
    <row r="100">
      <c r="A100" s="158"/>
      <c r="B100" s="222"/>
      <c r="C100" s="322" t="s">
        <v>74</v>
      </c>
      <c r="D100" s="224"/>
      <c r="E100" s="158"/>
    </row>
    <row r="101">
      <c r="A101" s="158"/>
      <c r="B101" s="222"/>
      <c r="C101" s="322" t="s">
        <v>1</v>
      </c>
      <c r="D101" s="224"/>
      <c r="E101" s="158"/>
    </row>
    <row r="102">
      <c r="A102" s="158"/>
      <c r="B102" s="222"/>
      <c r="C102" s="161" t="s">
        <v>2</v>
      </c>
      <c r="D102" s="224"/>
      <c r="E102" s="158"/>
    </row>
    <row r="103">
      <c r="A103" s="158"/>
      <c r="B103" s="222"/>
      <c r="C103" s="322" t="s">
        <v>3</v>
      </c>
      <c r="D103" s="224"/>
      <c r="E103" s="158"/>
    </row>
    <row r="104">
      <c r="A104" s="158"/>
      <c r="B104" s="222"/>
      <c r="C104" s="322" t="s">
        <v>4</v>
      </c>
      <c r="D104" s="224"/>
      <c r="E104" s="158"/>
    </row>
    <row r="105">
      <c r="A105" s="158"/>
      <c r="B105" s="222"/>
      <c r="C105" s="322" t="s">
        <v>319</v>
      </c>
      <c r="D105" s="224"/>
      <c r="E105" s="158"/>
    </row>
    <row r="106">
      <c r="A106" s="158"/>
      <c r="B106" s="222"/>
      <c r="C106" s="322" t="s">
        <v>320</v>
      </c>
      <c r="D106" s="224"/>
      <c r="E106" s="158"/>
    </row>
    <row r="107">
      <c r="A107" s="158"/>
      <c r="B107" s="222"/>
      <c r="C107" s="322" t="s">
        <v>321</v>
      </c>
      <c r="D107" s="224"/>
      <c r="E107" s="158"/>
    </row>
    <row r="108">
      <c r="A108" s="158"/>
      <c r="B108" s="222"/>
      <c r="C108" s="322" t="s">
        <v>9</v>
      </c>
      <c r="D108" s="224"/>
      <c r="E108" s="158"/>
    </row>
    <row r="109">
      <c r="A109" s="158"/>
      <c r="B109" s="222"/>
      <c r="C109" s="322" t="s">
        <v>139</v>
      </c>
      <c r="D109" s="224"/>
      <c r="E109" s="158"/>
    </row>
    <row r="110">
      <c r="A110" s="158"/>
      <c r="B110" s="222"/>
      <c r="C110" s="322" t="s">
        <v>11</v>
      </c>
      <c r="D110" s="224"/>
      <c r="E110" s="158"/>
    </row>
    <row r="111">
      <c r="A111" s="158"/>
      <c r="B111" s="222"/>
      <c r="C111" s="322" t="s">
        <v>12</v>
      </c>
      <c r="D111" s="224"/>
      <c r="E111" s="158"/>
    </row>
    <row r="112">
      <c r="A112" s="158"/>
      <c r="B112" s="222"/>
      <c r="C112" s="324" t="s">
        <v>13</v>
      </c>
      <c r="D112" s="224"/>
      <c r="E112" s="158"/>
    </row>
    <row r="113">
      <c r="A113" s="158"/>
      <c r="B113" s="222"/>
      <c r="C113" s="324" t="s">
        <v>14</v>
      </c>
      <c r="D113" s="224"/>
      <c r="E113" s="158"/>
    </row>
    <row r="114">
      <c r="A114" s="158"/>
      <c r="B114" s="222"/>
      <c r="C114" s="324" t="s">
        <v>78</v>
      </c>
      <c r="D114" s="224"/>
      <c r="E114" s="158"/>
    </row>
    <row r="115">
      <c r="A115" s="158"/>
      <c r="B115" s="222"/>
      <c r="C115" s="324" t="s">
        <v>79</v>
      </c>
      <c r="D115" s="224"/>
      <c r="E115" s="158"/>
    </row>
    <row r="116">
      <c r="A116" s="158"/>
      <c r="B116" s="222"/>
      <c r="C116" s="324" t="s">
        <v>114</v>
      </c>
      <c r="D116" s="224"/>
      <c r="E116" s="158"/>
    </row>
    <row r="117">
      <c r="A117" s="158"/>
      <c r="B117" s="222"/>
      <c r="C117" s="324" t="s">
        <v>115</v>
      </c>
      <c r="D117" s="224"/>
      <c r="E117" s="158"/>
    </row>
    <row r="118">
      <c r="A118" s="158"/>
      <c r="B118" s="222"/>
      <c r="C118" s="324" t="s">
        <v>385</v>
      </c>
      <c r="D118" s="224"/>
      <c r="E118" s="158"/>
    </row>
    <row r="119">
      <c r="A119" s="158"/>
      <c r="B119" s="222"/>
      <c r="C119" s="324" t="s">
        <v>386</v>
      </c>
      <c r="D119" s="224"/>
      <c r="E119" s="158"/>
    </row>
    <row r="120">
      <c r="A120" s="158"/>
      <c r="B120" s="222"/>
      <c r="C120" s="324" t="s">
        <v>141</v>
      </c>
      <c r="D120" s="224"/>
      <c r="E120" s="158"/>
    </row>
    <row r="121">
      <c r="A121" s="158"/>
      <c r="B121" s="222"/>
      <c r="C121" s="324" t="s">
        <v>85</v>
      </c>
      <c r="D121" s="224"/>
      <c r="E121" s="158"/>
    </row>
    <row r="122">
      <c r="A122" s="158"/>
      <c r="B122" s="222"/>
      <c r="C122" s="324" t="s">
        <v>142</v>
      </c>
      <c r="D122" s="224"/>
      <c r="E122" s="158"/>
    </row>
    <row r="123">
      <c r="A123" s="158"/>
      <c r="B123" s="222"/>
      <c r="C123" s="322" t="s">
        <v>87</v>
      </c>
      <c r="D123" s="224"/>
      <c r="E123" s="158"/>
    </row>
    <row r="124">
      <c r="A124" s="158"/>
      <c r="B124" s="222"/>
      <c r="C124" s="322" t="s">
        <v>387</v>
      </c>
      <c r="D124" s="323" t="s">
        <v>383</v>
      </c>
      <c r="E124" s="196" t="s">
        <v>74</v>
      </c>
    </row>
    <row r="125">
      <c r="A125" s="158"/>
      <c r="B125" s="222"/>
      <c r="C125" s="322" t="s">
        <v>388</v>
      </c>
      <c r="D125" s="323" t="s">
        <v>1</v>
      </c>
      <c r="E125" s="196" t="s">
        <v>1</v>
      </c>
    </row>
    <row r="126">
      <c r="A126" s="158"/>
      <c r="B126" s="222"/>
      <c r="C126" s="322" t="s">
        <v>389</v>
      </c>
      <c r="D126" s="196" t="s">
        <v>2</v>
      </c>
      <c r="E126" s="196" t="s">
        <v>2</v>
      </c>
    </row>
    <row r="127">
      <c r="A127" s="158"/>
      <c r="B127" s="222"/>
      <c r="C127" s="322" t="s">
        <v>30</v>
      </c>
      <c r="D127" s="323" t="s">
        <v>3</v>
      </c>
      <c r="E127" s="196" t="s">
        <v>3</v>
      </c>
    </row>
    <row r="128">
      <c r="A128" s="158"/>
      <c r="B128" s="222"/>
      <c r="C128" s="195"/>
      <c r="D128" s="324" t="s">
        <v>4</v>
      </c>
      <c r="E128" s="322" t="s">
        <v>4</v>
      </c>
    </row>
    <row r="129">
      <c r="A129" s="158"/>
      <c r="B129" s="196" t="s">
        <v>74</v>
      </c>
      <c r="C129" s="195"/>
      <c r="D129" s="324" t="s">
        <v>319</v>
      </c>
      <c r="E129" s="322" t="s">
        <v>319</v>
      </c>
    </row>
    <row r="130">
      <c r="A130" s="196" t="s">
        <v>38</v>
      </c>
      <c r="B130" s="196" t="s">
        <v>1</v>
      </c>
      <c r="C130" s="195"/>
      <c r="D130" s="324" t="s">
        <v>320</v>
      </c>
      <c r="E130" s="322" t="s">
        <v>320</v>
      </c>
    </row>
    <row r="131">
      <c r="A131" s="196" t="s">
        <v>1</v>
      </c>
      <c r="B131" s="196" t="s">
        <v>2</v>
      </c>
      <c r="C131" s="195"/>
      <c r="D131" s="324" t="s">
        <v>75</v>
      </c>
      <c r="E131" s="322" t="s">
        <v>75</v>
      </c>
    </row>
    <row r="132">
      <c r="A132" s="196" t="s">
        <v>2</v>
      </c>
      <c r="B132" s="196" t="s">
        <v>3</v>
      </c>
      <c r="C132" s="195"/>
      <c r="D132" s="324" t="s">
        <v>9</v>
      </c>
      <c r="E132" s="322" t="s">
        <v>9</v>
      </c>
    </row>
    <row r="133">
      <c r="A133" s="196" t="s">
        <v>384</v>
      </c>
      <c r="B133" s="322" t="s">
        <v>4</v>
      </c>
      <c r="C133" s="195"/>
      <c r="D133" s="324" t="s">
        <v>10</v>
      </c>
      <c r="E133" s="322" t="s">
        <v>76</v>
      </c>
    </row>
    <row r="134">
      <c r="A134" s="196" t="s">
        <v>3</v>
      </c>
      <c r="B134" s="334" t="s">
        <v>319</v>
      </c>
      <c r="C134" s="195"/>
      <c r="D134" s="324" t="s">
        <v>11</v>
      </c>
      <c r="E134" s="322" t="s">
        <v>77</v>
      </c>
    </row>
    <row r="135">
      <c r="A135" s="322" t="s">
        <v>4</v>
      </c>
      <c r="B135" s="334" t="s">
        <v>320</v>
      </c>
      <c r="C135" s="195"/>
      <c r="D135" s="323" t="s">
        <v>12</v>
      </c>
      <c r="E135" s="196" t="s">
        <v>12</v>
      </c>
    </row>
    <row r="136">
      <c r="A136" s="334" t="s">
        <v>319</v>
      </c>
      <c r="B136" s="196" t="s">
        <v>321</v>
      </c>
      <c r="C136" s="195"/>
      <c r="D136" s="324" t="s">
        <v>13</v>
      </c>
      <c r="E136" s="324" t="s">
        <v>13</v>
      </c>
    </row>
    <row r="137">
      <c r="A137" s="334" t="s">
        <v>320</v>
      </c>
      <c r="B137" s="322" t="s">
        <v>9</v>
      </c>
      <c r="C137" s="195"/>
      <c r="D137" s="324" t="s">
        <v>14</v>
      </c>
      <c r="E137" s="324" t="s">
        <v>14</v>
      </c>
    </row>
    <row r="138">
      <c r="A138" s="196" t="s">
        <v>321</v>
      </c>
      <c r="B138" s="322" t="s">
        <v>10</v>
      </c>
      <c r="C138" s="195"/>
      <c r="D138" s="324" t="s">
        <v>78</v>
      </c>
      <c r="E138" s="324" t="s">
        <v>78</v>
      </c>
    </row>
    <row r="139">
      <c r="A139" s="322" t="s">
        <v>9</v>
      </c>
      <c r="B139" s="322" t="s">
        <v>11</v>
      </c>
      <c r="C139" s="195"/>
      <c r="D139" s="324" t="s">
        <v>79</v>
      </c>
      <c r="E139" s="324" t="s">
        <v>79</v>
      </c>
    </row>
    <row r="140">
      <c r="A140" s="322" t="s">
        <v>10</v>
      </c>
      <c r="B140" s="196" t="s">
        <v>12</v>
      </c>
      <c r="C140" s="195"/>
      <c r="D140" s="324" t="s">
        <v>114</v>
      </c>
      <c r="E140" s="324" t="s">
        <v>114</v>
      </c>
    </row>
    <row r="141">
      <c r="A141" s="322" t="s">
        <v>11</v>
      </c>
      <c r="B141" s="322" t="s">
        <v>13</v>
      </c>
      <c r="C141" s="195"/>
      <c r="D141" s="324" t="s">
        <v>115</v>
      </c>
      <c r="E141" s="324" t="s">
        <v>115</v>
      </c>
    </row>
    <row r="142">
      <c r="A142" s="196" t="s">
        <v>12</v>
      </c>
      <c r="B142" s="322" t="s">
        <v>14</v>
      </c>
      <c r="C142" s="195"/>
      <c r="D142" s="324" t="s">
        <v>385</v>
      </c>
      <c r="E142" s="324" t="s">
        <v>385</v>
      </c>
    </row>
    <row r="143">
      <c r="A143" s="322" t="s">
        <v>13</v>
      </c>
      <c r="B143" s="322" t="s">
        <v>15</v>
      </c>
      <c r="C143" s="195"/>
      <c r="D143" s="324" t="s">
        <v>386</v>
      </c>
      <c r="E143" s="324" t="s">
        <v>386</v>
      </c>
    </row>
    <row r="144">
      <c r="A144" s="322" t="s">
        <v>14</v>
      </c>
      <c r="B144" s="322" t="s">
        <v>16</v>
      </c>
      <c r="C144" s="195"/>
      <c r="D144" s="324" t="s">
        <v>141</v>
      </c>
      <c r="E144" s="324" t="s">
        <v>141</v>
      </c>
    </row>
    <row r="145">
      <c r="A145" s="322" t="s">
        <v>15</v>
      </c>
      <c r="B145" s="322" t="s">
        <v>17</v>
      </c>
      <c r="C145" s="195"/>
      <c r="D145" s="324" t="s">
        <v>85</v>
      </c>
      <c r="E145" s="324" t="s">
        <v>85</v>
      </c>
    </row>
    <row r="146">
      <c r="A146" s="322" t="s">
        <v>16</v>
      </c>
      <c r="B146" s="322" t="s">
        <v>18</v>
      </c>
      <c r="C146" s="195"/>
      <c r="D146" s="324" t="s">
        <v>142</v>
      </c>
      <c r="E146" s="324" t="s">
        <v>86</v>
      </c>
    </row>
    <row r="147">
      <c r="A147" s="322" t="s">
        <v>17</v>
      </c>
      <c r="B147" s="322" t="s">
        <v>19</v>
      </c>
      <c r="C147" s="195"/>
      <c r="D147" s="324" t="s">
        <v>87</v>
      </c>
      <c r="E147" s="324" t="s">
        <v>87</v>
      </c>
    </row>
    <row r="148">
      <c r="A148" s="322" t="s">
        <v>18</v>
      </c>
      <c r="B148" s="322" t="s">
        <v>20</v>
      </c>
      <c r="C148" s="322" t="s">
        <v>74</v>
      </c>
      <c r="D148" s="324" t="s">
        <v>25</v>
      </c>
      <c r="E148" s="322" t="s">
        <v>387</v>
      </c>
    </row>
    <row r="149">
      <c r="A149" s="322" t="s">
        <v>19</v>
      </c>
      <c r="B149" s="322" t="s">
        <v>21</v>
      </c>
      <c r="C149" s="322" t="s">
        <v>1</v>
      </c>
      <c r="D149" s="324" t="s">
        <v>26</v>
      </c>
      <c r="E149" s="322" t="s">
        <v>388</v>
      </c>
    </row>
    <row r="150">
      <c r="A150" s="322" t="s">
        <v>20</v>
      </c>
      <c r="B150" s="322" t="s">
        <v>22</v>
      </c>
      <c r="C150" s="161" t="s">
        <v>2</v>
      </c>
      <c r="D150" s="324" t="s">
        <v>382</v>
      </c>
      <c r="E150" s="324" t="s">
        <v>382</v>
      </c>
    </row>
    <row r="151">
      <c r="A151" s="322" t="s">
        <v>21</v>
      </c>
      <c r="B151" s="322" t="s">
        <v>23</v>
      </c>
      <c r="C151" s="322" t="s">
        <v>3</v>
      </c>
      <c r="D151" s="323" t="s">
        <v>30</v>
      </c>
      <c r="E151" s="322" t="s">
        <v>30</v>
      </c>
    </row>
    <row r="152">
      <c r="A152" s="322" t="s">
        <v>22</v>
      </c>
      <c r="B152" s="322" t="s">
        <v>25</v>
      </c>
      <c r="C152" s="322" t="s">
        <v>4</v>
      </c>
      <c r="D152" s="224"/>
      <c r="E152" s="158"/>
    </row>
    <row r="153">
      <c r="A153" s="322" t="s">
        <v>23</v>
      </c>
      <c r="B153" s="322" t="s">
        <v>26</v>
      </c>
      <c r="C153" s="322" t="s">
        <v>319</v>
      </c>
      <c r="D153" s="224"/>
      <c r="E153" s="158"/>
    </row>
    <row r="154">
      <c r="A154" s="322" t="s">
        <v>25</v>
      </c>
      <c r="B154" s="196" t="s">
        <v>30</v>
      </c>
      <c r="C154" s="322" t="s">
        <v>320</v>
      </c>
      <c r="D154" s="224"/>
      <c r="E154" s="158"/>
    </row>
    <row r="155">
      <c r="A155" s="322" t="s">
        <v>26</v>
      </c>
      <c r="B155" s="196"/>
      <c r="C155" s="322" t="s">
        <v>321</v>
      </c>
      <c r="D155" s="224"/>
      <c r="E155" s="158"/>
    </row>
    <row r="156">
      <c r="A156" s="196" t="s">
        <v>30</v>
      </c>
      <c r="B156" s="222"/>
      <c r="C156" s="322" t="s">
        <v>9</v>
      </c>
      <c r="D156" s="224"/>
      <c r="E156" s="158"/>
    </row>
    <row r="157">
      <c r="A157" s="196" t="s">
        <v>390</v>
      </c>
      <c r="B157" s="222"/>
      <c r="C157" s="322" t="s">
        <v>139</v>
      </c>
      <c r="D157" s="224"/>
      <c r="E157" s="158"/>
    </row>
    <row r="158">
      <c r="A158" s="158"/>
      <c r="B158" s="222"/>
      <c r="C158" s="322" t="s">
        <v>11</v>
      </c>
      <c r="D158" s="224"/>
      <c r="E158" s="158"/>
    </row>
    <row r="159">
      <c r="A159" s="158"/>
      <c r="B159" s="222"/>
      <c r="C159" s="322" t="s">
        <v>12</v>
      </c>
      <c r="D159" s="224"/>
      <c r="E159" s="158"/>
    </row>
    <row r="160">
      <c r="A160" s="158"/>
      <c r="B160" s="222"/>
      <c r="C160" s="324" t="s">
        <v>13</v>
      </c>
      <c r="D160" s="224"/>
      <c r="E160" s="158"/>
    </row>
    <row r="161">
      <c r="A161" s="158"/>
      <c r="B161" s="222"/>
      <c r="C161" s="324" t="s">
        <v>14</v>
      </c>
      <c r="D161" s="224"/>
      <c r="E161" s="158"/>
    </row>
    <row r="162">
      <c r="A162" s="158"/>
      <c r="B162" s="222"/>
      <c r="C162" s="324" t="s">
        <v>78</v>
      </c>
      <c r="D162" s="224"/>
      <c r="E162" s="158"/>
    </row>
    <row r="163">
      <c r="A163" s="158"/>
      <c r="B163" s="222"/>
      <c r="C163" s="324" t="s">
        <v>79</v>
      </c>
      <c r="D163" s="224"/>
      <c r="E163" s="158"/>
    </row>
    <row r="164">
      <c r="A164" s="158"/>
      <c r="B164" s="222"/>
      <c r="C164" s="324" t="s">
        <v>114</v>
      </c>
      <c r="D164" s="224"/>
      <c r="E164" s="158"/>
    </row>
    <row r="165">
      <c r="A165" s="158"/>
      <c r="B165" s="222"/>
      <c r="C165" s="324" t="s">
        <v>115</v>
      </c>
      <c r="D165" s="224"/>
      <c r="E165" s="158"/>
    </row>
    <row r="166">
      <c r="A166" s="158"/>
      <c r="B166" s="222"/>
      <c r="C166" s="324" t="s">
        <v>385</v>
      </c>
      <c r="D166" s="224"/>
      <c r="E166" s="158"/>
    </row>
    <row r="167">
      <c r="A167" s="158"/>
      <c r="B167" s="222"/>
      <c r="C167" s="324" t="s">
        <v>386</v>
      </c>
      <c r="D167" s="224"/>
      <c r="E167" s="158"/>
    </row>
    <row r="168">
      <c r="A168" s="158"/>
      <c r="B168" s="222"/>
      <c r="C168" s="324" t="s">
        <v>141</v>
      </c>
      <c r="D168" s="224"/>
      <c r="E168" s="158"/>
    </row>
    <row r="169">
      <c r="A169" s="158"/>
      <c r="B169" s="222"/>
      <c r="C169" s="324" t="s">
        <v>85</v>
      </c>
      <c r="D169" s="224"/>
      <c r="E169" s="158"/>
    </row>
    <row r="170">
      <c r="A170" s="158"/>
      <c r="B170" s="222"/>
      <c r="C170" s="324" t="s">
        <v>142</v>
      </c>
      <c r="D170" s="224"/>
      <c r="E170" s="158"/>
    </row>
    <row r="171">
      <c r="A171" s="158"/>
      <c r="B171" s="222"/>
      <c r="C171" s="322" t="s">
        <v>87</v>
      </c>
      <c r="D171" s="224"/>
      <c r="E171" s="158"/>
    </row>
    <row r="172">
      <c r="A172" s="158"/>
      <c r="B172" s="222"/>
      <c r="C172" s="322" t="s">
        <v>387</v>
      </c>
      <c r="D172" s="224"/>
      <c r="E172" s="158"/>
    </row>
    <row r="173">
      <c r="A173" s="158"/>
      <c r="B173" s="222"/>
      <c r="C173" s="322" t="s">
        <v>388</v>
      </c>
      <c r="D173" s="224"/>
      <c r="E173" s="158"/>
    </row>
    <row r="174">
      <c r="A174" s="158"/>
      <c r="B174" s="222"/>
      <c r="C174" s="322" t="s">
        <v>389</v>
      </c>
      <c r="D174" s="224"/>
      <c r="E174" s="158"/>
    </row>
    <row r="175">
      <c r="A175" s="158"/>
      <c r="B175" s="222"/>
      <c r="C175" s="322" t="s">
        <v>30</v>
      </c>
      <c r="D175" s="224"/>
      <c r="E175" s="158"/>
    </row>
    <row r="176">
      <c r="A176" s="158"/>
      <c r="B176" s="222"/>
      <c r="C176" s="195"/>
      <c r="D176" s="224"/>
      <c r="E176" s="158"/>
    </row>
    <row r="177">
      <c r="A177" s="158"/>
      <c r="B177" s="222"/>
      <c r="C177" s="195"/>
      <c r="D177" s="224"/>
      <c r="E177" s="158"/>
    </row>
    <row r="178">
      <c r="A178" s="158"/>
      <c r="B178" s="222"/>
      <c r="C178" s="195"/>
      <c r="D178" s="224"/>
      <c r="E178" s="158"/>
    </row>
    <row r="179">
      <c r="A179" s="158"/>
      <c r="B179" s="222"/>
      <c r="C179" s="195"/>
      <c r="D179" s="224"/>
      <c r="E179" s="158"/>
    </row>
    <row r="180">
      <c r="A180" s="158"/>
      <c r="B180" s="222"/>
      <c r="C180" s="195"/>
      <c r="D180" s="224"/>
      <c r="E180" s="158"/>
    </row>
    <row r="181">
      <c r="A181" s="158"/>
      <c r="B181" s="222"/>
      <c r="C181" s="195"/>
      <c r="D181" s="224"/>
      <c r="E181" s="158"/>
    </row>
    <row r="182">
      <c r="A182" s="158"/>
      <c r="B182" s="222"/>
      <c r="C182" s="195"/>
      <c r="D182" s="224"/>
      <c r="E182" s="158"/>
    </row>
    <row r="183">
      <c r="A183" s="158"/>
      <c r="B183" s="222"/>
      <c r="C183" s="195"/>
      <c r="D183" s="224"/>
      <c r="E183" s="158"/>
    </row>
    <row r="184">
      <c r="A184" s="158"/>
      <c r="B184" s="222"/>
      <c r="C184" s="195"/>
      <c r="D184" s="323" t="s">
        <v>383</v>
      </c>
      <c r="E184" s="196" t="s">
        <v>74</v>
      </c>
    </row>
    <row r="185">
      <c r="A185" s="158"/>
      <c r="B185" s="222"/>
      <c r="C185" s="195"/>
      <c r="D185" s="323" t="s">
        <v>1</v>
      </c>
      <c r="E185" s="196" t="s">
        <v>1</v>
      </c>
    </row>
    <row r="186">
      <c r="A186" s="158"/>
      <c r="B186" s="222"/>
      <c r="C186" s="195"/>
      <c r="D186" s="196" t="s">
        <v>2</v>
      </c>
      <c r="E186" s="196" t="s">
        <v>2</v>
      </c>
    </row>
    <row r="187">
      <c r="A187" s="158"/>
      <c r="B187" s="222"/>
      <c r="C187" s="195"/>
      <c r="D187" s="323" t="s">
        <v>3</v>
      </c>
      <c r="E187" s="196" t="s">
        <v>3</v>
      </c>
    </row>
    <row r="188">
      <c r="A188" s="158"/>
      <c r="B188" s="222"/>
      <c r="C188" s="195"/>
      <c r="D188" s="324" t="s">
        <v>4</v>
      </c>
      <c r="E188" s="322" t="s">
        <v>4</v>
      </c>
    </row>
    <row r="189">
      <c r="A189" s="158"/>
      <c r="B189" s="222"/>
      <c r="C189" s="195"/>
      <c r="D189" s="324" t="s">
        <v>319</v>
      </c>
      <c r="E189" s="322" t="s">
        <v>319</v>
      </c>
    </row>
    <row r="190">
      <c r="A190" s="158"/>
      <c r="B190" s="222"/>
      <c r="C190" s="195"/>
      <c r="D190" s="324" t="s">
        <v>320</v>
      </c>
      <c r="E190" s="322" t="s">
        <v>320</v>
      </c>
    </row>
    <row r="191">
      <c r="A191" s="158"/>
      <c r="B191" s="196" t="s">
        <v>74</v>
      </c>
      <c r="C191" s="195"/>
      <c r="D191" s="324" t="s">
        <v>75</v>
      </c>
      <c r="E191" s="322" t="s">
        <v>75</v>
      </c>
    </row>
    <row r="192">
      <c r="A192" s="158"/>
      <c r="B192" s="196" t="s">
        <v>1</v>
      </c>
      <c r="C192" s="195"/>
      <c r="D192" s="324" t="s">
        <v>9</v>
      </c>
      <c r="E192" s="322" t="s">
        <v>9</v>
      </c>
    </row>
    <row r="193">
      <c r="A193" s="196" t="s">
        <v>38</v>
      </c>
      <c r="B193" s="196" t="s">
        <v>2</v>
      </c>
      <c r="C193" s="195"/>
      <c r="D193" s="324" t="s">
        <v>10</v>
      </c>
      <c r="E193" s="322" t="s">
        <v>76</v>
      </c>
    </row>
    <row r="194">
      <c r="A194" s="196" t="s">
        <v>1</v>
      </c>
      <c r="B194" s="196" t="s">
        <v>3</v>
      </c>
      <c r="C194" s="195"/>
      <c r="D194" s="324" t="s">
        <v>11</v>
      </c>
      <c r="E194" s="322" t="s">
        <v>77</v>
      </c>
    </row>
    <row r="195">
      <c r="A195" s="196" t="s">
        <v>2</v>
      </c>
      <c r="B195" s="322" t="s">
        <v>4</v>
      </c>
      <c r="C195" s="195"/>
      <c r="D195" s="323" t="s">
        <v>12</v>
      </c>
      <c r="E195" s="196" t="s">
        <v>12</v>
      </c>
    </row>
    <row r="196">
      <c r="A196" s="196" t="s">
        <v>384</v>
      </c>
      <c r="B196" s="334" t="s">
        <v>319</v>
      </c>
      <c r="C196" s="322" t="s">
        <v>74</v>
      </c>
      <c r="D196" s="324" t="s">
        <v>13</v>
      </c>
      <c r="E196" s="324" t="s">
        <v>13</v>
      </c>
    </row>
    <row r="197">
      <c r="A197" s="196" t="s">
        <v>3</v>
      </c>
      <c r="B197" s="334" t="s">
        <v>320</v>
      </c>
      <c r="C197" s="322" t="s">
        <v>1</v>
      </c>
      <c r="D197" s="324" t="s">
        <v>14</v>
      </c>
      <c r="E197" s="324" t="s">
        <v>14</v>
      </c>
    </row>
    <row r="198">
      <c r="A198" s="322" t="s">
        <v>4</v>
      </c>
      <c r="B198" s="196" t="s">
        <v>321</v>
      </c>
      <c r="C198" s="161" t="s">
        <v>2</v>
      </c>
      <c r="D198" s="324" t="s">
        <v>78</v>
      </c>
      <c r="E198" s="324" t="s">
        <v>78</v>
      </c>
    </row>
    <row r="199">
      <c r="A199" s="334" t="s">
        <v>319</v>
      </c>
      <c r="B199" s="322" t="s">
        <v>9</v>
      </c>
      <c r="C199" s="322" t="s">
        <v>3</v>
      </c>
      <c r="D199" s="324" t="s">
        <v>79</v>
      </c>
      <c r="E199" s="324" t="s">
        <v>79</v>
      </c>
    </row>
    <row r="200">
      <c r="A200" s="334" t="s">
        <v>320</v>
      </c>
      <c r="B200" s="322" t="s">
        <v>10</v>
      </c>
      <c r="C200" s="322" t="s">
        <v>4</v>
      </c>
      <c r="D200" s="324" t="s">
        <v>114</v>
      </c>
      <c r="E200" s="324" t="s">
        <v>114</v>
      </c>
    </row>
    <row r="201">
      <c r="A201" s="196" t="s">
        <v>321</v>
      </c>
      <c r="B201" s="322" t="s">
        <v>11</v>
      </c>
      <c r="C201" s="322" t="s">
        <v>319</v>
      </c>
      <c r="D201" s="324" t="s">
        <v>115</v>
      </c>
      <c r="E201" s="324" t="s">
        <v>115</v>
      </c>
    </row>
    <row r="202">
      <c r="A202" s="322" t="s">
        <v>9</v>
      </c>
      <c r="B202" s="196" t="s">
        <v>12</v>
      </c>
      <c r="C202" s="322" t="s">
        <v>320</v>
      </c>
      <c r="D202" s="324" t="s">
        <v>385</v>
      </c>
      <c r="E202" s="324" t="s">
        <v>385</v>
      </c>
    </row>
    <row r="203">
      <c r="A203" s="322" t="s">
        <v>10</v>
      </c>
      <c r="B203" s="322" t="s">
        <v>13</v>
      </c>
      <c r="C203" s="322" t="s">
        <v>321</v>
      </c>
      <c r="D203" s="324" t="s">
        <v>386</v>
      </c>
      <c r="E203" s="324" t="s">
        <v>386</v>
      </c>
    </row>
    <row r="204">
      <c r="A204" s="322" t="s">
        <v>11</v>
      </c>
      <c r="B204" s="322" t="s">
        <v>14</v>
      </c>
      <c r="C204" s="322" t="s">
        <v>9</v>
      </c>
      <c r="D204" s="324" t="s">
        <v>141</v>
      </c>
      <c r="E204" s="324" t="s">
        <v>141</v>
      </c>
    </row>
    <row r="205">
      <c r="A205" s="196" t="s">
        <v>12</v>
      </c>
      <c r="B205" s="322" t="s">
        <v>15</v>
      </c>
      <c r="C205" s="322" t="s">
        <v>139</v>
      </c>
      <c r="D205" s="324" t="s">
        <v>85</v>
      </c>
      <c r="E205" s="324" t="s">
        <v>85</v>
      </c>
    </row>
    <row r="206">
      <c r="A206" s="322" t="s">
        <v>13</v>
      </c>
      <c r="B206" s="322" t="s">
        <v>16</v>
      </c>
      <c r="C206" s="322" t="s">
        <v>11</v>
      </c>
      <c r="D206" s="324" t="s">
        <v>142</v>
      </c>
      <c r="E206" s="324" t="s">
        <v>86</v>
      </c>
    </row>
    <row r="207">
      <c r="A207" s="322" t="s">
        <v>14</v>
      </c>
      <c r="B207" s="322" t="s">
        <v>17</v>
      </c>
      <c r="C207" s="322" t="s">
        <v>12</v>
      </c>
      <c r="D207" s="324" t="s">
        <v>87</v>
      </c>
      <c r="E207" s="324" t="s">
        <v>87</v>
      </c>
    </row>
    <row r="208">
      <c r="A208" s="322" t="s">
        <v>15</v>
      </c>
      <c r="B208" s="322" t="s">
        <v>18</v>
      </c>
      <c r="C208" s="324" t="s">
        <v>13</v>
      </c>
      <c r="D208" s="324" t="s">
        <v>25</v>
      </c>
      <c r="E208" s="322" t="s">
        <v>387</v>
      </c>
    </row>
    <row r="209">
      <c r="A209" s="322" t="s">
        <v>16</v>
      </c>
      <c r="B209" s="322" t="s">
        <v>19</v>
      </c>
      <c r="C209" s="324" t="s">
        <v>14</v>
      </c>
      <c r="D209" s="324" t="s">
        <v>26</v>
      </c>
      <c r="E209" s="322" t="s">
        <v>388</v>
      </c>
    </row>
    <row r="210">
      <c r="A210" s="322" t="s">
        <v>17</v>
      </c>
      <c r="B210" s="322" t="s">
        <v>20</v>
      </c>
      <c r="C210" s="324" t="s">
        <v>78</v>
      </c>
      <c r="D210" s="324" t="s">
        <v>382</v>
      </c>
      <c r="E210" s="324" t="s">
        <v>382</v>
      </c>
    </row>
    <row r="211">
      <c r="A211" s="322" t="s">
        <v>18</v>
      </c>
      <c r="B211" s="322" t="s">
        <v>21</v>
      </c>
      <c r="C211" s="324" t="s">
        <v>79</v>
      </c>
      <c r="D211" s="323" t="s">
        <v>30</v>
      </c>
      <c r="E211" s="322" t="s">
        <v>30</v>
      </c>
    </row>
    <row r="212">
      <c r="A212" s="322" t="s">
        <v>19</v>
      </c>
      <c r="B212" s="322" t="s">
        <v>22</v>
      </c>
      <c r="C212" s="324" t="s">
        <v>114</v>
      </c>
      <c r="D212" s="224"/>
      <c r="E212" s="158"/>
    </row>
    <row r="213">
      <c r="A213" s="322" t="s">
        <v>20</v>
      </c>
      <c r="B213" s="322" t="s">
        <v>23</v>
      </c>
      <c r="C213" s="324" t="s">
        <v>115</v>
      </c>
      <c r="D213" s="224"/>
      <c r="E213" s="158"/>
    </row>
    <row r="214">
      <c r="A214" s="322" t="s">
        <v>21</v>
      </c>
      <c r="B214" s="322" t="s">
        <v>25</v>
      </c>
      <c r="C214" s="324" t="s">
        <v>385</v>
      </c>
      <c r="D214" s="224"/>
      <c r="E214" s="158"/>
    </row>
    <row r="215">
      <c r="A215" s="322" t="s">
        <v>22</v>
      </c>
      <c r="B215" s="322" t="s">
        <v>26</v>
      </c>
      <c r="C215" s="324" t="s">
        <v>386</v>
      </c>
      <c r="D215" s="224"/>
      <c r="E215" s="158"/>
    </row>
    <row r="216">
      <c r="A216" s="322" t="s">
        <v>23</v>
      </c>
      <c r="B216" s="196" t="s">
        <v>30</v>
      </c>
      <c r="C216" s="324" t="s">
        <v>141</v>
      </c>
      <c r="D216" s="224"/>
      <c r="E216" s="158"/>
    </row>
    <row r="217">
      <c r="A217" s="322" t="s">
        <v>25</v>
      </c>
      <c r="B217" s="196"/>
      <c r="C217" s="324" t="s">
        <v>85</v>
      </c>
      <c r="D217" s="224"/>
      <c r="E217" s="158"/>
    </row>
    <row r="218">
      <c r="A218" s="322" t="s">
        <v>26</v>
      </c>
      <c r="B218" s="222"/>
      <c r="C218" s="324" t="s">
        <v>142</v>
      </c>
      <c r="D218" s="224"/>
      <c r="E218" s="158"/>
    </row>
    <row r="219">
      <c r="A219" s="196" t="s">
        <v>30</v>
      </c>
      <c r="B219" s="222"/>
      <c r="C219" s="322" t="s">
        <v>87</v>
      </c>
      <c r="D219" s="224"/>
      <c r="E219" s="158"/>
    </row>
    <row r="220">
      <c r="A220" s="196" t="s">
        <v>390</v>
      </c>
      <c r="B220" s="222"/>
      <c r="C220" s="322" t="s">
        <v>387</v>
      </c>
      <c r="D220" s="224"/>
      <c r="E220" s="158"/>
    </row>
    <row r="221">
      <c r="A221" s="158"/>
      <c r="B221" s="222"/>
      <c r="C221" s="322" t="s">
        <v>388</v>
      </c>
      <c r="D221" s="224"/>
      <c r="E221" s="158"/>
    </row>
    <row r="222">
      <c r="A222" s="158"/>
      <c r="B222" s="222"/>
      <c r="C222" s="322" t="s">
        <v>389</v>
      </c>
      <c r="D222" s="224"/>
      <c r="E222" s="158"/>
    </row>
    <row r="223">
      <c r="A223" s="158"/>
      <c r="B223" s="222"/>
      <c r="C223" s="322" t="s">
        <v>30</v>
      </c>
      <c r="D223" s="224"/>
      <c r="E223" s="158"/>
    </row>
    <row r="224">
      <c r="A224" s="158"/>
      <c r="B224" s="222"/>
      <c r="C224" s="195"/>
      <c r="D224" s="224"/>
      <c r="E224" s="158"/>
    </row>
    <row r="225">
      <c r="A225" s="158"/>
      <c r="B225" s="222"/>
      <c r="C225" s="195"/>
      <c r="D225" s="224"/>
      <c r="E225" s="158"/>
    </row>
    <row r="226">
      <c r="A226" s="158"/>
      <c r="B226" s="222"/>
      <c r="C226" s="195"/>
      <c r="D226" s="224"/>
      <c r="E226" s="158"/>
    </row>
    <row r="227">
      <c r="A227" s="158"/>
      <c r="B227" s="222"/>
      <c r="C227" s="195"/>
      <c r="D227" s="224"/>
      <c r="E227" s="158"/>
    </row>
    <row r="228">
      <c r="A228" s="158"/>
      <c r="B228" s="222"/>
      <c r="C228" s="195"/>
      <c r="D228" s="224"/>
      <c r="E228" s="158"/>
    </row>
    <row r="229">
      <c r="A229" s="158"/>
      <c r="B229" s="222"/>
      <c r="C229" s="195"/>
      <c r="D229" s="224"/>
      <c r="E229" s="158"/>
    </row>
    <row r="230">
      <c r="A230" s="158"/>
      <c r="B230" s="222"/>
      <c r="C230" s="195"/>
      <c r="D230" s="224"/>
      <c r="E230" s="158"/>
    </row>
    <row r="231">
      <c r="A231" s="158"/>
      <c r="B231" s="222"/>
      <c r="C231" s="195"/>
      <c r="D231" s="224"/>
      <c r="E231" s="158"/>
    </row>
    <row r="232">
      <c r="A232" s="158"/>
      <c r="B232" s="222"/>
      <c r="C232" s="195"/>
      <c r="D232" s="224"/>
      <c r="E232" s="158"/>
    </row>
    <row r="233">
      <c r="A233" s="158"/>
      <c r="B233" s="222"/>
      <c r="C233" s="195"/>
      <c r="D233" s="224"/>
      <c r="E233" s="158"/>
    </row>
    <row r="234">
      <c r="A234" s="158"/>
      <c r="B234" s="222"/>
      <c r="C234" s="195"/>
      <c r="D234" s="224"/>
      <c r="E234" s="158"/>
    </row>
    <row r="235">
      <c r="A235" s="158"/>
      <c r="B235" s="222"/>
      <c r="C235" s="195"/>
      <c r="D235" s="224"/>
      <c r="E235" s="158"/>
    </row>
    <row r="236">
      <c r="A236" s="158"/>
      <c r="B236" s="222"/>
      <c r="C236" s="195"/>
      <c r="D236" s="224"/>
      <c r="E236" s="158"/>
    </row>
    <row r="237">
      <c r="A237" s="158"/>
      <c r="B237" s="222"/>
      <c r="C237" s="195"/>
      <c r="D237" s="224"/>
      <c r="E237" s="158"/>
    </row>
    <row r="238">
      <c r="A238" s="158"/>
      <c r="B238" s="222"/>
      <c r="C238" s="195"/>
      <c r="D238" s="224"/>
      <c r="E238" s="158"/>
    </row>
    <row r="239">
      <c r="A239" s="158"/>
      <c r="B239" s="222"/>
      <c r="C239" s="195"/>
      <c r="D239" s="224"/>
      <c r="E239" s="158"/>
    </row>
    <row r="240">
      <c r="A240" s="158"/>
      <c r="B240" s="222"/>
      <c r="C240" s="195"/>
      <c r="D240" s="224"/>
      <c r="E240" s="158"/>
    </row>
    <row r="241">
      <c r="A241" s="158"/>
      <c r="B241" s="222"/>
      <c r="C241" s="195"/>
      <c r="D241" s="224"/>
      <c r="E241" s="158"/>
    </row>
    <row r="242">
      <c r="A242" s="158"/>
      <c r="B242" s="222"/>
      <c r="C242" s="195"/>
      <c r="D242" s="224"/>
      <c r="E242" s="158"/>
    </row>
    <row r="243">
      <c r="A243" s="158"/>
      <c r="B243" s="222"/>
      <c r="C243" s="195"/>
      <c r="D243" s="224"/>
      <c r="E243" s="158"/>
    </row>
    <row r="244">
      <c r="A244" s="158"/>
      <c r="B244" s="222"/>
      <c r="C244" s="322" t="s">
        <v>74</v>
      </c>
      <c r="D244" s="323" t="s">
        <v>383</v>
      </c>
      <c r="E244" s="196" t="s">
        <v>74</v>
      </c>
    </row>
    <row r="245">
      <c r="A245" s="158"/>
      <c r="B245" s="222"/>
      <c r="C245" s="322" t="s">
        <v>1</v>
      </c>
      <c r="D245" s="323" t="s">
        <v>1</v>
      </c>
      <c r="E245" s="196" t="s">
        <v>1</v>
      </c>
    </row>
    <row r="246">
      <c r="A246" s="158"/>
      <c r="B246" s="222"/>
      <c r="C246" s="161" t="s">
        <v>2</v>
      </c>
      <c r="D246" s="196" t="s">
        <v>2</v>
      </c>
      <c r="E246" s="196" t="s">
        <v>2</v>
      </c>
    </row>
    <row r="247">
      <c r="A247" s="158"/>
      <c r="B247" s="222"/>
      <c r="C247" s="322" t="s">
        <v>3</v>
      </c>
      <c r="D247" s="323" t="s">
        <v>3</v>
      </c>
      <c r="E247" s="196" t="s">
        <v>3</v>
      </c>
    </row>
    <row r="248">
      <c r="A248" s="158"/>
      <c r="B248" s="222"/>
      <c r="C248" s="322" t="s">
        <v>4</v>
      </c>
      <c r="D248" s="324" t="s">
        <v>4</v>
      </c>
      <c r="E248" s="322" t="s">
        <v>4</v>
      </c>
    </row>
    <row r="249">
      <c r="A249" s="158"/>
      <c r="B249" s="222"/>
      <c r="C249" s="322" t="s">
        <v>319</v>
      </c>
      <c r="D249" s="324" t="s">
        <v>319</v>
      </c>
      <c r="E249" s="322" t="s">
        <v>319</v>
      </c>
    </row>
    <row r="250">
      <c r="A250" s="158"/>
      <c r="B250" s="222"/>
      <c r="C250" s="322" t="s">
        <v>320</v>
      </c>
      <c r="D250" s="324" t="s">
        <v>320</v>
      </c>
      <c r="E250" s="322" t="s">
        <v>320</v>
      </c>
    </row>
    <row r="251">
      <c r="A251" s="158"/>
      <c r="B251" s="222"/>
      <c r="C251" s="322" t="s">
        <v>321</v>
      </c>
      <c r="D251" s="324" t="s">
        <v>75</v>
      </c>
      <c r="E251" s="322" t="s">
        <v>75</v>
      </c>
    </row>
    <row r="252">
      <c r="A252" s="158"/>
      <c r="B252" s="222"/>
      <c r="C252" s="322" t="s">
        <v>9</v>
      </c>
      <c r="D252" s="324" t="s">
        <v>9</v>
      </c>
      <c r="E252" s="322" t="s">
        <v>9</v>
      </c>
    </row>
    <row r="253">
      <c r="A253" s="158"/>
      <c r="B253" s="196" t="s">
        <v>74</v>
      </c>
      <c r="C253" s="322" t="s">
        <v>139</v>
      </c>
      <c r="D253" s="324" t="s">
        <v>10</v>
      </c>
      <c r="E253" s="322" t="s">
        <v>76</v>
      </c>
    </row>
    <row r="254">
      <c r="A254" s="158"/>
      <c r="B254" s="196" t="s">
        <v>1</v>
      </c>
      <c r="C254" s="322" t="s">
        <v>11</v>
      </c>
      <c r="D254" s="324" t="s">
        <v>11</v>
      </c>
      <c r="E254" s="322" t="s">
        <v>77</v>
      </c>
    </row>
    <row r="255">
      <c r="A255" s="158"/>
      <c r="B255" s="196" t="s">
        <v>2</v>
      </c>
      <c r="C255" s="322" t="s">
        <v>12</v>
      </c>
      <c r="D255" s="323" t="s">
        <v>12</v>
      </c>
      <c r="E255" s="196" t="s">
        <v>12</v>
      </c>
    </row>
    <row r="256">
      <c r="A256" s="196" t="s">
        <v>38</v>
      </c>
      <c r="B256" s="196" t="s">
        <v>3</v>
      </c>
      <c r="C256" s="324" t="s">
        <v>13</v>
      </c>
      <c r="D256" s="324" t="s">
        <v>13</v>
      </c>
      <c r="E256" s="324" t="s">
        <v>13</v>
      </c>
    </row>
    <row r="257">
      <c r="A257" s="196" t="s">
        <v>1</v>
      </c>
      <c r="B257" s="322" t="s">
        <v>4</v>
      </c>
      <c r="C257" s="324" t="s">
        <v>14</v>
      </c>
      <c r="D257" s="324" t="s">
        <v>14</v>
      </c>
      <c r="E257" s="324" t="s">
        <v>14</v>
      </c>
    </row>
    <row r="258">
      <c r="A258" s="196" t="s">
        <v>2</v>
      </c>
      <c r="B258" s="334" t="s">
        <v>319</v>
      </c>
      <c r="C258" s="324" t="s">
        <v>78</v>
      </c>
      <c r="D258" s="324" t="s">
        <v>78</v>
      </c>
      <c r="E258" s="324" t="s">
        <v>78</v>
      </c>
    </row>
    <row r="259">
      <c r="A259" s="196" t="s">
        <v>384</v>
      </c>
      <c r="B259" s="334" t="s">
        <v>320</v>
      </c>
      <c r="C259" s="324" t="s">
        <v>79</v>
      </c>
      <c r="D259" s="324" t="s">
        <v>79</v>
      </c>
      <c r="E259" s="324" t="s">
        <v>79</v>
      </c>
    </row>
    <row r="260">
      <c r="A260" s="196" t="s">
        <v>3</v>
      </c>
      <c r="B260" s="196" t="s">
        <v>321</v>
      </c>
      <c r="C260" s="324" t="s">
        <v>114</v>
      </c>
      <c r="D260" s="324" t="s">
        <v>114</v>
      </c>
      <c r="E260" s="324" t="s">
        <v>114</v>
      </c>
    </row>
    <row r="261">
      <c r="A261" s="322" t="s">
        <v>4</v>
      </c>
      <c r="B261" s="322" t="s">
        <v>9</v>
      </c>
      <c r="C261" s="324" t="s">
        <v>115</v>
      </c>
      <c r="D261" s="324" t="s">
        <v>115</v>
      </c>
      <c r="E261" s="324" t="s">
        <v>115</v>
      </c>
    </row>
    <row r="262">
      <c r="A262" s="334" t="s">
        <v>319</v>
      </c>
      <c r="B262" s="322" t="s">
        <v>10</v>
      </c>
      <c r="C262" s="324" t="s">
        <v>385</v>
      </c>
      <c r="D262" s="324" t="s">
        <v>385</v>
      </c>
      <c r="E262" s="324" t="s">
        <v>385</v>
      </c>
    </row>
    <row r="263">
      <c r="A263" s="334" t="s">
        <v>320</v>
      </c>
      <c r="B263" s="322" t="s">
        <v>11</v>
      </c>
      <c r="C263" s="324" t="s">
        <v>386</v>
      </c>
      <c r="D263" s="324" t="s">
        <v>386</v>
      </c>
      <c r="E263" s="324" t="s">
        <v>386</v>
      </c>
    </row>
    <row r="264">
      <c r="A264" s="196" t="s">
        <v>321</v>
      </c>
      <c r="B264" s="196" t="s">
        <v>12</v>
      </c>
      <c r="C264" s="324" t="s">
        <v>141</v>
      </c>
      <c r="D264" s="324" t="s">
        <v>141</v>
      </c>
      <c r="E264" s="324" t="s">
        <v>141</v>
      </c>
    </row>
    <row r="265">
      <c r="A265" s="322" t="s">
        <v>9</v>
      </c>
      <c r="B265" s="322" t="s">
        <v>13</v>
      </c>
      <c r="C265" s="324" t="s">
        <v>85</v>
      </c>
      <c r="D265" s="324" t="s">
        <v>85</v>
      </c>
      <c r="E265" s="324" t="s">
        <v>85</v>
      </c>
    </row>
    <row r="266">
      <c r="A266" s="322" t="s">
        <v>10</v>
      </c>
      <c r="B266" s="322" t="s">
        <v>14</v>
      </c>
      <c r="C266" s="324" t="s">
        <v>142</v>
      </c>
      <c r="D266" s="324" t="s">
        <v>142</v>
      </c>
      <c r="E266" s="324" t="s">
        <v>86</v>
      </c>
    </row>
    <row r="267">
      <c r="A267" s="322" t="s">
        <v>11</v>
      </c>
      <c r="B267" s="322" t="s">
        <v>15</v>
      </c>
      <c r="C267" s="322" t="s">
        <v>87</v>
      </c>
      <c r="D267" s="324" t="s">
        <v>87</v>
      </c>
      <c r="E267" s="324" t="s">
        <v>87</v>
      </c>
    </row>
    <row r="268">
      <c r="A268" s="196" t="s">
        <v>12</v>
      </c>
      <c r="B268" s="322" t="s">
        <v>16</v>
      </c>
      <c r="C268" s="322" t="s">
        <v>387</v>
      </c>
      <c r="D268" s="324" t="s">
        <v>25</v>
      </c>
      <c r="E268" s="322" t="s">
        <v>387</v>
      </c>
    </row>
    <row r="269">
      <c r="A269" s="322" t="s">
        <v>13</v>
      </c>
      <c r="B269" s="322" t="s">
        <v>17</v>
      </c>
      <c r="C269" s="322" t="s">
        <v>388</v>
      </c>
      <c r="D269" s="324" t="s">
        <v>26</v>
      </c>
      <c r="E269" s="322" t="s">
        <v>388</v>
      </c>
    </row>
    <row r="270">
      <c r="A270" s="322" t="s">
        <v>14</v>
      </c>
      <c r="B270" s="322" t="s">
        <v>18</v>
      </c>
      <c r="C270" s="322" t="s">
        <v>389</v>
      </c>
      <c r="D270" s="324" t="s">
        <v>382</v>
      </c>
      <c r="E270" s="324" t="s">
        <v>382</v>
      </c>
    </row>
    <row r="271">
      <c r="A271" s="322" t="s">
        <v>15</v>
      </c>
      <c r="B271" s="322" t="s">
        <v>19</v>
      </c>
      <c r="C271" s="322" t="s">
        <v>30</v>
      </c>
      <c r="D271" s="323" t="s">
        <v>30</v>
      </c>
      <c r="E271" s="322" t="s">
        <v>30</v>
      </c>
    </row>
    <row r="272">
      <c r="A272" s="322" t="s">
        <v>16</v>
      </c>
      <c r="B272" s="322" t="s">
        <v>20</v>
      </c>
      <c r="C272" s="195"/>
      <c r="D272" s="224"/>
      <c r="E272" s="158"/>
    </row>
    <row r="273">
      <c r="A273" s="322" t="s">
        <v>17</v>
      </c>
      <c r="B273" s="322" t="s">
        <v>21</v>
      </c>
      <c r="C273" s="195"/>
      <c r="D273" s="224"/>
      <c r="E273" s="158"/>
    </row>
    <row r="274">
      <c r="A274" s="322" t="s">
        <v>18</v>
      </c>
      <c r="B274" s="322" t="s">
        <v>22</v>
      </c>
      <c r="C274" s="195"/>
      <c r="D274" s="224"/>
      <c r="E274" s="158"/>
    </row>
    <row r="275">
      <c r="A275" s="322" t="s">
        <v>19</v>
      </c>
      <c r="B275" s="322" t="s">
        <v>23</v>
      </c>
      <c r="C275" s="195"/>
      <c r="D275" s="224"/>
      <c r="E275" s="158"/>
    </row>
    <row r="276">
      <c r="A276" s="322" t="s">
        <v>20</v>
      </c>
      <c r="B276" s="322" t="s">
        <v>25</v>
      </c>
      <c r="C276" s="195"/>
      <c r="D276" s="224"/>
      <c r="E276" s="158"/>
    </row>
    <row r="277">
      <c r="A277" s="322" t="s">
        <v>21</v>
      </c>
      <c r="B277" s="322" t="s">
        <v>26</v>
      </c>
      <c r="C277" s="195"/>
      <c r="D277" s="224"/>
      <c r="E277" s="158"/>
    </row>
    <row r="278">
      <c r="A278" s="322" t="s">
        <v>22</v>
      </c>
      <c r="B278" s="196" t="s">
        <v>30</v>
      </c>
      <c r="C278" s="195"/>
      <c r="D278" s="224"/>
      <c r="E278" s="158"/>
    </row>
    <row r="279">
      <c r="A279" s="322" t="s">
        <v>23</v>
      </c>
      <c r="B279" s="196"/>
      <c r="C279" s="195"/>
      <c r="D279" s="224"/>
      <c r="E279" s="158"/>
    </row>
    <row r="280">
      <c r="A280" s="322" t="s">
        <v>25</v>
      </c>
      <c r="B280" s="222"/>
      <c r="C280" s="195"/>
      <c r="D280" s="224"/>
      <c r="E280" s="158"/>
    </row>
    <row r="281">
      <c r="A281" s="322" t="s">
        <v>26</v>
      </c>
      <c r="B281" s="222"/>
      <c r="C281" s="195"/>
      <c r="D281" s="224"/>
      <c r="E281" s="158"/>
    </row>
    <row r="282">
      <c r="A282" s="196" t="s">
        <v>30</v>
      </c>
      <c r="B282" s="222"/>
      <c r="C282" s="195"/>
      <c r="D282" s="224"/>
      <c r="E282" s="158"/>
    </row>
    <row r="283">
      <c r="A283" s="196" t="s">
        <v>390</v>
      </c>
      <c r="B283" s="222"/>
      <c r="C283" s="195"/>
      <c r="D283" s="224"/>
      <c r="E283" s="158"/>
    </row>
    <row r="284">
      <c r="A284" s="158"/>
      <c r="B284" s="222"/>
      <c r="C284" s="195"/>
      <c r="D284" s="224"/>
      <c r="E284" s="158"/>
    </row>
    <row r="285">
      <c r="A285" s="158"/>
      <c r="B285" s="222"/>
      <c r="C285" s="195"/>
      <c r="D285" s="224"/>
      <c r="E285" s="158"/>
    </row>
    <row r="286">
      <c r="A286" s="158"/>
      <c r="B286" s="222"/>
      <c r="C286" s="195"/>
      <c r="D286" s="224"/>
      <c r="E286" s="158"/>
    </row>
    <row r="287">
      <c r="A287" s="158"/>
      <c r="B287" s="222"/>
      <c r="C287" s="195"/>
      <c r="D287" s="224"/>
      <c r="E287" s="158"/>
    </row>
    <row r="288">
      <c r="A288" s="158"/>
      <c r="B288" s="222"/>
      <c r="C288" s="195"/>
      <c r="D288" s="224"/>
      <c r="E288" s="158"/>
    </row>
    <row r="289">
      <c r="A289" s="158"/>
      <c r="B289" s="222"/>
      <c r="C289" s="195"/>
      <c r="D289" s="224"/>
      <c r="E289" s="158"/>
    </row>
    <row r="290">
      <c r="A290" s="158"/>
      <c r="B290" s="222"/>
      <c r="C290" s="195"/>
      <c r="D290" s="224"/>
      <c r="E290" s="158"/>
    </row>
    <row r="291">
      <c r="A291" s="158"/>
      <c r="B291" s="222"/>
      <c r="C291" s="195"/>
      <c r="D291" s="224"/>
      <c r="E291" s="158"/>
    </row>
    <row r="292">
      <c r="A292" s="158"/>
      <c r="B292" s="222"/>
      <c r="C292" s="322" t="s">
        <v>74</v>
      </c>
      <c r="D292" s="224"/>
      <c r="E292" s="158"/>
    </row>
    <row r="293">
      <c r="A293" s="158"/>
      <c r="B293" s="222"/>
      <c r="C293" s="322" t="s">
        <v>1</v>
      </c>
      <c r="D293" s="224"/>
      <c r="E293" s="158"/>
    </row>
    <row r="294">
      <c r="A294" s="158"/>
      <c r="B294" s="222"/>
      <c r="C294" s="161" t="s">
        <v>2</v>
      </c>
      <c r="D294" s="224"/>
      <c r="E294" s="158"/>
    </row>
    <row r="295">
      <c r="A295" s="158"/>
      <c r="B295" s="222"/>
      <c r="C295" s="322" t="s">
        <v>3</v>
      </c>
      <c r="D295" s="224"/>
      <c r="E295" s="158"/>
    </row>
    <row r="296">
      <c r="A296" s="158"/>
      <c r="B296" s="222"/>
      <c r="C296" s="322" t="s">
        <v>4</v>
      </c>
      <c r="D296" s="224"/>
      <c r="E296" s="158"/>
    </row>
    <row r="297">
      <c r="A297" s="158"/>
      <c r="B297" s="222"/>
      <c r="C297" s="322" t="s">
        <v>319</v>
      </c>
      <c r="D297" s="224"/>
      <c r="E297" s="158"/>
    </row>
    <row r="298">
      <c r="A298" s="158"/>
      <c r="B298" s="222"/>
      <c r="C298" s="322" t="s">
        <v>320</v>
      </c>
      <c r="D298" s="224"/>
      <c r="E298" s="158"/>
    </row>
    <row r="299">
      <c r="A299" s="158"/>
      <c r="B299" s="222"/>
      <c r="C299" s="322" t="s">
        <v>321</v>
      </c>
      <c r="D299" s="224"/>
      <c r="E299" s="158"/>
    </row>
    <row r="300">
      <c r="A300" s="158"/>
      <c r="B300" s="222"/>
      <c r="C300" s="322" t="s">
        <v>9</v>
      </c>
      <c r="D300" s="224"/>
      <c r="E300" s="158"/>
    </row>
    <row r="301">
      <c r="A301" s="158"/>
      <c r="B301" s="222"/>
      <c r="C301" s="322" t="s">
        <v>139</v>
      </c>
      <c r="D301" s="224"/>
      <c r="E301" s="158"/>
    </row>
    <row r="302">
      <c r="A302" s="158"/>
      <c r="B302" s="222"/>
      <c r="C302" s="322" t="s">
        <v>11</v>
      </c>
      <c r="D302" s="224"/>
      <c r="E302" s="158"/>
    </row>
    <row r="303">
      <c r="A303" s="158"/>
      <c r="B303" s="222"/>
      <c r="C303" s="322" t="s">
        <v>12</v>
      </c>
      <c r="D303" s="224"/>
      <c r="E303" s="158"/>
    </row>
    <row r="304">
      <c r="A304" s="158"/>
      <c r="B304" s="222"/>
      <c r="C304" s="324" t="s">
        <v>13</v>
      </c>
      <c r="D304" s="323" t="s">
        <v>383</v>
      </c>
      <c r="E304" s="196" t="s">
        <v>74</v>
      </c>
    </row>
    <row r="305">
      <c r="A305" s="158"/>
      <c r="B305" s="222"/>
      <c r="C305" s="324" t="s">
        <v>14</v>
      </c>
      <c r="D305" s="323" t="s">
        <v>1</v>
      </c>
      <c r="E305" s="196" t="s">
        <v>1</v>
      </c>
    </row>
    <row r="306">
      <c r="A306" s="158"/>
      <c r="B306" s="222"/>
      <c r="C306" s="324" t="s">
        <v>78</v>
      </c>
      <c r="D306" s="196" t="s">
        <v>2</v>
      </c>
      <c r="E306" s="196" t="s">
        <v>2</v>
      </c>
    </row>
    <row r="307">
      <c r="A307" s="158"/>
      <c r="B307" s="222"/>
      <c r="C307" s="324" t="s">
        <v>79</v>
      </c>
      <c r="D307" s="323" t="s">
        <v>3</v>
      </c>
      <c r="E307" s="196" t="s">
        <v>3</v>
      </c>
    </row>
    <row r="308">
      <c r="A308" s="158"/>
      <c r="B308" s="222"/>
      <c r="C308" s="324" t="s">
        <v>114</v>
      </c>
      <c r="D308" s="324" t="s">
        <v>4</v>
      </c>
      <c r="E308" s="322" t="s">
        <v>4</v>
      </c>
    </row>
    <row r="309">
      <c r="A309" s="158"/>
      <c r="B309" s="222"/>
      <c r="C309" s="324" t="s">
        <v>115</v>
      </c>
      <c r="D309" s="324" t="s">
        <v>319</v>
      </c>
      <c r="E309" s="322" t="s">
        <v>319</v>
      </c>
    </row>
    <row r="310">
      <c r="A310" s="158"/>
      <c r="B310" s="222"/>
      <c r="C310" s="324" t="s">
        <v>385</v>
      </c>
      <c r="D310" s="324" t="s">
        <v>320</v>
      </c>
      <c r="E310" s="322" t="s">
        <v>320</v>
      </c>
    </row>
    <row r="311">
      <c r="A311" s="158"/>
      <c r="B311" s="222"/>
      <c r="C311" s="324" t="s">
        <v>386</v>
      </c>
      <c r="D311" s="324" t="s">
        <v>75</v>
      </c>
      <c r="E311" s="322" t="s">
        <v>75</v>
      </c>
    </row>
    <row r="312">
      <c r="A312" s="158"/>
      <c r="B312" s="222"/>
      <c r="C312" s="324" t="s">
        <v>141</v>
      </c>
      <c r="D312" s="324" t="s">
        <v>9</v>
      </c>
      <c r="E312" s="322" t="s">
        <v>9</v>
      </c>
    </row>
    <row r="313">
      <c r="A313" s="158"/>
      <c r="B313" s="222"/>
      <c r="C313" s="324" t="s">
        <v>85</v>
      </c>
      <c r="D313" s="324" t="s">
        <v>10</v>
      </c>
      <c r="E313" s="322" t="s">
        <v>76</v>
      </c>
    </row>
    <row r="314">
      <c r="A314" s="158"/>
      <c r="B314" s="222"/>
      <c r="C314" s="324" t="s">
        <v>142</v>
      </c>
      <c r="D314" s="324" t="s">
        <v>11</v>
      </c>
      <c r="E314" s="322" t="s">
        <v>77</v>
      </c>
    </row>
    <row r="315">
      <c r="A315" s="158"/>
      <c r="B315" s="196" t="s">
        <v>74</v>
      </c>
      <c r="C315" s="322" t="s">
        <v>87</v>
      </c>
      <c r="D315" s="323" t="s">
        <v>12</v>
      </c>
      <c r="E315" s="196" t="s">
        <v>12</v>
      </c>
    </row>
    <row r="316">
      <c r="A316" s="158"/>
      <c r="B316" s="196" t="s">
        <v>1</v>
      </c>
      <c r="C316" s="322" t="s">
        <v>387</v>
      </c>
      <c r="D316" s="324" t="s">
        <v>13</v>
      </c>
      <c r="E316" s="324" t="s">
        <v>13</v>
      </c>
    </row>
    <row r="317">
      <c r="A317" s="158"/>
      <c r="B317" s="196" t="s">
        <v>2</v>
      </c>
      <c r="C317" s="322" t="s">
        <v>388</v>
      </c>
      <c r="D317" s="324" t="s">
        <v>14</v>
      </c>
      <c r="E317" s="324" t="s">
        <v>14</v>
      </c>
    </row>
    <row r="318">
      <c r="A318" s="158"/>
      <c r="B318" s="196" t="s">
        <v>3</v>
      </c>
      <c r="C318" s="322" t="s">
        <v>389</v>
      </c>
      <c r="D318" s="324" t="s">
        <v>78</v>
      </c>
      <c r="E318" s="324" t="s">
        <v>78</v>
      </c>
    </row>
    <row r="319">
      <c r="A319" s="196" t="s">
        <v>38</v>
      </c>
      <c r="B319" s="322" t="s">
        <v>4</v>
      </c>
      <c r="C319" s="322" t="s">
        <v>30</v>
      </c>
      <c r="D319" s="324" t="s">
        <v>79</v>
      </c>
      <c r="E319" s="324" t="s">
        <v>79</v>
      </c>
    </row>
    <row r="320">
      <c r="A320" s="196" t="s">
        <v>1</v>
      </c>
      <c r="B320" s="334" t="s">
        <v>319</v>
      </c>
      <c r="C320" s="195"/>
      <c r="D320" s="324" t="s">
        <v>114</v>
      </c>
      <c r="E320" s="324" t="s">
        <v>114</v>
      </c>
    </row>
    <row r="321">
      <c r="A321" s="196" t="s">
        <v>2</v>
      </c>
      <c r="B321" s="334" t="s">
        <v>320</v>
      </c>
      <c r="C321" s="195"/>
      <c r="D321" s="324" t="s">
        <v>115</v>
      </c>
      <c r="E321" s="324" t="s">
        <v>115</v>
      </c>
    </row>
    <row r="322">
      <c r="A322" s="196" t="s">
        <v>384</v>
      </c>
      <c r="B322" s="196" t="s">
        <v>321</v>
      </c>
      <c r="C322" s="195"/>
      <c r="D322" s="324" t="s">
        <v>385</v>
      </c>
      <c r="E322" s="324" t="s">
        <v>385</v>
      </c>
    </row>
    <row r="323">
      <c r="A323" s="196" t="s">
        <v>3</v>
      </c>
      <c r="B323" s="322" t="s">
        <v>9</v>
      </c>
      <c r="C323" s="195"/>
      <c r="D323" s="324" t="s">
        <v>386</v>
      </c>
      <c r="E323" s="324" t="s">
        <v>386</v>
      </c>
    </row>
    <row r="324">
      <c r="A324" s="322" t="s">
        <v>4</v>
      </c>
      <c r="B324" s="322" t="s">
        <v>10</v>
      </c>
      <c r="C324" s="195"/>
      <c r="D324" s="324" t="s">
        <v>141</v>
      </c>
      <c r="E324" s="324" t="s">
        <v>141</v>
      </c>
    </row>
    <row r="325">
      <c r="A325" s="334" t="s">
        <v>319</v>
      </c>
      <c r="B325" s="322" t="s">
        <v>11</v>
      </c>
      <c r="C325" s="195"/>
      <c r="D325" s="324" t="s">
        <v>85</v>
      </c>
      <c r="E325" s="324" t="s">
        <v>85</v>
      </c>
    </row>
    <row r="326">
      <c r="A326" s="334" t="s">
        <v>320</v>
      </c>
      <c r="B326" s="196" t="s">
        <v>12</v>
      </c>
      <c r="C326" s="195"/>
      <c r="D326" s="324" t="s">
        <v>142</v>
      </c>
      <c r="E326" s="324" t="s">
        <v>86</v>
      </c>
    </row>
    <row r="327">
      <c r="A327" s="196" t="s">
        <v>321</v>
      </c>
      <c r="B327" s="322" t="s">
        <v>13</v>
      </c>
      <c r="C327" s="195"/>
      <c r="D327" s="324" t="s">
        <v>87</v>
      </c>
      <c r="E327" s="324" t="s">
        <v>87</v>
      </c>
    </row>
    <row r="328">
      <c r="A328" s="322" t="s">
        <v>9</v>
      </c>
      <c r="B328" s="322" t="s">
        <v>14</v>
      </c>
      <c r="C328" s="195"/>
      <c r="D328" s="324" t="s">
        <v>25</v>
      </c>
      <c r="E328" s="322" t="s">
        <v>387</v>
      </c>
    </row>
    <row r="329">
      <c r="A329" s="322" t="s">
        <v>10</v>
      </c>
      <c r="B329" s="322" t="s">
        <v>15</v>
      </c>
      <c r="C329" s="195"/>
      <c r="D329" s="324" t="s">
        <v>26</v>
      </c>
      <c r="E329" s="322" t="s">
        <v>388</v>
      </c>
    </row>
    <row r="330">
      <c r="A330" s="322" t="s">
        <v>11</v>
      </c>
      <c r="B330" s="322" t="s">
        <v>16</v>
      </c>
      <c r="C330" s="195"/>
      <c r="D330" s="324" t="s">
        <v>382</v>
      </c>
      <c r="E330" s="324" t="s">
        <v>382</v>
      </c>
    </row>
    <row r="331">
      <c r="A331" s="196" t="s">
        <v>12</v>
      </c>
      <c r="B331" s="322" t="s">
        <v>17</v>
      </c>
      <c r="C331" s="195"/>
      <c r="D331" s="323" t="s">
        <v>30</v>
      </c>
      <c r="E331" s="322" t="s">
        <v>30</v>
      </c>
    </row>
    <row r="332">
      <c r="A332" s="322" t="s">
        <v>13</v>
      </c>
      <c r="B332" s="322" t="s">
        <v>18</v>
      </c>
      <c r="C332" s="195"/>
      <c r="D332" s="224"/>
      <c r="E332" s="158"/>
    </row>
    <row r="333">
      <c r="A333" s="322" t="s">
        <v>14</v>
      </c>
      <c r="B333" s="322" t="s">
        <v>19</v>
      </c>
      <c r="C333" s="195"/>
      <c r="D333" s="224"/>
      <c r="E333" s="158"/>
    </row>
    <row r="334">
      <c r="A334" s="322" t="s">
        <v>15</v>
      </c>
      <c r="B334" s="322" t="s">
        <v>20</v>
      </c>
      <c r="C334" s="195"/>
      <c r="D334" s="224"/>
      <c r="E334" s="158"/>
    </row>
    <row r="335">
      <c r="A335" s="322" t="s">
        <v>16</v>
      </c>
      <c r="B335" s="322" t="s">
        <v>21</v>
      </c>
      <c r="C335" s="195"/>
      <c r="D335" s="224"/>
      <c r="E335" s="158"/>
    </row>
    <row r="336">
      <c r="A336" s="322" t="s">
        <v>17</v>
      </c>
      <c r="B336" s="322" t="s">
        <v>22</v>
      </c>
      <c r="C336" s="195"/>
      <c r="D336" s="224"/>
      <c r="E336" s="158"/>
    </row>
    <row r="337">
      <c r="A337" s="322" t="s">
        <v>18</v>
      </c>
      <c r="B337" s="322" t="s">
        <v>23</v>
      </c>
      <c r="C337" s="195"/>
      <c r="D337" s="224"/>
      <c r="E337" s="158"/>
    </row>
    <row r="338">
      <c r="A338" s="322" t="s">
        <v>19</v>
      </c>
      <c r="B338" s="322" t="s">
        <v>25</v>
      </c>
      <c r="C338" s="195"/>
      <c r="D338" s="224"/>
      <c r="E338" s="158"/>
    </row>
    <row r="339">
      <c r="A339" s="322" t="s">
        <v>20</v>
      </c>
      <c r="B339" s="322" t="s">
        <v>26</v>
      </c>
      <c r="C339" s="195"/>
      <c r="D339" s="224"/>
      <c r="E339" s="158"/>
    </row>
    <row r="340">
      <c r="A340" s="322" t="s">
        <v>21</v>
      </c>
      <c r="B340" s="196" t="s">
        <v>30</v>
      </c>
      <c r="C340" s="322" t="s">
        <v>74</v>
      </c>
      <c r="D340" s="224"/>
      <c r="E340" s="158"/>
    </row>
    <row r="341">
      <c r="A341" s="322" t="s">
        <v>22</v>
      </c>
      <c r="B341" s="196"/>
      <c r="C341" s="322" t="s">
        <v>1</v>
      </c>
      <c r="D341" s="224"/>
      <c r="E341" s="158"/>
    </row>
    <row r="342">
      <c r="A342" s="322" t="s">
        <v>23</v>
      </c>
      <c r="B342" s="222"/>
      <c r="C342" s="161" t="s">
        <v>2</v>
      </c>
      <c r="D342" s="224"/>
      <c r="E342" s="158"/>
    </row>
    <row r="343">
      <c r="A343" s="322" t="s">
        <v>25</v>
      </c>
      <c r="B343" s="222"/>
      <c r="C343" s="322" t="s">
        <v>3</v>
      </c>
      <c r="D343" s="224"/>
      <c r="E343" s="158"/>
    </row>
    <row r="344">
      <c r="A344" s="322" t="s">
        <v>26</v>
      </c>
      <c r="B344" s="222"/>
      <c r="C344" s="322" t="s">
        <v>4</v>
      </c>
      <c r="D344" s="224"/>
      <c r="E344" s="158"/>
    </row>
    <row r="345">
      <c r="A345" s="196" t="s">
        <v>30</v>
      </c>
      <c r="B345" s="222"/>
      <c r="C345" s="322" t="s">
        <v>319</v>
      </c>
      <c r="D345" s="224"/>
      <c r="E345" s="158"/>
    </row>
    <row r="346">
      <c r="A346" s="196" t="s">
        <v>390</v>
      </c>
      <c r="B346" s="222"/>
      <c r="C346" s="322" t="s">
        <v>320</v>
      </c>
      <c r="D346" s="224"/>
      <c r="E346" s="158"/>
    </row>
    <row r="347">
      <c r="A347" s="158"/>
      <c r="B347" s="222"/>
      <c r="C347" s="322" t="s">
        <v>321</v>
      </c>
      <c r="D347" s="224"/>
      <c r="E347" s="158"/>
    </row>
    <row r="348">
      <c r="A348" s="158"/>
      <c r="B348" s="222"/>
      <c r="C348" s="322" t="s">
        <v>9</v>
      </c>
      <c r="D348" s="224"/>
      <c r="E348" s="158"/>
    </row>
    <row r="349">
      <c r="A349" s="158"/>
      <c r="B349" s="222"/>
      <c r="C349" s="322" t="s">
        <v>139</v>
      </c>
      <c r="D349" s="224"/>
      <c r="E349" s="158"/>
    </row>
    <row r="350">
      <c r="A350" s="158"/>
      <c r="B350" s="222"/>
      <c r="C350" s="322" t="s">
        <v>11</v>
      </c>
      <c r="D350" s="224"/>
      <c r="E350" s="158"/>
    </row>
    <row r="351">
      <c r="A351" s="158"/>
      <c r="B351" s="222"/>
      <c r="C351" s="322" t="s">
        <v>12</v>
      </c>
      <c r="D351" s="224"/>
      <c r="E351" s="158"/>
    </row>
    <row r="352">
      <c r="A352" s="158"/>
      <c r="B352" s="222"/>
      <c r="C352" s="324" t="s">
        <v>13</v>
      </c>
      <c r="D352" s="224"/>
      <c r="E352" s="158"/>
    </row>
    <row r="353">
      <c r="A353" s="158"/>
      <c r="B353" s="222"/>
      <c r="C353" s="324" t="s">
        <v>14</v>
      </c>
      <c r="D353" s="224"/>
      <c r="E353" s="158"/>
    </row>
    <row r="354">
      <c r="A354" s="158"/>
      <c r="B354" s="222"/>
      <c r="C354" s="324" t="s">
        <v>78</v>
      </c>
      <c r="D354" s="224"/>
      <c r="E354" s="158"/>
    </row>
    <row r="355">
      <c r="A355" s="158"/>
      <c r="B355" s="222"/>
      <c r="C355" s="324" t="s">
        <v>79</v>
      </c>
      <c r="D355" s="224"/>
      <c r="E355" s="158"/>
    </row>
    <row r="356">
      <c r="A356" s="158"/>
      <c r="B356" s="222"/>
      <c r="C356" s="324" t="s">
        <v>114</v>
      </c>
      <c r="D356" s="224"/>
      <c r="E356" s="158"/>
    </row>
    <row r="357">
      <c r="A357" s="158"/>
      <c r="B357" s="222"/>
      <c r="C357" s="324" t="s">
        <v>115</v>
      </c>
      <c r="D357" s="224"/>
      <c r="E357" s="158"/>
    </row>
    <row r="358">
      <c r="A358" s="158"/>
      <c r="B358" s="222"/>
      <c r="C358" s="324" t="s">
        <v>385</v>
      </c>
      <c r="D358" s="224"/>
      <c r="E358" s="158"/>
    </row>
    <row r="359">
      <c r="A359" s="158"/>
      <c r="B359" s="222"/>
      <c r="C359" s="324" t="s">
        <v>386</v>
      </c>
      <c r="D359" s="224"/>
      <c r="E359" s="158"/>
    </row>
    <row r="360">
      <c r="A360" s="158"/>
      <c r="B360" s="222"/>
      <c r="C360" s="324" t="s">
        <v>141</v>
      </c>
      <c r="D360" s="224"/>
      <c r="E360" s="158"/>
    </row>
    <row r="361">
      <c r="A361" s="158"/>
      <c r="B361" s="222"/>
      <c r="C361" s="324" t="s">
        <v>85</v>
      </c>
      <c r="D361" s="224"/>
      <c r="E361" s="158"/>
    </row>
    <row r="362">
      <c r="A362" s="158"/>
      <c r="B362" s="222"/>
      <c r="C362" s="324" t="s">
        <v>142</v>
      </c>
      <c r="D362" s="224"/>
      <c r="E362" s="158"/>
    </row>
    <row r="363">
      <c r="A363" s="158"/>
      <c r="B363" s="222"/>
      <c r="C363" s="322" t="s">
        <v>87</v>
      </c>
      <c r="D363" s="224"/>
      <c r="E363" s="158"/>
    </row>
    <row r="364">
      <c r="A364" s="158"/>
      <c r="B364" s="222"/>
      <c r="C364" s="322" t="s">
        <v>387</v>
      </c>
      <c r="D364" s="323" t="s">
        <v>383</v>
      </c>
      <c r="E364" s="196" t="s">
        <v>74</v>
      </c>
    </row>
    <row r="365">
      <c r="A365" s="158"/>
      <c r="B365" s="222"/>
      <c r="C365" s="322" t="s">
        <v>388</v>
      </c>
      <c r="D365" s="323" t="s">
        <v>1</v>
      </c>
      <c r="E365" s="196" t="s">
        <v>1</v>
      </c>
    </row>
    <row r="366">
      <c r="A366" s="158"/>
      <c r="B366" s="222"/>
      <c r="C366" s="322" t="s">
        <v>389</v>
      </c>
      <c r="D366" s="196" t="s">
        <v>2</v>
      </c>
      <c r="E366" s="196" t="s">
        <v>2</v>
      </c>
    </row>
    <row r="367">
      <c r="A367" s="158"/>
      <c r="B367" s="222"/>
      <c r="C367" s="322" t="s">
        <v>30</v>
      </c>
      <c r="D367" s="323" t="s">
        <v>3</v>
      </c>
      <c r="E367" s="196" t="s">
        <v>3</v>
      </c>
    </row>
    <row r="368">
      <c r="A368" s="158"/>
      <c r="B368" s="222"/>
      <c r="C368" s="195"/>
      <c r="D368" s="324" t="s">
        <v>4</v>
      </c>
      <c r="E368" s="322" t="s">
        <v>4</v>
      </c>
    </row>
    <row r="369">
      <c r="A369" s="158"/>
      <c r="B369" s="222"/>
      <c r="C369" s="195"/>
      <c r="D369" s="324" t="s">
        <v>319</v>
      </c>
      <c r="E369" s="322" t="s">
        <v>319</v>
      </c>
    </row>
    <row r="370">
      <c r="A370" s="158"/>
      <c r="B370" s="222"/>
      <c r="C370" s="195"/>
      <c r="D370" s="324" t="s">
        <v>320</v>
      </c>
      <c r="E370" s="322" t="s">
        <v>320</v>
      </c>
    </row>
    <row r="371">
      <c r="A371" s="158"/>
      <c r="B371" s="222"/>
      <c r="C371" s="195"/>
      <c r="D371" s="324" t="s">
        <v>75</v>
      </c>
      <c r="E371" s="322" t="s">
        <v>75</v>
      </c>
    </row>
    <row r="372">
      <c r="A372" s="158"/>
      <c r="B372" s="222"/>
      <c r="C372" s="195"/>
      <c r="D372" s="324" t="s">
        <v>9</v>
      </c>
      <c r="E372" s="322" t="s">
        <v>9</v>
      </c>
    </row>
    <row r="373">
      <c r="A373" s="158"/>
      <c r="B373" s="222"/>
      <c r="C373" s="195"/>
      <c r="D373" s="324" t="s">
        <v>10</v>
      </c>
      <c r="E373" s="322" t="s">
        <v>76</v>
      </c>
    </row>
    <row r="374">
      <c r="A374" s="158"/>
      <c r="B374" s="222"/>
      <c r="C374" s="195"/>
      <c r="D374" s="324" t="s">
        <v>11</v>
      </c>
      <c r="E374" s="322" t="s">
        <v>77</v>
      </c>
    </row>
    <row r="375">
      <c r="A375" s="158"/>
      <c r="B375" s="222"/>
      <c r="C375" s="195"/>
      <c r="D375" s="323" t="s">
        <v>12</v>
      </c>
      <c r="E375" s="196" t="s">
        <v>12</v>
      </c>
    </row>
    <row r="376">
      <c r="A376" s="158"/>
      <c r="B376" s="222"/>
      <c r="C376" s="195"/>
      <c r="D376" s="324" t="s">
        <v>13</v>
      </c>
      <c r="E376" s="324" t="s">
        <v>13</v>
      </c>
    </row>
    <row r="377">
      <c r="A377" s="158"/>
      <c r="B377" s="196" t="s">
        <v>74</v>
      </c>
      <c r="C377" s="195"/>
      <c r="D377" s="324" t="s">
        <v>14</v>
      </c>
      <c r="E377" s="324" t="s">
        <v>14</v>
      </c>
    </row>
    <row r="378">
      <c r="A378" s="158"/>
      <c r="B378" s="196" t="s">
        <v>1</v>
      </c>
      <c r="C378" s="195"/>
      <c r="D378" s="324" t="s">
        <v>78</v>
      </c>
      <c r="E378" s="324" t="s">
        <v>78</v>
      </c>
    </row>
    <row r="379">
      <c r="A379" s="158"/>
      <c r="B379" s="196" t="s">
        <v>2</v>
      </c>
      <c r="C379" s="195"/>
      <c r="D379" s="324" t="s">
        <v>79</v>
      </c>
      <c r="E379" s="324" t="s">
        <v>79</v>
      </c>
    </row>
    <row r="380">
      <c r="A380" s="158"/>
      <c r="B380" s="196" t="s">
        <v>3</v>
      </c>
      <c r="C380" s="195"/>
      <c r="D380" s="324" t="s">
        <v>114</v>
      </c>
      <c r="E380" s="324" t="s">
        <v>114</v>
      </c>
    </row>
    <row r="381">
      <c r="A381" s="158"/>
      <c r="B381" s="322" t="s">
        <v>4</v>
      </c>
      <c r="C381" s="195"/>
      <c r="D381" s="324" t="s">
        <v>115</v>
      </c>
      <c r="E381" s="324" t="s">
        <v>115</v>
      </c>
    </row>
    <row r="382">
      <c r="A382" s="196" t="s">
        <v>38</v>
      </c>
      <c r="B382" s="334" t="s">
        <v>319</v>
      </c>
      <c r="C382" s="195"/>
      <c r="D382" s="324" t="s">
        <v>385</v>
      </c>
      <c r="E382" s="324" t="s">
        <v>385</v>
      </c>
    </row>
    <row r="383">
      <c r="A383" s="196" t="s">
        <v>1</v>
      </c>
      <c r="B383" s="334" t="s">
        <v>320</v>
      </c>
      <c r="C383" s="195"/>
      <c r="D383" s="324" t="s">
        <v>386</v>
      </c>
      <c r="E383" s="324" t="s">
        <v>386</v>
      </c>
    </row>
    <row r="384">
      <c r="A384" s="196" t="s">
        <v>2</v>
      </c>
      <c r="B384" s="196" t="s">
        <v>321</v>
      </c>
      <c r="C384" s="195"/>
      <c r="D384" s="324" t="s">
        <v>141</v>
      </c>
      <c r="E384" s="324" t="s">
        <v>141</v>
      </c>
    </row>
    <row r="385">
      <c r="A385" s="196" t="s">
        <v>384</v>
      </c>
      <c r="B385" s="322" t="s">
        <v>9</v>
      </c>
      <c r="C385" s="195"/>
      <c r="D385" s="324" t="s">
        <v>85</v>
      </c>
      <c r="E385" s="324" t="s">
        <v>85</v>
      </c>
    </row>
    <row r="386">
      <c r="A386" s="196" t="s">
        <v>3</v>
      </c>
      <c r="B386" s="322" t="s">
        <v>10</v>
      </c>
      <c r="C386" s="195"/>
      <c r="D386" s="324" t="s">
        <v>142</v>
      </c>
      <c r="E386" s="324" t="s">
        <v>86</v>
      </c>
    </row>
    <row r="387">
      <c r="A387" s="322" t="s">
        <v>4</v>
      </c>
      <c r="B387" s="322" t="s">
        <v>11</v>
      </c>
      <c r="C387" s="195"/>
      <c r="D387" s="324" t="s">
        <v>87</v>
      </c>
      <c r="E387" s="324" t="s">
        <v>87</v>
      </c>
    </row>
    <row r="388">
      <c r="A388" s="334" t="s">
        <v>319</v>
      </c>
      <c r="B388" s="196" t="s">
        <v>12</v>
      </c>
      <c r="C388" s="322" t="s">
        <v>74</v>
      </c>
      <c r="D388" s="324" t="s">
        <v>25</v>
      </c>
      <c r="E388" s="322" t="s">
        <v>387</v>
      </c>
    </row>
    <row r="389">
      <c r="A389" s="334" t="s">
        <v>320</v>
      </c>
      <c r="B389" s="322" t="s">
        <v>13</v>
      </c>
      <c r="C389" s="322" t="s">
        <v>1</v>
      </c>
      <c r="D389" s="324" t="s">
        <v>26</v>
      </c>
      <c r="E389" s="322" t="s">
        <v>388</v>
      </c>
    </row>
    <row r="390">
      <c r="A390" s="196" t="s">
        <v>321</v>
      </c>
      <c r="B390" s="322" t="s">
        <v>14</v>
      </c>
      <c r="C390" s="161" t="s">
        <v>2</v>
      </c>
      <c r="D390" s="324" t="s">
        <v>382</v>
      </c>
      <c r="E390" s="324" t="s">
        <v>382</v>
      </c>
    </row>
    <row r="391">
      <c r="A391" s="322" t="s">
        <v>9</v>
      </c>
      <c r="B391" s="322" t="s">
        <v>15</v>
      </c>
      <c r="C391" s="322" t="s">
        <v>3</v>
      </c>
      <c r="D391" s="323" t="s">
        <v>30</v>
      </c>
      <c r="E391" s="322" t="s">
        <v>30</v>
      </c>
    </row>
    <row r="392">
      <c r="A392" s="322" t="s">
        <v>10</v>
      </c>
      <c r="B392" s="322" t="s">
        <v>16</v>
      </c>
      <c r="C392" s="322" t="s">
        <v>4</v>
      </c>
      <c r="D392" s="224"/>
      <c r="E392" s="158"/>
    </row>
    <row r="393">
      <c r="A393" s="322" t="s">
        <v>11</v>
      </c>
      <c r="B393" s="322" t="s">
        <v>17</v>
      </c>
      <c r="C393" s="322" t="s">
        <v>319</v>
      </c>
      <c r="D393" s="224"/>
      <c r="E393" s="158"/>
    </row>
    <row r="394">
      <c r="A394" s="196" t="s">
        <v>12</v>
      </c>
      <c r="B394" s="322" t="s">
        <v>18</v>
      </c>
      <c r="C394" s="322" t="s">
        <v>320</v>
      </c>
      <c r="D394" s="224"/>
      <c r="E394" s="158"/>
    </row>
    <row r="395">
      <c r="A395" s="322" t="s">
        <v>13</v>
      </c>
      <c r="B395" s="322" t="s">
        <v>19</v>
      </c>
      <c r="C395" s="322" t="s">
        <v>321</v>
      </c>
      <c r="D395" s="224"/>
      <c r="E395" s="158"/>
    </row>
    <row r="396">
      <c r="A396" s="322" t="s">
        <v>14</v>
      </c>
      <c r="B396" s="322" t="s">
        <v>20</v>
      </c>
      <c r="C396" s="322" t="s">
        <v>9</v>
      </c>
      <c r="D396" s="224"/>
      <c r="E396" s="158"/>
    </row>
    <row r="397">
      <c r="A397" s="322" t="s">
        <v>15</v>
      </c>
      <c r="B397" s="322" t="s">
        <v>21</v>
      </c>
      <c r="C397" s="322" t="s">
        <v>139</v>
      </c>
      <c r="D397" s="224"/>
      <c r="E397" s="158"/>
    </row>
    <row r="398">
      <c r="A398" s="322" t="s">
        <v>16</v>
      </c>
      <c r="B398" s="322" t="s">
        <v>22</v>
      </c>
      <c r="C398" s="322" t="s">
        <v>11</v>
      </c>
      <c r="D398" s="224"/>
      <c r="E398" s="158"/>
    </row>
    <row r="399">
      <c r="A399" s="322" t="s">
        <v>17</v>
      </c>
      <c r="B399" s="322" t="s">
        <v>23</v>
      </c>
      <c r="C399" s="322" t="s">
        <v>12</v>
      </c>
      <c r="D399" s="224"/>
      <c r="E399" s="158"/>
    </row>
    <row r="400">
      <c r="A400" s="322" t="s">
        <v>18</v>
      </c>
      <c r="B400" s="322" t="s">
        <v>25</v>
      </c>
      <c r="C400" s="324" t="s">
        <v>13</v>
      </c>
      <c r="D400" s="224"/>
      <c r="E400" s="158"/>
    </row>
    <row r="401">
      <c r="A401" s="322" t="s">
        <v>19</v>
      </c>
      <c r="B401" s="322" t="s">
        <v>26</v>
      </c>
      <c r="C401" s="324" t="s">
        <v>14</v>
      </c>
      <c r="D401" s="224"/>
      <c r="E401" s="158"/>
    </row>
    <row r="402">
      <c r="A402" s="322" t="s">
        <v>20</v>
      </c>
      <c r="B402" s="196" t="s">
        <v>30</v>
      </c>
      <c r="C402" s="324" t="s">
        <v>78</v>
      </c>
      <c r="D402" s="224"/>
      <c r="E402" s="158"/>
    </row>
    <row r="403">
      <c r="A403" s="322" t="s">
        <v>21</v>
      </c>
      <c r="B403" s="196"/>
      <c r="C403" s="324" t="s">
        <v>79</v>
      </c>
      <c r="D403" s="224"/>
      <c r="E403" s="158"/>
    </row>
    <row r="404">
      <c r="A404" s="322" t="s">
        <v>22</v>
      </c>
      <c r="B404" s="222"/>
      <c r="C404" s="324" t="s">
        <v>114</v>
      </c>
      <c r="D404" s="224"/>
      <c r="E404" s="158"/>
    </row>
    <row r="405">
      <c r="A405" s="322" t="s">
        <v>23</v>
      </c>
      <c r="B405" s="222"/>
      <c r="C405" s="324" t="s">
        <v>115</v>
      </c>
      <c r="D405" s="224"/>
      <c r="E405" s="158"/>
    </row>
    <row r="406">
      <c r="A406" s="322" t="s">
        <v>25</v>
      </c>
      <c r="B406" s="222"/>
      <c r="C406" s="324" t="s">
        <v>385</v>
      </c>
      <c r="D406" s="224"/>
      <c r="E406" s="158"/>
    </row>
    <row r="407">
      <c r="A407" s="322" t="s">
        <v>26</v>
      </c>
      <c r="B407" s="222"/>
      <c r="C407" s="324" t="s">
        <v>386</v>
      </c>
      <c r="D407" s="224"/>
      <c r="E407" s="158"/>
    </row>
    <row r="408">
      <c r="A408" s="196" t="s">
        <v>30</v>
      </c>
      <c r="B408" s="222"/>
      <c r="C408" s="324" t="s">
        <v>141</v>
      </c>
      <c r="D408" s="224"/>
      <c r="E408" s="158"/>
    </row>
    <row r="409">
      <c r="A409" s="196" t="s">
        <v>390</v>
      </c>
      <c r="B409" s="222"/>
      <c r="C409" s="324" t="s">
        <v>85</v>
      </c>
      <c r="D409" s="224"/>
      <c r="E409" s="158"/>
    </row>
    <row r="410">
      <c r="A410" s="158"/>
      <c r="B410" s="222"/>
      <c r="C410" s="324" t="s">
        <v>142</v>
      </c>
      <c r="D410" s="224"/>
      <c r="E410" s="158"/>
    </row>
    <row r="411">
      <c r="A411" s="158"/>
      <c r="B411" s="222"/>
      <c r="C411" s="322" t="s">
        <v>87</v>
      </c>
      <c r="D411" s="224"/>
      <c r="E411" s="158"/>
    </row>
    <row r="412">
      <c r="A412" s="158"/>
      <c r="B412" s="222"/>
      <c r="C412" s="322" t="s">
        <v>387</v>
      </c>
      <c r="D412" s="224"/>
      <c r="E412" s="158"/>
    </row>
    <row r="413">
      <c r="A413" s="158"/>
      <c r="B413" s="222"/>
      <c r="C413" s="322" t="s">
        <v>388</v>
      </c>
      <c r="D413" s="224"/>
      <c r="E413" s="158"/>
    </row>
    <row r="414">
      <c r="A414" s="158"/>
      <c r="B414" s="222"/>
      <c r="C414" s="322" t="s">
        <v>389</v>
      </c>
      <c r="D414" s="224"/>
      <c r="E414" s="158"/>
    </row>
    <row r="415">
      <c r="A415" s="158"/>
      <c r="B415" s="222"/>
      <c r="C415" s="322" t="s">
        <v>30</v>
      </c>
      <c r="D415" s="224"/>
      <c r="E415" s="158"/>
    </row>
    <row r="416">
      <c r="A416" s="158"/>
      <c r="B416" s="222"/>
      <c r="C416" s="195"/>
      <c r="D416" s="224"/>
      <c r="E416" s="158"/>
    </row>
    <row r="417">
      <c r="A417" s="158"/>
      <c r="B417" s="222"/>
      <c r="C417" s="195"/>
      <c r="D417" s="224"/>
      <c r="E417" s="158"/>
    </row>
    <row r="418">
      <c r="A418" s="158"/>
      <c r="B418" s="222"/>
      <c r="C418" s="195"/>
      <c r="D418" s="224"/>
      <c r="E418" s="158"/>
    </row>
    <row r="419">
      <c r="A419" s="158"/>
      <c r="B419" s="222"/>
      <c r="C419" s="195"/>
      <c r="D419" s="224"/>
      <c r="E419" s="158"/>
    </row>
    <row r="420">
      <c r="A420" s="158"/>
      <c r="B420" s="222"/>
      <c r="C420" s="195"/>
      <c r="D420" s="224"/>
      <c r="E420" s="158"/>
    </row>
    <row r="421">
      <c r="A421" s="158"/>
      <c r="B421" s="222"/>
      <c r="C421" s="195"/>
      <c r="D421" s="224"/>
      <c r="E421" s="158"/>
    </row>
    <row r="422">
      <c r="A422" s="158"/>
      <c r="B422" s="222"/>
      <c r="C422" s="195"/>
      <c r="D422" s="224"/>
      <c r="E422" s="158"/>
    </row>
    <row r="423">
      <c r="A423" s="158"/>
      <c r="B423" s="222"/>
      <c r="C423" s="195"/>
      <c r="D423" s="224"/>
      <c r="E423" s="158"/>
    </row>
    <row r="424">
      <c r="A424" s="158"/>
      <c r="B424" s="222"/>
      <c r="C424" s="195"/>
      <c r="D424" s="323" t="s">
        <v>383</v>
      </c>
      <c r="E424" s="196" t="s">
        <v>74</v>
      </c>
    </row>
    <row r="425">
      <c r="A425" s="158"/>
      <c r="B425" s="222"/>
      <c r="C425" s="195"/>
      <c r="D425" s="323" t="s">
        <v>1</v>
      </c>
      <c r="E425" s="196" t="s">
        <v>1</v>
      </c>
    </row>
    <row r="426">
      <c r="A426" s="158"/>
      <c r="B426" s="222"/>
      <c r="C426" s="195"/>
      <c r="D426" s="196" t="s">
        <v>2</v>
      </c>
      <c r="E426" s="196" t="s">
        <v>2</v>
      </c>
    </row>
    <row r="427">
      <c r="A427" s="158"/>
      <c r="B427" s="222"/>
      <c r="C427" s="195"/>
      <c r="D427" s="323" t="s">
        <v>3</v>
      </c>
      <c r="E427" s="196" t="s">
        <v>3</v>
      </c>
    </row>
    <row r="428">
      <c r="A428" s="158"/>
      <c r="B428" s="222"/>
      <c r="C428" s="195"/>
      <c r="D428" s="324" t="s">
        <v>4</v>
      </c>
      <c r="E428" s="322" t="s">
        <v>4</v>
      </c>
    </row>
    <row r="429">
      <c r="A429" s="158"/>
      <c r="B429" s="222"/>
      <c r="C429" s="195"/>
      <c r="D429" s="324" t="s">
        <v>319</v>
      </c>
      <c r="E429" s="322" t="s">
        <v>319</v>
      </c>
    </row>
    <row r="430">
      <c r="A430" s="158"/>
      <c r="B430" s="222"/>
      <c r="C430" s="195"/>
      <c r="D430" s="324" t="s">
        <v>320</v>
      </c>
      <c r="E430" s="322" t="s">
        <v>320</v>
      </c>
    </row>
    <row r="431">
      <c r="A431" s="158"/>
      <c r="B431" s="222"/>
      <c r="C431" s="195"/>
      <c r="D431" s="324" t="s">
        <v>75</v>
      </c>
      <c r="E431" s="322" t="s">
        <v>75</v>
      </c>
    </row>
    <row r="432">
      <c r="A432" s="158"/>
      <c r="B432" s="222"/>
      <c r="C432" s="195"/>
      <c r="D432" s="324" t="s">
        <v>9</v>
      </c>
      <c r="E432" s="322" t="s">
        <v>9</v>
      </c>
    </row>
    <row r="433">
      <c r="A433" s="158"/>
      <c r="B433" s="222"/>
      <c r="C433" s="195"/>
      <c r="D433" s="324" t="s">
        <v>10</v>
      </c>
      <c r="E433" s="322" t="s">
        <v>76</v>
      </c>
    </row>
    <row r="434">
      <c r="A434" s="158"/>
      <c r="B434" s="222"/>
      <c r="C434" s="195"/>
      <c r="D434" s="324" t="s">
        <v>11</v>
      </c>
      <c r="E434" s="322" t="s">
        <v>77</v>
      </c>
    </row>
    <row r="435">
      <c r="A435" s="158"/>
      <c r="B435" s="222"/>
      <c r="C435" s="195"/>
      <c r="D435" s="323" t="s">
        <v>12</v>
      </c>
      <c r="E435" s="196" t="s">
        <v>12</v>
      </c>
    </row>
    <row r="436">
      <c r="A436" s="158"/>
      <c r="B436" s="222"/>
      <c r="C436" s="322" t="s">
        <v>74</v>
      </c>
      <c r="D436" s="324" t="s">
        <v>13</v>
      </c>
      <c r="E436" s="324" t="s">
        <v>13</v>
      </c>
    </row>
    <row r="437">
      <c r="A437" s="158"/>
      <c r="B437" s="222"/>
      <c r="C437" s="322" t="s">
        <v>1</v>
      </c>
      <c r="D437" s="324" t="s">
        <v>14</v>
      </c>
      <c r="E437" s="324" t="s">
        <v>14</v>
      </c>
    </row>
    <row r="438">
      <c r="A438" s="158"/>
      <c r="B438" s="222"/>
      <c r="C438" s="161" t="s">
        <v>2</v>
      </c>
      <c r="D438" s="324" t="s">
        <v>78</v>
      </c>
      <c r="E438" s="324" t="s">
        <v>78</v>
      </c>
    </row>
    <row r="439">
      <c r="A439" s="158"/>
      <c r="B439" s="196" t="s">
        <v>74</v>
      </c>
      <c r="C439" s="322" t="s">
        <v>3</v>
      </c>
      <c r="D439" s="324" t="s">
        <v>79</v>
      </c>
      <c r="E439" s="324" t="s">
        <v>79</v>
      </c>
    </row>
    <row r="440">
      <c r="A440" s="158"/>
      <c r="B440" s="196" t="s">
        <v>1</v>
      </c>
      <c r="C440" s="322" t="s">
        <v>4</v>
      </c>
      <c r="D440" s="324" t="s">
        <v>114</v>
      </c>
      <c r="E440" s="324" t="s">
        <v>114</v>
      </c>
    </row>
    <row r="441">
      <c r="A441" s="158"/>
      <c r="B441" s="196" t="s">
        <v>2</v>
      </c>
      <c r="C441" s="322" t="s">
        <v>319</v>
      </c>
      <c r="D441" s="324" t="s">
        <v>115</v>
      </c>
      <c r="E441" s="324" t="s">
        <v>115</v>
      </c>
    </row>
    <row r="442">
      <c r="A442" s="158"/>
      <c r="B442" s="196" t="s">
        <v>3</v>
      </c>
      <c r="C442" s="322" t="s">
        <v>320</v>
      </c>
      <c r="D442" s="324" t="s">
        <v>385</v>
      </c>
      <c r="E442" s="324" t="s">
        <v>385</v>
      </c>
    </row>
    <row r="443">
      <c r="A443" s="158"/>
      <c r="B443" s="322" t="s">
        <v>4</v>
      </c>
      <c r="C443" s="322" t="s">
        <v>321</v>
      </c>
      <c r="D443" s="324" t="s">
        <v>386</v>
      </c>
      <c r="E443" s="324" t="s">
        <v>386</v>
      </c>
    </row>
    <row r="444">
      <c r="A444" s="158"/>
      <c r="B444" s="334" t="s">
        <v>319</v>
      </c>
      <c r="C444" s="322" t="s">
        <v>9</v>
      </c>
      <c r="D444" s="324" t="s">
        <v>141</v>
      </c>
      <c r="E444" s="324" t="s">
        <v>141</v>
      </c>
    </row>
    <row r="445">
      <c r="A445" s="196" t="s">
        <v>38</v>
      </c>
      <c r="B445" s="334" t="s">
        <v>320</v>
      </c>
      <c r="C445" s="322" t="s">
        <v>139</v>
      </c>
      <c r="D445" s="324" t="s">
        <v>85</v>
      </c>
      <c r="E445" s="324" t="s">
        <v>85</v>
      </c>
    </row>
    <row r="446">
      <c r="A446" s="196" t="s">
        <v>1</v>
      </c>
      <c r="B446" s="196" t="s">
        <v>321</v>
      </c>
      <c r="C446" s="322" t="s">
        <v>11</v>
      </c>
      <c r="D446" s="324" t="s">
        <v>142</v>
      </c>
      <c r="E446" s="324" t="s">
        <v>86</v>
      </c>
    </row>
    <row r="447">
      <c r="A447" s="196" t="s">
        <v>2</v>
      </c>
      <c r="B447" s="322" t="s">
        <v>9</v>
      </c>
      <c r="C447" s="322" t="s">
        <v>12</v>
      </c>
      <c r="D447" s="324" t="s">
        <v>87</v>
      </c>
      <c r="E447" s="324" t="s">
        <v>87</v>
      </c>
    </row>
    <row r="448">
      <c r="A448" s="196" t="s">
        <v>384</v>
      </c>
      <c r="B448" s="322" t="s">
        <v>10</v>
      </c>
      <c r="C448" s="324" t="s">
        <v>13</v>
      </c>
      <c r="D448" s="324" t="s">
        <v>25</v>
      </c>
      <c r="E448" s="322" t="s">
        <v>387</v>
      </c>
    </row>
    <row r="449">
      <c r="A449" s="196" t="s">
        <v>3</v>
      </c>
      <c r="B449" s="322" t="s">
        <v>11</v>
      </c>
      <c r="C449" s="324" t="s">
        <v>14</v>
      </c>
      <c r="D449" s="324" t="s">
        <v>26</v>
      </c>
      <c r="E449" s="322" t="s">
        <v>388</v>
      </c>
    </row>
    <row r="450">
      <c r="A450" s="322" t="s">
        <v>4</v>
      </c>
      <c r="B450" s="196" t="s">
        <v>12</v>
      </c>
      <c r="C450" s="324" t="s">
        <v>78</v>
      </c>
      <c r="D450" s="324" t="s">
        <v>382</v>
      </c>
      <c r="E450" s="324" t="s">
        <v>382</v>
      </c>
    </row>
    <row r="451">
      <c r="A451" s="334" t="s">
        <v>319</v>
      </c>
      <c r="B451" s="322" t="s">
        <v>13</v>
      </c>
      <c r="C451" s="324" t="s">
        <v>79</v>
      </c>
      <c r="D451" s="323" t="s">
        <v>30</v>
      </c>
      <c r="E451" s="322" t="s">
        <v>30</v>
      </c>
    </row>
    <row r="452">
      <c r="A452" s="334" t="s">
        <v>320</v>
      </c>
      <c r="B452" s="322" t="s">
        <v>14</v>
      </c>
      <c r="C452" s="324" t="s">
        <v>114</v>
      </c>
      <c r="D452" s="224"/>
      <c r="E452" s="158"/>
    </row>
    <row r="453">
      <c r="A453" s="196" t="s">
        <v>321</v>
      </c>
      <c r="B453" s="322" t="s">
        <v>15</v>
      </c>
      <c r="C453" s="324" t="s">
        <v>115</v>
      </c>
      <c r="D453" s="224"/>
      <c r="E453" s="158"/>
    </row>
    <row r="454">
      <c r="A454" s="322" t="s">
        <v>9</v>
      </c>
      <c r="B454" s="322" t="s">
        <v>16</v>
      </c>
      <c r="C454" s="324" t="s">
        <v>385</v>
      </c>
      <c r="D454" s="224"/>
      <c r="E454" s="158"/>
    </row>
    <row r="455">
      <c r="A455" s="322" t="s">
        <v>10</v>
      </c>
      <c r="B455" s="322" t="s">
        <v>17</v>
      </c>
      <c r="C455" s="324" t="s">
        <v>386</v>
      </c>
      <c r="D455" s="224"/>
      <c r="E455" s="158"/>
    </row>
    <row r="456">
      <c r="A456" s="322" t="s">
        <v>11</v>
      </c>
      <c r="B456" s="322" t="s">
        <v>18</v>
      </c>
      <c r="C456" s="324" t="s">
        <v>141</v>
      </c>
      <c r="D456" s="224"/>
      <c r="E456" s="158"/>
    </row>
    <row r="457">
      <c r="A457" s="196" t="s">
        <v>12</v>
      </c>
      <c r="B457" s="322" t="s">
        <v>19</v>
      </c>
      <c r="C457" s="324" t="s">
        <v>85</v>
      </c>
      <c r="D457" s="224"/>
      <c r="E457" s="158"/>
    </row>
    <row r="458">
      <c r="A458" s="322" t="s">
        <v>13</v>
      </c>
      <c r="B458" s="322" t="s">
        <v>20</v>
      </c>
      <c r="C458" s="324" t="s">
        <v>142</v>
      </c>
      <c r="D458" s="224"/>
      <c r="E458" s="158"/>
    </row>
    <row r="459">
      <c r="A459" s="322" t="s">
        <v>14</v>
      </c>
      <c r="B459" s="322" t="s">
        <v>21</v>
      </c>
      <c r="C459" s="322" t="s">
        <v>87</v>
      </c>
      <c r="D459" s="224"/>
      <c r="E459" s="158"/>
    </row>
    <row r="460">
      <c r="A460" s="322" t="s">
        <v>15</v>
      </c>
      <c r="B460" s="322" t="s">
        <v>22</v>
      </c>
      <c r="C460" s="322" t="s">
        <v>387</v>
      </c>
      <c r="D460" s="224"/>
      <c r="E460" s="158"/>
    </row>
    <row r="461">
      <c r="A461" s="322" t="s">
        <v>16</v>
      </c>
      <c r="B461" s="322" t="s">
        <v>23</v>
      </c>
      <c r="C461" s="322" t="s">
        <v>388</v>
      </c>
      <c r="D461" s="224"/>
      <c r="E461" s="158"/>
    </row>
    <row r="462">
      <c r="A462" s="322" t="s">
        <v>17</v>
      </c>
      <c r="B462" s="322" t="s">
        <v>25</v>
      </c>
      <c r="C462" s="322" t="s">
        <v>389</v>
      </c>
      <c r="D462" s="224"/>
      <c r="E462" s="158"/>
    </row>
    <row r="463">
      <c r="A463" s="322" t="s">
        <v>18</v>
      </c>
      <c r="B463" s="322" t="s">
        <v>26</v>
      </c>
      <c r="C463" s="322" t="s">
        <v>30</v>
      </c>
      <c r="D463" s="224"/>
      <c r="E463" s="158"/>
    </row>
    <row r="464">
      <c r="A464" s="322" t="s">
        <v>19</v>
      </c>
      <c r="B464" s="196" t="s">
        <v>30</v>
      </c>
      <c r="C464" s="195"/>
      <c r="D464" s="224"/>
      <c r="E464" s="158"/>
    </row>
    <row r="465">
      <c r="A465" s="322" t="s">
        <v>20</v>
      </c>
      <c r="B465" s="196"/>
      <c r="C465" s="195"/>
      <c r="D465" s="224"/>
      <c r="E465" s="158"/>
    </row>
    <row r="466">
      <c r="A466" s="322" t="s">
        <v>21</v>
      </c>
      <c r="B466" s="222"/>
      <c r="C466" s="195"/>
      <c r="D466" s="224"/>
      <c r="E466" s="158"/>
    </row>
    <row r="467">
      <c r="A467" s="322" t="s">
        <v>22</v>
      </c>
      <c r="B467" s="222"/>
      <c r="C467" s="195"/>
      <c r="D467" s="224"/>
      <c r="E467" s="158"/>
    </row>
    <row r="468">
      <c r="A468" s="322" t="s">
        <v>23</v>
      </c>
      <c r="B468" s="222"/>
      <c r="C468" s="195"/>
      <c r="D468" s="224"/>
      <c r="E468" s="158"/>
    </row>
    <row r="469">
      <c r="A469" s="322" t="s">
        <v>25</v>
      </c>
      <c r="B469" s="222"/>
      <c r="C469" s="195"/>
      <c r="D469" s="224"/>
      <c r="E469" s="158"/>
    </row>
    <row r="470">
      <c r="A470" s="322" t="s">
        <v>26</v>
      </c>
      <c r="B470" s="222"/>
      <c r="C470" s="195"/>
      <c r="D470" s="224"/>
      <c r="E470" s="158"/>
    </row>
    <row r="471">
      <c r="A471" s="196" t="s">
        <v>30</v>
      </c>
      <c r="B471" s="222"/>
      <c r="C471" s="195"/>
      <c r="D471" s="224"/>
      <c r="E471" s="158"/>
    </row>
    <row r="472">
      <c r="A472" s="196" t="s">
        <v>390</v>
      </c>
      <c r="B472" s="222"/>
      <c r="C472" s="195"/>
      <c r="D472" s="224"/>
      <c r="E472" s="158"/>
    </row>
    <row r="473">
      <c r="A473" s="158"/>
      <c r="B473" s="222"/>
      <c r="C473" s="195"/>
      <c r="D473" s="224"/>
      <c r="E473" s="158"/>
    </row>
    <row r="474">
      <c r="A474" s="158"/>
      <c r="B474" s="222"/>
      <c r="C474" s="195"/>
      <c r="D474" s="224"/>
      <c r="E474" s="158"/>
    </row>
    <row r="475">
      <c r="A475" s="158"/>
      <c r="B475" s="222"/>
      <c r="C475" s="195"/>
      <c r="D475" s="224"/>
      <c r="E475" s="158"/>
    </row>
    <row r="476">
      <c r="A476" s="158"/>
      <c r="B476" s="222"/>
      <c r="C476" s="195"/>
      <c r="D476" s="224"/>
      <c r="E476" s="158"/>
    </row>
    <row r="477">
      <c r="A477" s="158"/>
      <c r="B477" s="222"/>
      <c r="C477" s="195"/>
      <c r="D477" s="224"/>
      <c r="E477" s="158"/>
    </row>
    <row r="478">
      <c r="A478" s="158"/>
      <c r="B478" s="222"/>
      <c r="C478" s="195"/>
      <c r="D478" s="224"/>
      <c r="E478" s="158"/>
    </row>
    <row r="479">
      <c r="A479" s="158"/>
      <c r="B479" s="222"/>
      <c r="C479" s="195"/>
      <c r="D479" s="224"/>
      <c r="E479" s="158"/>
    </row>
    <row r="480">
      <c r="A480" s="158"/>
      <c r="B480" s="222"/>
      <c r="C480" s="195"/>
      <c r="D480" s="224"/>
      <c r="E480" s="158"/>
    </row>
    <row r="481">
      <c r="A481" s="158"/>
      <c r="B481" s="222"/>
      <c r="C481" s="195"/>
      <c r="D481" s="224"/>
      <c r="E481" s="158"/>
    </row>
    <row r="482">
      <c r="A482" s="158"/>
      <c r="B482" s="222"/>
      <c r="C482" s="195"/>
      <c r="D482" s="224"/>
      <c r="E482" s="158"/>
    </row>
    <row r="483">
      <c r="A483" s="158"/>
      <c r="B483" s="222"/>
      <c r="C483" s="195"/>
      <c r="D483" s="224"/>
      <c r="E483" s="158"/>
    </row>
    <row r="484">
      <c r="A484" s="158"/>
      <c r="B484" s="222"/>
      <c r="C484" s="322" t="s">
        <v>74</v>
      </c>
      <c r="D484" s="323" t="s">
        <v>383</v>
      </c>
      <c r="E484" s="196" t="s">
        <v>74</v>
      </c>
    </row>
    <row r="485">
      <c r="A485" s="158"/>
      <c r="B485" s="222"/>
      <c r="C485" s="322" t="s">
        <v>1</v>
      </c>
      <c r="D485" s="323" t="s">
        <v>1</v>
      </c>
      <c r="E485" s="196" t="s">
        <v>1</v>
      </c>
    </row>
    <row r="486">
      <c r="A486" s="158"/>
      <c r="B486" s="222"/>
      <c r="C486" s="161" t="s">
        <v>2</v>
      </c>
      <c r="D486" s="196" t="s">
        <v>2</v>
      </c>
      <c r="E486" s="196" t="s">
        <v>2</v>
      </c>
    </row>
    <row r="487">
      <c r="A487" s="158"/>
      <c r="B487" s="222"/>
      <c r="C487" s="322" t="s">
        <v>3</v>
      </c>
      <c r="D487" s="323" t="s">
        <v>3</v>
      </c>
      <c r="E487" s="196" t="s">
        <v>3</v>
      </c>
    </row>
    <row r="488">
      <c r="A488" s="158"/>
      <c r="B488" s="222"/>
      <c r="C488" s="322" t="s">
        <v>4</v>
      </c>
      <c r="D488" s="324" t="s">
        <v>4</v>
      </c>
      <c r="E488" s="322" t="s">
        <v>4</v>
      </c>
    </row>
    <row r="489">
      <c r="A489" s="158"/>
      <c r="B489" s="222"/>
      <c r="C489" s="322" t="s">
        <v>319</v>
      </c>
      <c r="D489" s="324" t="s">
        <v>319</v>
      </c>
      <c r="E489" s="322" t="s">
        <v>319</v>
      </c>
    </row>
    <row r="490">
      <c r="A490" s="158"/>
      <c r="B490" s="222"/>
      <c r="C490" s="322" t="s">
        <v>320</v>
      </c>
      <c r="D490" s="324" t="s">
        <v>320</v>
      </c>
      <c r="E490" s="322" t="s">
        <v>320</v>
      </c>
    </row>
    <row r="491">
      <c r="A491" s="158"/>
      <c r="B491" s="222"/>
      <c r="C491" s="322" t="s">
        <v>321</v>
      </c>
      <c r="D491" s="324" t="s">
        <v>75</v>
      </c>
      <c r="E491" s="322" t="s">
        <v>75</v>
      </c>
    </row>
    <row r="492">
      <c r="A492" s="158"/>
      <c r="B492" s="222"/>
      <c r="C492" s="322" t="s">
        <v>9</v>
      </c>
      <c r="D492" s="324" t="s">
        <v>9</v>
      </c>
      <c r="E492" s="322" t="s">
        <v>9</v>
      </c>
    </row>
    <row r="493">
      <c r="A493" s="158"/>
      <c r="B493" s="222"/>
      <c r="C493" s="322" t="s">
        <v>139</v>
      </c>
      <c r="D493" s="324" t="s">
        <v>10</v>
      </c>
      <c r="E493" s="322" t="s">
        <v>76</v>
      </c>
    </row>
    <row r="494">
      <c r="A494" s="158"/>
      <c r="B494" s="222"/>
      <c r="C494" s="322" t="s">
        <v>11</v>
      </c>
      <c r="D494" s="324" t="s">
        <v>11</v>
      </c>
      <c r="E494" s="322" t="s">
        <v>77</v>
      </c>
    </row>
    <row r="495">
      <c r="A495" s="158"/>
      <c r="B495" s="222"/>
      <c r="C495" s="322" t="s">
        <v>12</v>
      </c>
      <c r="D495" s="323" t="s">
        <v>12</v>
      </c>
      <c r="E495" s="196" t="s">
        <v>12</v>
      </c>
    </row>
    <row r="496">
      <c r="A496" s="158"/>
      <c r="B496" s="222"/>
      <c r="C496" s="324" t="s">
        <v>13</v>
      </c>
      <c r="D496" s="324" t="s">
        <v>13</v>
      </c>
      <c r="E496" s="324" t="s">
        <v>13</v>
      </c>
    </row>
    <row r="497">
      <c r="A497" s="158"/>
      <c r="B497" s="222"/>
      <c r="C497" s="324" t="s">
        <v>14</v>
      </c>
      <c r="D497" s="324" t="s">
        <v>14</v>
      </c>
      <c r="E497" s="324" t="s">
        <v>14</v>
      </c>
    </row>
    <row r="498">
      <c r="A498" s="158"/>
      <c r="B498" s="222"/>
      <c r="C498" s="324" t="s">
        <v>78</v>
      </c>
      <c r="D498" s="324" t="s">
        <v>78</v>
      </c>
      <c r="E498" s="324" t="s">
        <v>78</v>
      </c>
    </row>
    <row r="499">
      <c r="A499" s="158"/>
      <c r="B499" s="222"/>
      <c r="C499" s="324" t="s">
        <v>79</v>
      </c>
      <c r="D499" s="324" t="s">
        <v>79</v>
      </c>
      <c r="E499" s="324" t="s">
        <v>79</v>
      </c>
    </row>
    <row r="500">
      <c r="A500" s="158"/>
      <c r="B500" s="222"/>
      <c r="C500" s="324" t="s">
        <v>114</v>
      </c>
      <c r="D500" s="324" t="s">
        <v>114</v>
      </c>
      <c r="E500" s="324" t="s">
        <v>114</v>
      </c>
    </row>
    <row r="501">
      <c r="A501" s="158"/>
      <c r="B501" s="196" t="s">
        <v>74</v>
      </c>
      <c r="C501" s="324" t="s">
        <v>115</v>
      </c>
      <c r="D501" s="324" t="s">
        <v>115</v>
      </c>
      <c r="E501" s="324" t="s">
        <v>115</v>
      </c>
    </row>
    <row r="502">
      <c r="A502" s="158"/>
      <c r="B502" s="196" t="s">
        <v>1</v>
      </c>
      <c r="C502" s="324" t="s">
        <v>385</v>
      </c>
      <c r="D502" s="324" t="s">
        <v>385</v>
      </c>
      <c r="E502" s="324" t="s">
        <v>385</v>
      </c>
    </row>
    <row r="503">
      <c r="A503" s="158"/>
      <c r="B503" s="196" t="s">
        <v>2</v>
      </c>
      <c r="C503" s="324" t="s">
        <v>386</v>
      </c>
      <c r="D503" s="324" t="s">
        <v>386</v>
      </c>
      <c r="E503" s="324" t="s">
        <v>386</v>
      </c>
    </row>
    <row r="504">
      <c r="A504" s="158"/>
      <c r="B504" s="196" t="s">
        <v>3</v>
      </c>
      <c r="C504" s="324" t="s">
        <v>141</v>
      </c>
      <c r="D504" s="324" t="s">
        <v>141</v>
      </c>
      <c r="E504" s="324" t="s">
        <v>141</v>
      </c>
    </row>
    <row r="505">
      <c r="A505" s="158"/>
      <c r="B505" s="322" t="s">
        <v>4</v>
      </c>
      <c r="C505" s="324" t="s">
        <v>85</v>
      </c>
      <c r="D505" s="324" t="s">
        <v>85</v>
      </c>
      <c r="E505" s="324" t="s">
        <v>85</v>
      </c>
    </row>
    <row r="506">
      <c r="A506" s="158"/>
      <c r="B506" s="334" t="s">
        <v>319</v>
      </c>
      <c r="C506" s="324" t="s">
        <v>142</v>
      </c>
      <c r="D506" s="324" t="s">
        <v>142</v>
      </c>
      <c r="E506" s="324" t="s">
        <v>86</v>
      </c>
    </row>
    <row r="507">
      <c r="A507" s="158"/>
      <c r="B507" s="334" t="s">
        <v>320</v>
      </c>
      <c r="C507" s="322" t="s">
        <v>87</v>
      </c>
      <c r="D507" s="324" t="s">
        <v>87</v>
      </c>
      <c r="E507" s="324" t="s">
        <v>87</v>
      </c>
    </row>
    <row r="508">
      <c r="A508" s="196" t="s">
        <v>38</v>
      </c>
      <c r="B508" s="196" t="s">
        <v>321</v>
      </c>
      <c r="C508" s="322" t="s">
        <v>387</v>
      </c>
      <c r="D508" s="324" t="s">
        <v>25</v>
      </c>
      <c r="E508" s="322" t="s">
        <v>387</v>
      </c>
    </row>
    <row r="509">
      <c r="A509" s="196" t="s">
        <v>1</v>
      </c>
      <c r="B509" s="322" t="s">
        <v>9</v>
      </c>
      <c r="C509" s="322" t="s">
        <v>388</v>
      </c>
      <c r="D509" s="324" t="s">
        <v>26</v>
      </c>
      <c r="E509" s="322" t="s">
        <v>388</v>
      </c>
    </row>
    <row r="510">
      <c r="A510" s="196" t="s">
        <v>2</v>
      </c>
      <c r="B510" s="322" t="s">
        <v>10</v>
      </c>
      <c r="C510" s="322" t="s">
        <v>389</v>
      </c>
      <c r="D510" s="324" t="s">
        <v>382</v>
      </c>
      <c r="E510" s="324" t="s">
        <v>382</v>
      </c>
    </row>
    <row r="511">
      <c r="A511" s="196" t="s">
        <v>384</v>
      </c>
      <c r="B511" s="322" t="s">
        <v>11</v>
      </c>
      <c r="C511" s="322" t="s">
        <v>30</v>
      </c>
      <c r="D511" s="323" t="s">
        <v>30</v>
      </c>
      <c r="E511" s="322" t="s">
        <v>30</v>
      </c>
    </row>
    <row r="512">
      <c r="A512" s="196" t="s">
        <v>3</v>
      </c>
      <c r="B512" s="196" t="s">
        <v>12</v>
      </c>
      <c r="C512" s="195"/>
      <c r="D512" s="224"/>
      <c r="E512" s="158"/>
    </row>
    <row r="513">
      <c r="A513" s="322" t="s">
        <v>4</v>
      </c>
      <c r="B513" s="322" t="s">
        <v>13</v>
      </c>
      <c r="C513" s="195"/>
      <c r="D513" s="224"/>
      <c r="E513" s="158"/>
    </row>
    <row r="514">
      <c r="A514" s="334" t="s">
        <v>319</v>
      </c>
      <c r="B514" s="322" t="s">
        <v>14</v>
      </c>
      <c r="C514" s="195"/>
      <c r="D514" s="224"/>
      <c r="E514" s="158"/>
    </row>
    <row r="515">
      <c r="A515" s="334" t="s">
        <v>320</v>
      </c>
      <c r="B515" s="322" t="s">
        <v>15</v>
      </c>
      <c r="C515" s="195"/>
      <c r="D515" s="224"/>
      <c r="E515" s="158"/>
    </row>
    <row r="516">
      <c r="A516" s="196" t="s">
        <v>321</v>
      </c>
      <c r="B516" s="322" t="s">
        <v>16</v>
      </c>
      <c r="C516" s="195"/>
      <c r="D516" s="224"/>
      <c r="E516" s="158"/>
    </row>
    <row r="517">
      <c r="A517" s="322" t="s">
        <v>9</v>
      </c>
      <c r="B517" s="322" t="s">
        <v>17</v>
      </c>
      <c r="C517" s="195"/>
      <c r="D517" s="224"/>
      <c r="E517" s="158"/>
    </row>
    <row r="518">
      <c r="A518" s="322" t="s">
        <v>10</v>
      </c>
      <c r="B518" s="322" t="s">
        <v>18</v>
      </c>
      <c r="C518" s="195"/>
      <c r="D518" s="224"/>
      <c r="E518" s="158"/>
    </row>
    <row r="519">
      <c r="A519" s="322" t="s">
        <v>11</v>
      </c>
      <c r="B519" s="322" t="s">
        <v>19</v>
      </c>
      <c r="C519" s="195"/>
      <c r="D519" s="224"/>
      <c r="E519" s="158"/>
    </row>
    <row r="520">
      <c r="A520" s="196" t="s">
        <v>12</v>
      </c>
      <c r="B520" s="322" t="s">
        <v>20</v>
      </c>
      <c r="C520" s="195"/>
      <c r="D520" s="224"/>
      <c r="E520" s="158"/>
    </row>
    <row r="521">
      <c r="A521" s="322" t="s">
        <v>13</v>
      </c>
      <c r="B521" s="322" t="s">
        <v>21</v>
      </c>
      <c r="C521" s="195"/>
      <c r="D521" s="224"/>
      <c r="E521" s="158"/>
    </row>
    <row r="522">
      <c r="A522" s="322" t="s">
        <v>14</v>
      </c>
      <c r="B522" s="322" t="s">
        <v>22</v>
      </c>
      <c r="C522" s="195"/>
      <c r="D522" s="224"/>
      <c r="E522" s="158"/>
    </row>
    <row r="523">
      <c r="A523" s="322" t="s">
        <v>15</v>
      </c>
      <c r="B523" s="322" t="s">
        <v>23</v>
      </c>
      <c r="C523" s="195"/>
      <c r="D523" s="224"/>
      <c r="E523" s="158"/>
    </row>
    <row r="524">
      <c r="A524" s="322" t="s">
        <v>16</v>
      </c>
      <c r="B524" s="322" t="s">
        <v>25</v>
      </c>
      <c r="C524" s="195"/>
      <c r="D524" s="224"/>
      <c r="E524" s="158"/>
    </row>
    <row r="525">
      <c r="A525" s="322" t="s">
        <v>17</v>
      </c>
      <c r="B525" s="322" t="s">
        <v>26</v>
      </c>
      <c r="C525" s="195"/>
      <c r="D525" s="224"/>
      <c r="E525" s="158"/>
    </row>
    <row r="526">
      <c r="A526" s="322" t="s">
        <v>18</v>
      </c>
      <c r="B526" s="196" t="s">
        <v>30</v>
      </c>
      <c r="C526" s="195"/>
      <c r="D526" s="224"/>
      <c r="E526" s="158"/>
    </row>
    <row r="527">
      <c r="A527" s="322" t="s">
        <v>19</v>
      </c>
      <c r="B527" s="196"/>
      <c r="C527" s="195"/>
      <c r="D527" s="224"/>
      <c r="E527" s="158"/>
    </row>
    <row r="528">
      <c r="A528" s="322" t="s">
        <v>20</v>
      </c>
      <c r="B528" s="222"/>
      <c r="C528" s="195"/>
      <c r="D528" s="224"/>
      <c r="E528" s="158"/>
    </row>
    <row r="529">
      <c r="A529" s="322" t="s">
        <v>21</v>
      </c>
      <c r="B529" s="222"/>
      <c r="C529" s="195"/>
      <c r="D529" s="224"/>
      <c r="E529" s="158"/>
    </row>
    <row r="530">
      <c r="A530" s="322" t="s">
        <v>22</v>
      </c>
      <c r="B530" s="222"/>
      <c r="C530" s="195"/>
      <c r="D530" s="224"/>
      <c r="E530" s="158"/>
    </row>
    <row r="531">
      <c r="A531" s="322" t="s">
        <v>23</v>
      </c>
      <c r="B531" s="222"/>
      <c r="C531" s="195"/>
      <c r="D531" s="224"/>
      <c r="E531" s="158"/>
    </row>
    <row r="532">
      <c r="A532" s="322" t="s">
        <v>25</v>
      </c>
      <c r="B532" s="222"/>
      <c r="C532" s="322" t="s">
        <v>74</v>
      </c>
      <c r="D532" s="224"/>
      <c r="E532" s="158"/>
    </row>
    <row r="533">
      <c r="A533" s="322" t="s">
        <v>26</v>
      </c>
      <c r="B533" s="222"/>
      <c r="C533" s="322" t="s">
        <v>1</v>
      </c>
      <c r="D533" s="224"/>
      <c r="E533" s="158"/>
    </row>
    <row r="534">
      <c r="A534" s="196" t="s">
        <v>30</v>
      </c>
      <c r="B534" s="222"/>
      <c r="C534" s="161" t="s">
        <v>2</v>
      </c>
      <c r="D534" s="224"/>
      <c r="E534" s="158"/>
    </row>
    <row r="535">
      <c r="A535" s="196" t="s">
        <v>390</v>
      </c>
      <c r="B535" s="222"/>
      <c r="C535" s="322" t="s">
        <v>3</v>
      </c>
      <c r="D535" s="224"/>
      <c r="E535" s="158"/>
    </row>
    <row r="536">
      <c r="A536" s="158"/>
      <c r="B536" s="222"/>
      <c r="C536" s="322" t="s">
        <v>4</v>
      </c>
      <c r="D536" s="224"/>
      <c r="E536" s="158"/>
    </row>
    <row r="537">
      <c r="A537" s="158"/>
      <c r="B537" s="222"/>
      <c r="C537" s="322" t="s">
        <v>319</v>
      </c>
      <c r="D537" s="224"/>
      <c r="E537" s="158"/>
    </row>
    <row r="538">
      <c r="A538" s="158"/>
      <c r="B538" s="222"/>
      <c r="C538" s="322" t="s">
        <v>320</v>
      </c>
      <c r="D538" s="224"/>
      <c r="E538" s="158"/>
    </row>
    <row r="539">
      <c r="A539" s="158"/>
      <c r="B539" s="222"/>
      <c r="C539" s="322" t="s">
        <v>321</v>
      </c>
      <c r="D539" s="224"/>
      <c r="E539" s="158"/>
    </row>
    <row r="540">
      <c r="A540" s="158"/>
      <c r="B540" s="222"/>
      <c r="C540" s="322" t="s">
        <v>9</v>
      </c>
      <c r="D540" s="224"/>
      <c r="E540" s="158"/>
    </row>
    <row r="541">
      <c r="A541" s="158"/>
      <c r="B541" s="222"/>
      <c r="C541" s="322" t="s">
        <v>139</v>
      </c>
      <c r="D541" s="224"/>
      <c r="E541" s="158"/>
    </row>
    <row r="542">
      <c r="A542" s="158"/>
      <c r="B542" s="222"/>
      <c r="C542" s="322" t="s">
        <v>11</v>
      </c>
      <c r="D542" s="224"/>
      <c r="E542" s="158"/>
    </row>
    <row r="543">
      <c r="A543" s="158"/>
      <c r="B543" s="222"/>
      <c r="C543" s="322" t="s">
        <v>12</v>
      </c>
      <c r="D543" s="224"/>
      <c r="E543" s="158"/>
    </row>
    <row r="544">
      <c r="A544" s="158"/>
      <c r="B544" s="222"/>
      <c r="C544" s="324" t="s">
        <v>13</v>
      </c>
      <c r="D544" s="323" t="s">
        <v>383</v>
      </c>
      <c r="E544" s="196" t="s">
        <v>74</v>
      </c>
    </row>
    <row r="545">
      <c r="A545" s="158"/>
      <c r="B545" s="222"/>
      <c r="C545" s="324" t="s">
        <v>14</v>
      </c>
      <c r="D545" s="323" t="s">
        <v>1</v>
      </c>
      <c r="E545" s="196" t="s">
        <v>1</v>
      </c>
    </row>
    <row r="546">
      <c r="A546" s="158"/>
      <c r="B546" s="222"/>
      <c r="C546" s="324" t="s">
        <v>78</v>
      </c>
      <c r="D546" s="196" t="s">
        <v>2</v>
      </c>
      <c r="E546" s="196" t="s">
        <v>2</v>
      </c>
    </row>
    <row r="547">
      <c r="A547" s="158"/>
      <c r="B547" s="222"/>
      <c r="C547" s="324" t="s">
        <v>79</v>
      </c>
      <c r="D547" s="323" t="s">
        <v>3</v>
      </c>
      <c r="E547" s="196" t="s">
        <v>3</v>
      </c>
    </row>
    <row r="548">
      <c r="A548" s="158"/>
      <c r="B548" s="222"/>
      <c r="C548" s="324" t="s">
        <v>114</v>
      </c>
      <c r="D548" s="324" t="s">
        <v>4</v>
      </c>
      <c r="E548" s="322" t="s">
        <v>4</v>
      </c>
    </row>
    <row r="549">
      <c r="A549" s="158"/>
      <c r="B549" s="222"/>
      <c r="C549" s="324" t="s">
        <v>115</v>
      </c>
      <c r="D549" s="324" t="s">
        <v>319</v>
      </c>
      <c r="E549" s="322" t="s">
        <v>319</v>
      </c>
    </row>
    <row r="550">
      <c r="A550" s="158"/>
      <c r="B550" s="222"/>
      <c r="C550" s="324" t="s">
        <v>385</v>
      </c>
      <c r="D550" s="324" t="s">
        <v>320</v>
      </c>
      <c r="E550" s="322" t="s">
        <v>320</v>
      </c>
    </row>
    <row r="551">
      <c r="A551" s="158"/>
      <c r="B551" s="222"/>
      <c r="C551" s="324" t="s">
        <v>386</v>
      </c>
      <c r="D551" s="324" t="s">
        <v>75</v>
      </c>
      <c r="E551" s="322" t="s">
        <v>75</v>
      </c>
    </row>
    <row r="552">
      <c r="A552" s="158"/>
      <c r="B552" s="222"/>
      <c r="C552" s="324" t="s">
        <v>141</v>
      </c>
      <c r="D552" s="324" t="s">
        <v>9</v>
      </c>
      <c r="E552" s="322" t="s">
        <v>9</v>
      </c>
    </row>
    <row r="553">
      <c r="A553" s="158"/>
      <c r="B553" s="222"/>
      <c r="C553" s="324" t="s">
        <v>85</v>
      </c>
      <c r="D553" s="324" t="s">
        <v>10</v>
      </c>
      <c r="E553" s="322" t="s">
        <v>76</v>
      </c>
    </row>
    <row r="554">
      <c r="A554" s="158"/>
      <c r="B554" s="222"/>
      <c r="C554" s="324" t="s">
        <v>142</v>
      </c>
      <c r="D554" s="324" t="s">
        <v>11</v>
      </c>
      <c r="E554" s="322" t="s">
        <v>77</v>
      </c>
    </row>
    <row r="555">
      <c r="A555" s="158"/>
      <c r="B555" s="222"/>
      <c r="C555" s="322" t="s">
        <v>87</v>
      </c>
      <c r="D555" s="323" t="s">
        <v>12</v>
      </c>
      <c r="E555" s="196" t="s">
        <v>12</v>
      </c>
    </row>
    <row r="556">
      <c r="A556" s="158"/>
      <c r="B556" s="222"/>
      <c r="C556" s="322" t="s">
        <v>387</v>
      </c>
      <c r="D556" s="324" t="s">
        <v>13</v>
      </c>
      <c r="E556" s="324" t="s">
        <v>13</v>
      </c>
    </row>
    <row r="557">
      <c r="A557" s="158"/>
      <c r="B557" s="222"/>
      <c r="C557" s="322" t="s">
        <v>388</v>
      </c>
      <c r="D557" s="324" t="s">
        <v>14</v>
      </c>
      <c r="E557" s="324" t="s">
        <v>14</v>
      </c>
    </row>
    <row r="558">
      <c r="A558" s="158"/>
      <c r="B558" s="222"/>
      <c r="C558" s="322" t="s">
        <v>389</v>
      </c>
      <c r="D558" s="324" t="s">
        <v>78</v>
      </c>
      <c r="E558" s="324" t="s">
        <v>78</v>
      </c>
    </row>
    <row r="559">
      <c r="A559" s="158"/>
      <c r="B559" s="222"/>
      <c r="C559" s="322" t="s">
        <v>30</v>
      </c>
      <c r="D559" s="324" t="s">
        <v>79</v>
      </c>
      <c r="E559" s="324" t="s">
        <v>79</v>
      </c>
    </row>
    <row r="560">
      <c r="A560" s="158"/>
      <c r="B560" s="222"/>
      <c r="C560" s="195"/>
      <c r="D560" s="324" t="s">
        <v>114</v>
      </c>
      <c r="E560" s="324" t="s">
        <v>114</v>
      </c>
    </row>
    <row r="561">
      <c r="A561" s="158"/>
      <c r="B561" s="222"/>
      <c r="C561" s="195"/>
      <c r="D561" s="324" t="s">
        <v>115</v>
      </c>
      <c r="E561" s="324" t="s">
        <v>115</v>
      </c>
    </row>
    <row r="562">
      <c r="A562" s="158"/>
      <c r="B562" s="222"/>
      <c r="C562" s="195"/>
      <c r="D562" s="324" t="s">
        <v>385</v>
      </c>
      <c r="E562" s="324" t="s">
        <v>385</v>
      </c>
    </row>
    <row r="563">
      <c r="A563" s="158"/>
      <c r="B563" s="196" t="s">
        <v>74</v>
      </c>
      <c r="C563" s="195"/>
      <c r="D563" s="324" t="s">
        <v>386</v>
      </c>
      <c r="E563" s="324" t="s">
        <v>386</v>
      </c>
    </row>
    <row r="564">
      <c r="A564" s="158"/>
      <c r="B564" s="196" t="s">
        <v>1</v>
      </c>
      <c r="C564" s="195"/>
      <c r="D564" s="324" t="s">
        <v>141</v>
      </c>
      <c r="E564" s="324" t="s">
        <v>141</v>
      </c>
    </row>
    <row r="565">
      <c r="A565" s="158"/>
      <c r="B565" s="196" t="s">
        <v>2</v>
      </c>
      <c r="C565" s="195"/>
      <c r="D565" s="324" t="s">
        <v>85</v>
      </c>
      <c r="E565" s="324" t="s">
        <v>85</v>
      </c>
    </row>
    <row r="566">
      <c r="A566" s="158"/>
      <c r="B566" s="196" t="s">
        <v>3</v>
      </c>
      <c r="C566" s="195"/>
      <c r="D566" s="324" t="s">
        <v>142</v>
      </c>
      <c r="E566" s="324" t="s">
        <v>86</v>
      </c>
    </row>
    <row r="567">
      <c r="A567" s="158"/>
      <c r="B567" s="322" t="s">
        <v>4</v>
      </c>
      <c r="C567" s="195"/>
      <c r="D567" s="324" t="s">
        <v>87</v>
      </c>
      <c r="E567" s="324" t="s">
        <v>87</v>
      </c>
    </row>
    <row r="568">
      <c r="A568" s="158"/>
      <c r="B568" s="334" t="s">
        <v>319</v>
      </c>
      <c r="C568" s="195"/>
      <c r="D568" s="324" t="s">
        <v>25</v>
      </c>
      <c r="E568" s="322" t="s">
        <v>387</v>
      </c>
    </row>
    <row r="569">
      <c r="A569" s="158"/>
      <c r="B569" s="334" t="s">
        <v>320</v>
      </c>
      <c r="C569" s="195"/>
      <c r="D569" s="324" t="s">
        <v>26</v>
      </c>
      <c r="E569" s="322" t="s">
        <v>388</v>
      </c>
    </row>
    <row r="570">
      <c r="A570" s="158"/>
      <c r="B570" s="196" t="s">
        <v>321</v>
      </c>
      <c r="C570" s="195"/>
      <c r="D570" s="324" t="s">
        <v>382</v>
      </c>
      <c r="E570" s="324" t="s">
        <v>382</v>
      </c>
    </row>
    <row r="571">
      <c r="A571" s="196" t="s">
        <v>38</v>
      </c>
      <c r="B571" s="322" t="s">
        <v>9</v>
      </c>
      <c r="C571" s="195"/>
      <c r="D571" s="323" t="s">
        <v>30</v>
      </c>
      <c r="E571" s="322" t="s">
        <v>30</v>
      </c>
    </row>
    <row r="572">
      <c r="A572" s="196" t="s">
        <v>1</v>
      </c>
      <c r="B572" s="322" t="s">
        <v>10</v>
      </c>
      <c r="C572" s="195"/>
      <c r="D572" s="224"/>
      <c r="E572" s="158"/>
    </row>
    <row r="573">
      <c r="A573" s="196" t="s">
        <v>2</v>
      </c>
      <c r="B573" s="322" t="s">
        <v>11</v>
      </c>
      <c r="C573" s="195"/>
      <c r="D573" s="224"/>
      <c r="E573" s="158"/>
    </row>
    <row r="574">
      <c r="A574" s="196" t="s">
        <v>384</v>
      </c>
      <c r="B574" s="196" t="s">
        <v>12</v>
      </c>
      <c r="C574" s="195"/>
      <c r="D574" s="224"/>
      <c r="E574" s="158"/>
    </row>
    <row r="575">
      <c r="A575" s="196" t="s">
        <v>3</v>
      </c>
      <c r="B575" s="322" t="s">
        <v>13</v>
      </c>
      <c r="C575" s="195"/>
      <c r="D575" s="224"/>
      <c r="E575" s="158"/>
    </row>
    <row r="576">
      <c r="A576" s="322" t="s">
        <v>4</v>
      </c>
      <c r="B576" s="322" t="s">
        <v>14</v>
      </c>
      <c r="C576" s="195"/>
      <c r="D576" s="224"/>
      <c r="E576" s="158"/>
    </row>
    <row r="577">
      <c r="A577" s="334" t="s">
        <v>319</v>
      </c>
      <c r="B577" s="322" t="s">
        <v>15</v>
      </c>
      <c r="C577" s="195"/>
      <c r="D577" s="224"/>
      <c r="E577" s="158"/>
    </row>
    <row r="578">
      <c r="A578" s="334" t="s">
        <v>320</v>
      </c>
      <c r="B578" s="322" t="s">
        <v>16</v>
      </c>
      <c r="C578" s="195"/>
      <c r="D578" s="224"/>
      <c r="E578" s="158"/>
    </row>
    <row r="579">
      <c r="A579" s="196" t="s">
        <v>321</v>
      </c>
      <c r="B579" s="322" t="s">
        <v>17</v>
      </c>
      <c r="C579" s="195"/>
      <c r="D579" s="224"/>
      <c r="E579" s="158"/>
    </row>
    <row r="580">
      <c r="A580" s="322" t="s">
        <v>9</v>
      </c>
      <c r="B580" s="322" t="s">
        <v>18</v>
      </c>
      <c r="C580" s="322" t="s">
        <v>74</v>
      </c>
      <c r="D580" s="224"/>
      <c r="E580" s="158"/>
    </row>
    <row r="581">
      <c r="A581" s="322" t="s">
        <v>10</v>
      </c>
      <c r="B581" s="322" t="s">
        <v>19</v>
      </c>
      <c r="C581" s="322" t="s">
        <v>1</v>
      </c>
      <c r="D581" s="224"/>
      <c r="E581" s="158"/>
    </row>
    <row r="582">
      <c r="A582" s="322" t="s">
        <v>11</v>
      </c>
      <c r="B582" s="322" t="s">
        <v>20</v>
      </c>
      <c r="C582" s="161" t="s">
        <v>2</v>
      </c>
      <c r="D582" s="224"/>
      <c r="E582" s="158"/>
    </row>
    <row r="583">
      <c r="A583" s="196" t="s">
        <v>12</v>
      </c>
      <c r="B583" s="322" t="s">
        <v>21</v>
      </c>
      <c r="C583" s="322" t="s">
        <v>3</v>
      </c>
      <c r="D583" s="224"/>
      <c r="E583" s="158"/>
    </row>
    <row r="584">
      <c r="A584" s="322" t="s">
        <v>13</v>
      </c>
      <c r="B584" s="322" t="s">
        <v>22</v>
      </c>
      <c r="C584" s="322" t="s">
        <v>4</v>
      </c>
      <c r="D584" s="224"/>
      <c r="E584" s="158"/>
    </row>
    <row r="585">
      <c r="A585" s="322" t="s">
        <v>14</v>
      </c>
      <c r="B585" s="322" t="s">
        <v>23</v>
      </c>
      <c r="C585" s="322" t="s">
        <v>319</v>
      </c>
      <c r="D585" s="224"/>
      <c r="E585" s="158"/>
    </row>
    <row r="586">
      <c r="A586" s="322" t="s">
        <v>15</v>
      </c>
      <c r="B586" s="322" t="s">
        <v>25</v>
      </c>
      <c r="C586" s="322" t="s">
        <v>320</v>
      </c>
      <c r="D586" s="224"/>
      <c r="E586" s="158"/>
    </row>
    <row r="587">
      <c r="A587" s="322" t="s">
        <v>16</v>
      </c>
      <c r="B587" s="322" t="s">
        <v>26</v>
      </c>
      <c r="C587" s="322" t="s">
        <v>321</v>
      </c>
      <c r="D587" s="224"/>
      <c r="E587" s="158"/>
    </row>
    <row r="588">
      <c r="A588" s="322" t="s">
        <v>17</v>
      </c>
      <c r="B588" s="196" t="s">
        <v>30</v>
      </c>
      <c r="C588" s="322" t="s">
        <v>9</v>
      </c>
      <c r="D588" s="224"/>
      <c r="E588" s="158"/>
    </row>
    <row r="589">
      <c r="A589" s="322" t="s">
        <v>18</v>
      </c>
      <c r="B589" s="196"/>
      <c r="C589" s="322" t="s">
        <v>139</v>
      </c>
      <c r="D589" s="224"/>
      <c r="E589" s="158"/>
    </row>
    <row r="590">
      <c r="A590" s="322" t="s">
        <v>19</v>
      </c>
      <c r="B590" s="222"/>
      <c r="C590" s="322" t="s">
        <v>11</v>
      </c>
      <c r="D590" s="224"/>
      <c r="E590" s="158"/>
    </row>
    <row r="591">
      <c r="A591" s="322" t="s">
        <v>20</v>
      </c>
      <c r="B591" s="222"/>
      <c r="C591" s="322" t="s">
        <v>12</v>
      </c>
      <c r="D591" s="224"/>
      <c r="E591" s="158"/>
    </row>
    <row r="592">
      <c r="A592" s="322" t="s">
        <v>21</v>
      </c>
      <c r="B592" s="222"/>
      <c r="C592" s="324" t="s">
        <v>13</v>
      </c>
      <c r="D592" s="224"/>
      <c r="E592" s="158"/>
    </row>
    <row r="593">
      <c r="A593" s="322" t="s">
        <v>22</v>
      </c>
      <c r="B593" s="222"/>
      <c r="C593" s="324" t="s">
        <v>14</v>
      </c>
      <c r="D593" s="224"/>
      <c r="E593" s="158"/>
    </row>
    <row r="594">
      <c r="A594" s="322" t="s">
        <v>23</v>
      </c>
      <c r="B594" s="222"/>
      <c r="C594" s="324" t="s">
        <v>78</v>
      </c>
      <c r="D594" s="224"/>
      <c r="E594" s="158"/>
    </row>
    <row r="595">
      <c r="A595" s="322" t="s">
        <v>25</v>
      </c>
      <c r="B595" s="222"/>
      <c r="C595" s="324" t="s">
        <v>79</v>
      </c>
      <c r="D595" s="224"/>
      <c r="E595" s="158"/>
    </row>
    <row r="596">
      <c r="A596" s="322" t="s">
        <v>26</v>
      </c>
      <c r="B596" s="222"/>
      <c r="C596" s="324" t="s">
        <v>114</v>
      </c>
      <c r="D596" s="224"/>
      <c r="E596" s="158"/>
    </row>
    <row r="597">
      <c r="A597" s="196" t="s">
        <v>30</v>
      </c>
      <c r="B597" s="222"/>
      <c r="C597" s="324" t="s">
        <v>115</v>
      </c>
      <c r="D597" s="224"/>
      <c r="E597" s="158"/>
    </row>
    <row r="598">
      <c r="A598" s="196" t="s">
        <v>390</v>
      </c>
      <c r="B598" s="222"/>
      <c r="C598" s="324" t="s">
        <v>385</v>
      </c>
      <c r="D598" s="224"/>
      <c r="E598" s="158"/>
    </row>
    <row r="599">
      <c r="A599" s="158"/>
      <c r="B599" s="222"/>
      <c r="C599" s="324" t="s">
        <v>386</v>
      </c>
      <c r="D599" s="224"/>
      <c r="E599" s="158"/>
    </row>
    <row r="600">
      <c r="A600" s="158"/>
      <c r="B600" s="222"/>
      <c r="C600" s="324" t="s">
        <v>141</v>
      </c>
      <c r="D600" s="224"/>
      <c r="E600" s="158"/>
    </row>
    <row r="601">
      <c r="A601" s="158"/>
      <c r="B601" s="222"/>
      <c r="C601" s="324" t="s">
        <v>85</v>
      </c>
      <c r="D601" s="224"/>
      <c r="E601" s="158"/>
    </row>
    <row r="602">
      <c r="A602" s="158"/>
      <c r="B602" s="222"/>
      <c r="C602" s="324" t="s">
        <v>142</v>
      </c>
      <c r="D602" s="224"/>
      <c r="E602" s="158"/>
    </row>
    <row r="603">
      <c r="A603" s="158"/>
      <c r="B603" s="222"/>
      <c r="C603" s="322" t="s">
        <v>87</v>
      </c>
      <c r="D603" s="224"/>
      <c r="E603" s="158"/>
    </row>
    <row r="604">
      <c r="A604" s="158"/>
      <c r="B604" s="222"/>
      <c r="C604" s="322" t="s">
        <v>387</v>
      </c>
      <c r="D604" s="323" t="s">
        <v>383</v>
      </c>
      <c r="E604" s="196" t="s">
        <v>74</v>
      </c>
    </row>
    <row r="605">
      <c r="A605" s="158"/>
      <c r="B605" s="222"/>
      <c r="C605" s="322" t="s">
        <v>388</v>
      </c>
      <c r="D605" s="323" t="s">
        <v>1</v>
      </c>
      <c r="E605" s="196" t="s">
        <v>1</v>
      </c>
    </row>
    <row r="606">
      <c r="A606" s="158"/>
      <c r="B606" s="222"/>
      <c r="C606" s="322" t="s">
        <v>389</v>
      </c>
      <c r="D606" s="196" t="s">
        <v>2</v>
      </c>
      <c r="E606" s="196" t="s">
        <v>2</v>
      </c>
    </row>
    <row r="607">
      <c r="A607" s="158"/>
      <c r="B607" s="222"/>
      <c r="C607" s="322" t="s">
        <v>30</v>
      </c>
      <c r="D607" s="323" t="s">
        <v>3</v>
      </c>
      <c r="E607" s="196" t="s">
        <v>3</v>
      </c>
    </row>
    <row r="608">
      <c r="A608" s="158"/>
      <c r="B608" s="222"/>
      <c r="C608" s="195"/>
      <c r="D608" s="324" t="s">
        <v>4</v>
      </c>
      <c r="E608" s="322" t="s">
        <v>4</v>
      </c>
    </row>
    <row r="609">
      <c r="A609" s="158"/>
      <c r="B609" s="222"/>
      <c r="C609" s="195"/>
      <c r="D609" s="324" t="s">
        <v>319</v>
      </c>
      <c r="E609" s="322" t="s">
        <v>319</v>
      </c>
    </row>
    <row r="610">
      <c r="A610" s="158"/>
      <c r="B610" s="222"/>
      <c r="C610" s="195"/>
      <c r="D610" s="324" t="s">
        <v>320</v>
      </c>
      <c r="E610" s="322" t="s">
        <v>320</v>
      </c>
    </row>
    <row r="611">
      <c r="A611" s="158"/>
      <c r="B611" s="222"/>
      <c r="C611" s="195"/>
      <c r="D611" s="324" t="s">
        <v>75</v>
      </c>
      <c r="E611" s="322" t="s">
        <v>75</v>
      </c>
    </row>
    <row r="612">
      <c r="A612" s="158"/>
      <c r="B612" s="222"/>
      <c r="C612" s="195"/>
      <c r="D612" s="324" t="s">
        <v>9</v>
      </c>
      <c r="E612" s="322" t="s">
        <v>9</v>
      </c>
    </row>
    <row r="613">
      <c r="A613" s="158"/>
      <c r="B613" s="222"/>
      <c r="C613" s="195"/>
      <c r="D613" s="324" t="s">
        <v>10</v>
      </c>
      <c r="E613" s="322" t="s">
        <v>76</v>
      </c>
    </row>
    <row r="614">
      <c r="A614" s="158"/>
      <c r="B614" s="222"/>
      <c r="C614" s="195"/>
      <c r="D614" s="324" t="s">
        <v>11</v>
      </c>
      <c r="E614" s="322" t="s">
        <v>77</v>
      </c>
    </row>
    <row r="615">
      <c r="A615" s="158"/>
      <c r="B615" s="222"/>
      <c r="C615" s="195"/>
      <c r="D615" s="323" t="s">
        <v>12</v>
      </c>
      <c r="E615" s="196" t="s">
        <v>12</v>
      </c>
    </row>
    <row r="616">
      <c r="A616" s="158"/>
      <c r="B616" s="222"/>
      <c r="C616" s="195"/>
      <c r="D616" s="324" t="s">
        <v>13</v>
      </c>
      <c r="E616" s="324" t="s">
        <v>13</v>
      </c>
    </row>
    <row r="617">
      <c r="A617" s="158"/>
      <c r="B617" s="222"/>
      <c r="C617" s="195"/>
      <c r="D617" s="324" t="s">
        <v>14</v>
      </c>
      <c r="E617" s="324" t="s">
        <v>14</v>
      </c>
    </row>
    <row r="618">
      <c r="A618" s="158"/>
      <c r="B618" s="222"/>
      <c r="C618" s="195"/>
      <c r="D618" s="324" t="s">
        <v>78</v>
      </c>
      <c r="E618" s="324" t="s">
        <v>78</v>
      </c>
    </row>
    <row r="619">
      <c r="A619" s="158"/>
      <c r="B619" s="222"/>
      <c r="C619" s="195"/>
      <c r="D619" s="324" t="s">
        <v>79</v>
      </c>
      <c r="E619" s="324" t="s">
        <v>79</v>
      </c>
    </row>
    <row r="620">
      <c r="A620" s="158"/>
      <c r="B620" s="222"/>
      <c r="C620" s="195"/>
      <c r="D620" s="324" t="s">
        <v>114</v>
      </c>
      <c r="E620" s="324" t="s">
        <v>114</v>
      </c>
    </row>
    <row r="621">
      <c r="A621" s="158"/>
      <c r="B621" s="222"/>
      <c r="C621" s="195"/>
      <c r="D621" s="324" t="s">
        <v>115</v>
      </c>
      <c r="E621" s="324" t="s">
        <v>115</v>
      </c>
    </row>
    <row r="622">
      <c r="A622" s="158"/>
      <c r="B622" s="222"/>
      <c r="C622" s="195"/>
      <c r="D622" s="324" t="s">
        <v>385</v>
      </c>
      <c r="E622" s="324" t="s">
        <v>385</v>
      </c>
    </row>
    <row r="623">
      <c r="A623" s="158"/>
      <c r="B623" s="222"/>
      <c r="C623" s="195"/>
      <c r="D623" s="324" t="s">
        <v>386</v>
      </c>
      <c r="E623" s="324" t="s">
        <v>386</v>
      </c>
    </row>
    <row r="624">
      <c r="A624" s="158"/>
      <c r="B624" s="222"/>
      <c r="C624" s="195"/>
      <c r="D624" s="324" t="s">
        <v>141</v>
      </c>
      <c r="E624" s="324" t="s">
        <v>141</v>
      </c>
    </row>
    <row r="625">
      <c r="A625" s="158"/>
      <c r="B625" s="196" t="s">
        <v>74</v>
      </c>
      <c r="C625" s="195"/>
      <c r="D625" s="324" t="s">
        <v>85</v>
      </c>
      <c r="E625" s="324" t="s">
        <v>85</v>
      </c>
    </row>
    <row r="626">
      <c r="A626" s="158"/>
      <c r="B626" s="196" t="s">
        <v>1</v>
      </c>
      <c r="C626" s="195"/>
      <c r="D626" s="324" t="s">
        <v>142</v>
      </c>
      <c r="E626" s="324" t="s">
        <v>86</v>
      </c>
    </row>
    <row r="627">
      <c r="A627" s="158"/>
      <c r="B627" s="196" t="s">
        <v>2</v>
      </c>
      <c r="C627" s="195"/>
      <c r="D627" s="324" t="s">
        <v>87</v>
      </c>
      <c r="E627" s="324" t="s">
        <v>87</v>
      </c>
    </row>
    <row r="628">
      <c r="A628" s="158"/>
      <c r="B628" s="196" t="s">
        <v>3</v>
      </c>
      <c r="C628" s="322" t="s">
        <v>74</v>
      </c>
      <c r="D628" s="324" t="s">
        <v>25</v>
      </c>
      <c r="E628" s="322" t="s">
        <v>387</v>
      </c>
    </row>
    <row r="629">
      <c r="A629" s="158"/>
      <c r="B629" s="322" t="s">
        <v>4</v>
      </c>
      <c r="C629" s="322" t="s">
        <v>1</v>
      </c>
      <c r="D629" s="324" t="s">
        <v>26</v>
      </c>
      <c r="E629" s="322" t="s">
        <v>388</v>
      </c>
    </row>
    <row r="630">
      <c r="A630" s="158"/>
      <c r="B630" s="334" t="s">
        <v>319</v>
      </c>
      <c r="C630" s="161" t="s">
        <v>2</v>
      </c>
      <c r="D630" s="324" t="s">
        <v>382</v>
      </c>
      <c r="E630" s="324" t="s">
        <v>382</v>
      </c>
    </row>
    <row r="631">
      <c r="A631" s="158"/>
      <c r="B631" s="334" t="s">
        <v>320</v>
      </c>
      <c r="C631" s="322" t="s">
        <v>3</v>
      </c>
      <c r="D631" s="323" t="s">
        <v>30</v>
      </c>
      <c r="E631" s="322" t="s">
        <v>30</v>
      </c>
    </row>
    <row r="632">
      <c r="A632" s="158"/>
      <c r="B632" s="196" t="s">
        <v>321</v>
      </c>
      <c r="C632" s="322" t="s">
        <v>4</v>
      </c>
      <c r="D632" s="224"/>
      <c r="E632" s="158"/>
    </row>
    <row r="633">
      <c r="A633" s="158"/>
      <c r="B633" s="322" t="s">
        <v>9</v>
      </c>
      <c r="C633" s="322" t="s">
        <v>319</v>
      </c>
      <c r="D633" s="224"/>
      <c r="E633" s="158"/>
    </row>
    <row r="634">
      <c r="A634" s="196" t="s">
        <v>38</v>
      </c>
      <c r="B634" s="322" t="s">
        <v>10</v>
      </c>
      <c r="C634" s="322" t="s">
        <v>320</v>
      </c>
      <c r="D634" s="224"/>
      <c r="E634" s="158"/>
    </row>
    <row r="635">
      <c r="A635" s="196" t="s">
        <v>1</v>
      </c>
      <c r="B635" s="322" t="s">
        <v>11</v>
      </c>
      <c r="C635" s="322" t="s">
        <v>321</v>
      </c>
      <c r="D635" s="224"/>
      <c r="E635" s="158"/>
    </row>
    <row r="636">
      <c r="A636" s="196" t="s">
        <v>2</v>
      </c>
      <c r="B636" s="196" t="s">
        <v>12</v>
      </c>
      <c r="C636" s="322" t="s">
        <v>9</v>
      </c>
      <c r="D636" s="224"/>
      <c r="E636" s="158"/>
    </row>
    <row r="637">
      <c r="A637" s="196" t="s">
        <v>384</v>
      </c>
      <c r="B637" s="322" t="s">
        <v>13</v>
      </c>
      <c r="C637" s="322" t="s">
        <v>139</v>
      </c>
      <c r="D637" s="224"/>
      <c r="E637" s="158"/>
    </row>
    <row r="638">
      <c r="A638" s="196" t="s">
        <v>3</v>
      </c>
      <c r="B638" s="322" t="s">
        <v>14</v>
      </c>
      <c r="C638" s="322" t="s">
        <v>11</v>
      </c>
      <c r="D638" s="224"/>
      <c r="E638" s="158"/>
    </row>
    <row r="639">
      <c r="A639" s="322" t="s">
        <v>4</v>
      </c>
      <c r="B639" s="322" t="s">
        <v>15</v>
      </c>
      <c r="C639" s="322" t="s">
        <v>12</v>
      </c>
      <c r="D639" s="224"/>
      <c r="E639" s="158"/>
    </row>
    <row r="640">
      <c r="A640" s="334" t="s">
        <v>319</v>
      </c>
      <c r="B640" s="322" t="s">
        <v>16</v>
      </c>
      <c r="C640" s="324" t="s">
        <v>13</v>
      </c>
      <c r="D640" s="224"/>
      <c r="E640" s="158"/>
    </row>
    <row r="641">
      <c r="A641" s="334" t="s">
        <v>320</v>
      </c>
      <c r="B641" s="322" t="s">
        <v>17</v>
      </c>
      <c r="C641" s="324" t="s">
        <v>14</v>
      </c>
      <c r="D641" s="224"/>
      <c r="E641" s="158"/>
    </row>
    <row r="642">
      <c r="A642" s="196" t="s">
        <v>321</v>
      </c>
      <c r="B642" s="322" t="s">
        <v>18</v>
      </c>
      <c r="C642" s="324" t="s">
        <v>78</v>
      </c>
      <c r="D642" s="224"/>
      <c r="E642" s="158"/>
    </row>
    <row r="643">
      <c r="A643" s="322" t="s">
        <v>9</v>
      </c>
      <c r="B643" s="322" t="s">
        <v>19</v>
      </c>
      <c r="C643" s="324" t="s">
        <v>79</v>
      </c>
      <c r="D643" s="224"/>
      <c r="E643" s="158"/>
    </row>
    <row r="644">
      <c r="A644" s="322" t="s">
        <v>10</v>
      </c>
      <c r="B644" s="322" t="s">
        <v>20</v>
      </c>
      <c r="C644" s="324" t="s">
        <v>114</v>
      </c>
      <c r="D644" s="224"/>
      <c r="E644" s="158"/>
    </row>
    <row r="645">
      <c r="A645" s="322" t="s">
        <v>11</v>
      </c>
      <c r="B645" s="322" t="s">
        <v>21</v>
      </c>
      <c r="C645" s="324" t="s">
        <v>115</v>
      </c>
      <c r="D645" s="224"/>
      <c r="E645" s="158"/>
    </row>
    <row r="646">
      <c r="A646" s="196" t="s">
        <v>12</v>
      </c>
      <c r="B646" s="322" t="s">
        <v>22</v>
      </c>
      <c r="C646" s="324" t="s">
        <v>385</v>
      </c>
      <c r="D646" s="224"/>
      <c r="E646" s="158"/>
    </row>
    <row r="647">
      <c r="A647" s="322" t="s">
        <v>13</v>
      </c>
      <c r="B647" s="322" t="s">
        <v>23</v>
      </c>
      <c r="C647" s="324" t="s">
        <v>386</v>
      </c>
      <c r="D647" s="224"/>
      <c r="E647" s="158"/>
    </row>
    <row r="648">
      <c r="A648" s="322" t="s">
        <v>14</v>
      </c>
      <c r="B648" s="322" t="s">
        <v>25</v>
      </c>
      <c r="C648" s="324" t="s">
        <v>141</v>
      </c>
      <c r="D648" s="224"/>
      <c r="E648" s="158"/>
    </row>
    <row r="649">
      <c r="A649" s="322" t="s">
        <v>15</v>
      </c>
      <c r="B649" s="322" t="s">
        <v>26</v>
      </c>
      <c r="C649" s="324" t="s">
        <v>85</v>
      </c>
      <c r="D649" s="224"/>
      <c r="E649" s="158"/>
    </row>
    <row r="650">
      <c r="A650" s="322" t="s">
        <v>16</v>
      </c>
      <c r="B650" s="196" t="s">
        <v>30</v>
      </c>
      <c r="C650" s="324" t="s">
        <v>142</v>
      </c>
      <c r="D650" s="224"/>
      <c r="E650" s="158"/>
    </row>
    <row r="651">
      <c r="A651" s="322" t="s">
        <v>17</v>
      </c>
      <c r="B651" s="196"/>
      <c r="C651" s="322" t="s">
        <v>87</v>
      </c>
      <c r="D651" s="224"/>
      <c r="E651" s="158"/>
    </row>
    <row r="652">
      <c r="A652" s="322" t="s">
        <v>18</v>
      </c>
      <c r="B652" s="222"/>
      <c r="C652" s="322" t="s">
        <v>387</v>
      </c>
      <c r="D652" s="224"/>
      <c r="E652" s="158"/>
    </row>
    <row r="653">
      <c r="A653" s="322" t="s">
        <v>19</v>
      </c>
      <c r="B653" s="222"/>
      <c r="C653" s="322" t="s">
        <v>388</v>
      </c>
      <c r="D653" s="224"/>
      <c r="E653" s="158"/>
    </row>
    <row r="654">
      <c r="A654" s="322" t="s">
        <v>20</v>
      </c>
      <c r="B654" s="222"/>
      <c r="C654" s="322" t="s">
        <v>389</v>
      </c>
      <c r="D654" s="224"/>
      <c r="E654" s="158"/>
    </row>
    <row r="655">
      <c r="A655" s="322" t="s">
        <v>21</v>
      </c>
      <c r="B655" s="222"/>
      <c r="C655" s="322" t="s">
        <v>30</v>
      </c>
      <c r="D655" s="224"/>
      <c r="E655" s="158"/>
    </row>
    <row r="656">
      <c r="A656" s="322" t="s">
        <v>22</v>
      </c>
      <c r="B656" s="222"/>
      <c r="C656" s="195"/>
      <c r="D656" s="224"/>
      <c r="E656" s="158"/>
    </row>
    <row r="657">
      <c r="A657" s="322" t="s">
        <v>23</v>
      </c>
      <c r="B657" s="222"/>
      <c r="C657" s="195"/>
      <c r="D657" s="224"/>
      <c r="E657" s="158"/>
    </row>
    <row r="658">
      <c r="A658" s="322" t="s">
        <v>25</v>
      </c>
      <c r="B658" s="222"/>
      <c r="C658" s="195"/>
      <c r="D658" s="224"/>
      <c r="E658" s="158"/>
    </row>
    <row r="659">
      <c r="A659" s="322" t="s">
        <v>26</v>
      </c>
      <c r="B659" s="222"/>
      <c r="C659" s="195"/>
      <c r="D659" s="224"/>
      <c r="E659" s="158"/>
    </row>
    <row r="660">
      <c r="A660" s="196" t="s">
        <v>30</v>
      </c>
      <c r="B660" s="222"/>
      <c r="C660" s="195"/>
      <c r="D660" s="224"/>
      <c r="E660" s="158"/>
    </row>
    <row r="661">
      <c r="A661" s="196" t="s">
        <v>390</v>
      </c>
      <c r="B661" s="222"/>
      <c r="C661" s="195"/>
      <c r="D661" s="224"/>
      <c r="E661" s="158"/>
    </row>
    <row r="662">
      <c r="A662" s="158"/>
      <c r="B662" s="222"/>
      <c r="C662" s="195"/>
      <c r="D662" s="224"/>
      <c r="E662" s="158"/>
    </row>
    <row r="663">
      <c r="A663" s="158"/>
      <c r="B663" s="222"/>
      <c r="C663" s="195"/>
      <c r="D663" s="224"/>
      <c r="E663" s="158"/>
    </row>
    <row r="664">
      <c r="A664" s="158"/>
      <c r="B664" s="222"/>
      <c r="C664" s="195"/>
      <c r="D664" s="323" t="s">
        <v>383</v>
      </c>
      <c r="E664" s="196" t="s">
        <v>74</v>
      </c>
    </row>
    <row r="665">
      <c r="A665" s="158"/>
      <c r="B665" s="222"/>
      <c r="C665" s="195"/>
      <c r="D665" s="323" t="s">
        <v>1</v>
      </c>
      <c r="E665" s="196" t="s">
        <v>1</v>
      </c>
    </row>
    <row r="666">
      <c r="A666" s="158"/>
      <c r="B666" s="222"/>
      <c r="C666" s="195"/>
      <c r="D666" s="196" t="s">
        <v>2</v>
      </c>
      <c r="E666" s="196" t="s">
        <v>2</v>
      </c>
    </row>
    <row r="667">
      <c r="A667" s="158"/>
      <c r="B667" s="222"/>
      <c r="C667" s="195"/>
      <c r="D667" s="323" t="s">
        <v>3</v>
      </c>
      <c r="E667" s="196" t="s">
        <v>3</v>
      </c>
    </row>
    <row r="668">
      <c r="A668" s="158"/>
      <c r="B668" s="222"/>
      <c r="C668" s="195"/>
      <c r="D668" s="324" t="s">
        <v>4</v>
      </c>
      <c r="E668" s="322" t="s">
        <v>4</v>
      </c>
    </row>
    <row r="669">
      <c r="A669" s="158"/>
      <c r="B669" s="222"/>
      <c r="C669" s="195"/>
      <c r="D669" s="324" t="s">
        <v>319</v>
      </c>
      <c r="E669" s="322" t="s">
        <v>319</v>
      </c>
    </row>
    <row r="670">
      <c r="A670" s="158"/>
      <c r="B670" s="222"/>
      <c r="C670" s="195"/>
      <c r="D670" s="324" t="s">
        <v>320</v>
      </c>
      <c r="E670" s="322" t="s">
        <v>320</v>
      </c>
    </row>
    <row r="671">
      <c r="A671" s="158"/>
      <c r="B671" s="222"/>
      <c r="C671" s="195"/>
      <c r="D671" s="324" t="s">
        <v>75</v>
      </c>
      <c r="E671" s="322" t="s">
        <v>75</v>
      </c>
    </row>
    <row r="672">
      <c r="A672" s="158"/>
      <c r="B672" s="222"/>
      <c r="C672" s="195"/>
      <c r="D672" s="324" t="s">
        <v>9</v>
      </c>
      <c r="E672" s="322" t="s">
        <v>9</v>
      </c>
    </row>
    <row r="673">
      <c r="A673" s="158"/>
      <c r="B673" s="222"/>
      <c r="C673" s="195"/>
      <c r="D673" s="324" t="s">
        <v>10</v>
      </c>
      <c r="E673" s="322" t="s">
        <v>76</v>
      </c>
    </row>
    <row r="674">
      <c r="A674" s="158"/>
      <c r="B674" s="222"/>
      <c r="C674" s="195"/>
      <c r="D674" s="324" t="s">
        <v>11</v>
      </c>
      <c r="E674" s="322" t="s">
        <v>77</v>
      </c>
    </row>
    <row r="675">
      <c r="A675" s="158"/>
      <c r="B675" s="222"/>
      <c r="C675" s="195"/>
      <c r="D675" s="323" t="s">
        <v>12</v>
      </c>
      <c r="E675" s="196" t="s">
        <v>12</v>
      </c>
    </row>
    <row r="676">
      <c r="A676" s="158"/>
      <c r="B676" s="222"/>
      <c r="C676" s="322" t="s">
        <v>74</v>
      </c>
      <c r="D676" s="324" t="s">
        <v>13</v>
      </c>
      <c r="E676" s="324" t="s">
        <v>13</v>
      </c>
    </row>
    <row r="677">
      <c r="A677" s="158"/>
      <c r="B677" s="222"/>
      <c r="C677" s="322" t="s">
        <v>1</v>
      </c>
      <c r="D677" s="324" t="s">
        <v>14</v>
      </c>
      <c r="E677" s="324" t="s">
        <v>14</v>
      </c>
    </row>
    <row r="678">
      <c r="A678" s="158"/>
      <c r="B678" s="222"/>
      <c r="C678" s="161" t="s">
        <v>2</v>
      </c>
      <c r="D678" s="324" t="s">
        <v>78</v>
      </c>
      <c r="E678" s="324" t="s">
        <v>78</v>
      </c>
    </row>
    <row r="679">
      <c r="A679" s="158"/>
      <c r="B679" s="222"/>
      <c r="C679" s="322" t="s">
        <v>3</v>
      </c>
      <c r="D679" s="324" t="s">
        <v>79</v>
      </c>
      <c r="E679" s="324" t="s">
        <v>79</v>
      </c>
    </row>
    <row r="680">
      <c r="A680" s="158"/>
      <c r="B680" s="222"/>
      <c r="C680" s="322" t="s">
        <v>4</v>
      </c>
      <c r="D680" s="324" t="s">
        <v>114</v>
      </c>
      <c r="E680" s="324" t="s">
        <v>114</v>
      </c>
    </row>
    <row r="681">
      <c r="A681" s="158"/>
      <c r="B681" s="222"/>
      <c r="C681" s="322" t="s">
        <v>319</v>
      </c>
      <c r="D681" s="324" t="s">
        <v>115</v>
      </c>
      <c r="E681" s="324" t="s">
        <v>115</v>
      </c>
    </row>
    <row r="682">
      <c r="A682" s="158"/>
      <c r="B682" s="222"/>
      <c r="C682" s="322" t="s">
        <v>320</v>
      </c>
      <c r="D682" s="324" t="s">
        <v>385</v>
      </c>
      <c r="E682" s="324" t="s">
        <v>385</v>
      </c>
    </row>
    <row r="683">
      <c r="A683" s="158"/>
      <c r="B683" s="222"/>
      <c r="C683" s="322" t="s">
        <v>321</v>
      </c>
      <c r="D683" s="324" t="s">
        <v>386</v>
      </c>
      <c r="E683" s="324" t="s">
        <v>386</v>
      </c>
    </row>
    <row r="684">
      <c r="A684" s="158"/>
      <c r="B684" s="222"/>
      <c r="C684" s="322" t="s">
        <v>9</v>
      </c>
      <c r="D684" s="324" t="s">
        <v>141</v>
      </c>
      <c r="E684" s="324" t="s">
        <v>141</v>
      </c>
    </row>
    <row r="685">
      <c r="A685" s="158"/>
      <c r="B685" s="222"/>
      <c r="C685" s="322" t="s">
        <v>139</v>
      </c>
      <c r="D685" s="324" t="s">
        <v>85</v>
      </c>
      <c r="E685" s="324" t="s">
        <v>85</v>
      </c>
    </row>
    <row r="686">
      <c r="A686" s="158"/>
      <c r="B686" s="222"/>
      <c r="C686" s="322" t="s">
        <v>11</v>
      </c>
      <c r="D686" s="324" t="s">
        <v>142</v>
      </c>
      <c r="E686" s="324" t="s">
        <v>86</v>
      </c>
    </row>
    <row r="687">
      <c r="A687" s="158"/>
      <c r="B687" s="196" t="s">
        <v>74</v>
      </c>
      <c r="C687" s="322" t="s">
        <v>12</v>
      </c>
      <c r="D687" s="324" t="s">
        <v>87</v>
      </c>
      <c r="E687" s="324" t="s">
        <v>87</v>
      </c>
    </row>
    <row r="688">
      <c r="A688" s="158"/>
      <c r="B688" s="196" t="s">
        <v>1</v>
      </c>
      <c r="C688" s="324" t="s">
        <v>13</v>
      </c>
      <c r="D688" s="324" t="s">
        <v>25</v>
      </c>
      <c r="E688" s="322" t="s">
        <v>387</v>
      </c>
    </row>
    <row r="689">
      <c r="A689" s="158"/>
      <c r="B689" s="196" t="s">
        <v>2</v>
      </c>
      <c r="C689" s="324" t="s">
        <v>14</v>
      </c>
      <c r="D689" s="324" t="s">
        <v>26</v>
      </c>
      <c r="E689" s="322" t="s">
        <v>388</v>
      </c>
    </row>
    <row r="690">
      <c r="A690" s="158"/>
      <c r="B690" s="196" t="s">
        <v>3</v>
      </c>
      <c r="C690" s="324" t="s">
        <v>78</v>
      </c>
      <c r="D690" s="324" t="s">
        <v>382</v>
      </c>
      <c r="E690" s="324" t="s">
        <v>382</v>
      </c>
    </row>
    <row r="691">
      <c r="A691" s="158"/>
      <c r="B691" s="322" t="s">
        <v>4</v>
      </c>
      <c r="C691" s="324" t="s">
        <v>79</v>
      </c>
      <c r="D691" s="323" t="s">
        <v>30</v>
      </c>
      <c r="E691" s="322" t="s">
        <v>30</v>
      </c>
    </row>
    <row r="692">
      <c r="A692" s="158"/>
      <c r="B692" s="334" t="s">
        <v>319</v>
      </c>
      <c r="C692" s="324" t="s">
        <v>114</v>
      </c>
      <c r="D692" s="224"/>
      <c r="E692" s="158"/>
    </row>
    <row r="693">
      <c r="A693" s="158"/>
      <c r="B693" s="334" t="s">
        <v>320</v>
      </c>
      <c r="C693" s="324" t="s">
        <v>115</v>
      </c>
      <c r="D693" s="224"/>
      <c r="E693" s="158"/>
    </row>
    <row r="694">
      <c r="A694" s="158"/>
      <c r="B694" s="196" t="s">
        <v>321</v>
      </c>
      <c r="C694" s="324" t="s">
        <v>385</v>
      </c>
      <c r="D694" s="224"/>
      <c r="E694" s="158"/>
    </row>
    <row r="695">
      <c r="A695" s="158"/>
      <c r="B695" s="322" t="s">
        <v>9</v>
      </c>
      <c r="C695" s="324" t="s">
        <v>386</v>
      </c>
      <c r="D695" s="224"/>
      <c r="E695" s="158"/>
    </row>
    <row r="696">
      <c r="A696" s="158"/>
      <c r="B696" s="322" t="s">
        <v>10</v>
      </c>
      <c r="C696" s="324" t="s">
        <v>141</v>
      </c>
      <c r="D696" s="224"/>
      <c r="E696" s="158"/>
    </row>
    <row r="697">
      <c r="A697" s="196" t="s">
        <v>38</v>
      </c>
      <c r="B697" s="322" t="s">
        <v>11</v>
      </c>
      <c r="C697" s="324" t="s">
        <v>85</v>
      </c>
      <c r="D697" s="224"/>
      <c r="E697" s="158"/>
    </row>
    <row r="698">
      <c r="A698" s="196" t="s">
        <v>1</v>
      </c>
      <c r="B698" s="196" t="s">
        <v>12</v>
      </c>
      <c r="C698" s="324" t="s">
        <v>142</v>
      </c>
      <c r="D698" s="224"/>
      <c r="E698" s="158"/>
    </row>
    <row r="699">
      <c r="A699" s="196" t="s">
        <v>2</v>
      </c>
      <c r="B699" s="322" t="s">
        <v>13</v>
      </c>
      <c r="C699" s="322" t="s">
        <v>87</v>
      </c>
      <c r="D699" s="224"/>
      <c r="E699" s="158"/>
    </row>
    <row r="700">
      <c r="A700" s="196" t="s">
        <v>384</v>
      </c>
      <c r="B700" s="322" t="s">
        <v>14</v>
      </c>
      <c r="C700" s="322" t="s">
        <v>387</v>
      </c>
      <c r="D700" s="224"/>
      <c r="E700" s="158"/>
    </row>
    <row r="701">
      <c r="A701" s="196" t="s">
        <v>3</v>
      </c>
      <c r="B701" s="322" t="s">
        <v>15</v>
      </c>
      <c r="C701" s="322" t="s">
        <v>388</v>
      </c>
      <c r="D701" s="224"/>
      <c r="E701" s="158"/>
    </row>
    <row r="702">
      <c r="A702" s="322" t="s">
        <v>4</v>
      </c>
      <c r="B702" s="322" t="s">
        <v>16</v>
      </c>
      <c r="C702" s="322" t="s">
        <v>389</v>
      </c>
      <c r="D702" s="224"/>
      <c r="E702" s="158"/>
    </row>
    <row r="703">
      <c r="A703" s="334" t="s">
        <v>319</v>
      </c>
      <c r="B703" s="322" t="s">
        <v>17</v>
      </c>
      <c r="C703" s="322" t="s">
        <v>30</v>
      </c>
      <c r="D703" s="224"/>
      <c r="E703" s="158"/>
    </row>
    <row r="704">
      <c r="A704" s="334" t="s">
        <v>320</v>
      </c>
      <c r="B704" s="322" t="s">
        <v>18</v>
      </c>
      <c r="C704" s="195"/>
      <c r="D704" s="224"/>
      <c r="E704" s="158"/>
    </row>
    <row r="705">
      <c r="A705" s="196" t="s">
        <v>321</v>
      </c>
      <c r="B705" s="322" t="s">
        <v>19</v>
      </c>
      <c r="C705" s="195"/>
      <c r="D705" s="224"/>
      <c r="E705" s="158"/>
    </row>
    <row r="706">
      <c r="A706" s="322" t="s">
        <v>9</v>
      </c>
      <c r="B706" s="322" t="s">
        <v>20</v>
      </c>
      <c r="C706" s="195"/>
      <c r="D706" s="224"/>
      <c r="E706" s="158"/>
    </row>
    <row r="707">
      <c r="A707" s="322" t="s">
        <v>10</v>
      </c>
      <c r="B707" s="322" t="s">
        <v>21</v>
      </c>
      <c r="C707" s="195"/>
      <c r="D707" s="224"/>
      <c r="E707" s="158"/>
    </row>
    <row r="708">
      <c r="A708" s="322" t="s">
        <v>11</v>
      </c>
      <c r="B708" s="322" t="s">
        <v>22</v>
      </c>
      <c r="C708" s="195"/>
      <c r="D708" s="224"/>
      <c r="E708" s="158"/>
    </row>
    <row r="709">
      <c r="A709" s="196" t="s">
        <v>12</v>
      </c>
      <c r="B709" s="322" t="s">
        <v>23</v>
      </c>
      <c r="C709" s="195"/>
      <c r="D709" s="224"/>
      <c r="E709" s="158"/>
    </row>
    <row r="710">
      <c r="A710" s="322" t="s">
        <v>13</v>
      </c>
      <c r="B710" s="322" t="s">
        <v>25</v>
      </c>
      <c r="C710" s="195"/>
      <c r="D710" s="224"/>
      <c r="E710" s="158"/>
    </row>
    <row r="711">
      <c r="A711" s="322" t="s">
        <v>14</v>
      </c>
      <c r="B711" s="322" t="s">
        <v>26</v>
      </c>
      <c r="C711" s="195"/>
      <c r="D711" s="224"/>
      <c r="E711" s="158"/>
    </row>
    <row r="712">
      <c r="A712" s="322" t="s">
        <v>15</v>
      </c>
      <c r="B712" s="196" t="s">
        <v>30</v>
      </c>
      <c r="C712" s="195"/>
      <c r="D712" s="224"/>
      <c r="E712" s="158"/>
    </row>
    <row r="713">
      <c r="A713" s="322" t="s">
        <v>16</v>
      </c>
      <c r="B713" s="196"/>
      <c r="C713" s="195"/>
      <c r="D713" s="224"/>
      <c r="E713" s="158"/>
    </row>
    <row r="714">
      <c r="A714" s="322" t="s">
        <v>17</v>
      </c>
      <c r="B714" s="222"/>
      <c r="C714" s="195"/>
      <c r="D714" s="224"/>
      <c r="E714" s="158"/>
    </row>
    <row r="715">
      <c r="A715" s="322" t="s">
        <v>18</v>
      </c>
      <c r="B715" s="222"/>
      <c r="C715" s="195"/>
      <c r="D715" s="224"/>
      <c r="E715" s="158"/>
    </row>
    <row r="716">
      <c r="A716" s="322" t="s">
        <v>19</v>
      </c>
      <c r="B716" s="222"/>
      <c r="C716" s="195"/>
      <c r="D716" s="224"/>
      <c r="E716" s="158"/>
    </row>
    <row r="717">
      <c r="A717" s="322" t="s">
        <v>20</v>
      </c>
      <c r="B717" s="222"/>
      <c r="C717" s="195"/>
      <c r="D717" s="224"/>
      <c r="E717" s="158"/>
    </row>
    <row r="718">
      <c r="A718" s="322" t="s">
        <v>21</v>
      </c>
      <c r="B718" s="222"/>
      <c r="C718" s="195"/>
      <c r="D718" s="224"/>
      <c r="E718" s="158"/>
    </row>
    <row r="719">
      <c r="A719" s="322" t="s">
        <v>22</v>
      </c>
      <c r="B719" s="222"/>
      <c r="C719" s="195"/>
      <c r="D719" s="224"/>
      <c r="E719" s="158"/>
    </row>
    <row r="720">
      <c r="A720" s="322" t="s">
        <v>23</v>
      </c>
      <c r="B720" s="222"/>
      <c r="C720" s="195"/>
      <c r="D720" s="224"/>
      <c r="E720" s="158"/>
    </row>
    <row r="721">
      <c r="A721" s="322" t="s">
        <v>25</v>
      </c>
      <c r="B721" s="222"/>
      <c r="C721" s="195"/>
      <c r="D721" s="224"/>
      <c r="E721" s="158"/>
    </row>
    <row r="722">
      <c r="A722" s="322" t="s">
        <v>26</v>
      </c>
      <c r="B722" s="222"/>
      <c r="C722" s="195"/>
      <c r="D722" s="224"/>
      <c r="E722" s="158"/>
    </row>
    <row r="723">
      <c r="A723" s="196" t="s">
        <v>30</v>
      </c>
      <c r="B723" s="222"/>
      <c r="C723" s="195"/>
      <c r="D723" s="224"/>
      <c r="E723" s="158"/>
    </row>
    <row r="724">
      <c r="A724" s="196" t="s">
        <v>390</v>
      </c>
      <c r="B724" s="222"/>
      <c r="C724" s="322" t="s">
        <v>74</v>
      </c>
      <c r="D724" s="323" t="s">
        <v>383</v>
      </c>
      <c r="E724" s="196" t="s">
        <v>74</v>
      </c>
    </row>
    <row r="725">
      <c r="A725" s="158"/>
      <c r="B725" s="222"/>
      <c r="C725" s="322" t="s">
        <v>1</v>
      </c>
      <c r="D725" s="323" t="s">
        <v>1</v>
      </c>
      <c r="E725" s="196" t="s">
        <v>1</v>
      </c>
    </row>
    <row r="726">
      <c r="A726" s="158"/>
      <c r="B726" s="222"/>
      <c r="C726" s="161" t="s">
        <v>2</v>
      </c>
      <c r="D726" s="196" t="s">
        <v>2</v>
      </c>
      <c r="E726" s="196" t="s">
        <v>2</v>
      </c>
    </row>
    <row r="727">
      <c r="A727" s="158"/>
      <c r="B727" s="222"/>
      <c r="C727" s="322" t="s">
        <v>3</v>
      </c>
      <c r="D727" s="323" t="s">
        <v>3</v>
      </c>
      <c r="E727" s="196" t="s">
        <v>3</v>
      </c>
    </row>
    <row r="728">
      <c r="A728" s="158"/>
      <c r="B728" s="222"/>
      <c r="C728" s="322" t="s">
        <v>4</v>
      </c>
      <c r="D728" s="324" t="s">
        <v>4</v>
      </c>
      <c r="E728" s="322" t="s">
        <v>4</v>
      </c>
    </row>
    <row r="729">
      <c r="A729" s="158"/>
      <c r="B729" s="222"/>
      <c r="C729" s="322" t="s">
        <v>319</v>
      </c>
      <c r="D729" s="324" t="s">
        <v>319</v>
      </c>
      <c r="E729" s="322" t="s">
        <v>319</v>
      </c>
    </row>
    <row r="730">
      <c r="A730" s="158"/>
      <c r="B730" s="222"/>
      <c r="C730" s="322" t="s">
        <v>320</v>
      </c>
      <c r="D730" s="324" t="s">
        <v>320</v>
      </c>
      <c r="E730" s="322" t="s">
        <v>320</v>
      </c>
    </row>
    <row r="731">
      <c r="A731" s="158"/>
      <c r="B731" s="222"/>
      <c r="C731" s="322" t="s">
        <v>321</v>
      </c>
      <c r="D731" s="324" t="s">
        <v>75</v>
      </c>
      <c r="E731" s="322" t="s">
        <v>75</v>
      </c>
    </row>
    <row r="732">
      <c r="A732" s="158"/>
      <c r="B732" s="222"/>
      <c r="C732" s="322" t="s">
        <v>9</v>
      </c>
      <c r="D732" s="324" t="s">
        <v>9</v>
      </c>
      <c r="E732" s="322" t="s">
        <v>9</v>
      </c>
    </row>
    <row r="733">
      <c r="A733" s="158"/>
      <c r="B733" s="222"/>
      <c r="C733" s="322" t="s">
        <v>139</v>
      </c>
      <c r="D733" s="324" t="s">
        <v>10</v>
      </c>
      <c r="E733" s="322" t="s">
        <v>76</v>
      </c>
    </row>
    <row r="734">
      <c r="A734" s="158"/>
      <c r="B734" s="222"/>
      <c r="C734" s="322" t="s">
        <v>11</v>
      </c>
      <c r="D734" s="324" t="s">
        <v>11</v>
      </c>
      <c r="E734" s="322" t="s">
        <v>77</v>
      </c>
    </row>
    <row r="735">
      <c r="A735" s="158"/>
      <c r="B735" s="222"/>
      <c r="C735" s="322" t="s">
        <v>12</v>
      </c>
      <c r="D735" s="323" t="s">
        <v>12</v>
      </c>
      <c r="E735" s="196" t="s">
        <v>12</v>
      </c>
    </row>
    <row r="736">
      <c r="A736" s="158"/>
      <c r="B736" s="222"/>
      <c r="C736" s="324" t="s">
        <v>13</v>
      </c>
      <c r="D736" s="324" t="s">
        <v>13</v>
      </c>
      <c r="E736" s="324" t="s">
        <v>13</v>
      </c>
    </row>
    <row r="737">
      <c r="A737" s="158"/>
      <c r="B737" s="222"/>
      <c r="C737" s="324" t="s">
        <v>14</v>
      </c>
      <c r="D737" s="324" t="s">
        <v>14</v>
      </c>
      <c r="E737" s="324" t="s">
        <v>14</v>
      </c>
    </row>
    <row r="738">
      <c r="A738" s="158"/>
      <c r="B738" s="222"/>
      <c r="C738" s="324" t="s">
        <v>78</v>
      </c>
      <c r="D738" s="324" t="s">
        <v>78</v>
      </c>
      <c r="E738" s="324" t="s">
        <v>78</v>
      </c>
    </row>
    <row r="739">
      <c r="A739" s="158"/>
      <c r="B739" s="222"/>
      <c r="C739" s="324" t="s">
        <v>79</v>
      </c>
      <c r="D739" s="324" t="s">
        <v>79</v>
      </c>
      <c r="E739" s="324" t="s">
        <v>79</v>
      </c>
    </row>
    <row r="740">
      <c r="A740" s="158"/>
      <c r="B740" s="222"/>
      <c r="C740" s="324" t="s">
        <v>114</v>
      </c>
      <c r="D740" s="324" t="s">
        <v>114</v>
      </c>
      <c r="E740" s="324" t="s">
        <v>114</v>
      </c>
    </row>
    <row r="741">
      <c r="A741" s="158"/>
      <c r="B741" s="222"/>
      <c r="C741" s="324" t="s">
        <v>115</v>
      </c>
      <c r="D741" s="324" t="s">
        <v>115</v>
      </c>
      <c r="E741" s="324" t="s">
        <v>115</v>
      </c>
    </row>
    <row r="742">
      <c r="A742" s="158"/>
      <c r="B742" s="222"/>
      <c r="C742" s="324" t="s">
        <v>385</v>
      </c>
      <c r="D742" s="324" t="s">
        <v>385</v>
      </c>
      <c r="E742" s="324" t="s">
        <v>385</v>
      </c>
    </row>
    <row r="743">
      <c r="A743" s="158"/>
      <c r="B743" s="222"/>
      <c r="C743" s="324" t="s">
        <v>386</v>
      </c>
      <c r="D743" s="324" t="s">
        <v>386</v>
      </c>
      <c r="E743" s="324" t="s">
        <v>386</v>
      </c>
    </row>
    <row r="744">
      <c r="A744" s="158"/>
      <c r="B744" s="222"/>
      <c r="C744" s="324" t="s">
        <v>141</v>
      </c>
      <c r="D744" s="324" t="s">
        <v>141</v>
      </c>
      <c r="E744" s="324" t="s">
        <v>141</v>
      </c>
    </row>
    <row r="745">
      <c r="A745" s="158"/>
      <c r="B745" s="222"/>
      <c r="C745" s="324" t="s">
        <v>85</v>
      </c>
      <c r="D745" s="324" t="s">
        <v>85</v>
      </c>
      <c r="E745" s="324" t="s">
        <v>85</v>
      </c>
    </row>
    <row r="746">
      <c r="A746" s="158"/>
      <c r="B746" s="222"/>
      <c r="C746" s="324" t="s">
        <v>142</v>
      </c>
      <c r="D746" s="324" t="s">
        <v>142</v>
      </c>
      <c r="E746" s="324" t="s">
        <v>86</v>
      </c>
    </row>
    <row r="747">
      <c r="A747" s="158"/>
      <c r="B747" s="222"/>
      <c r="C747" s="322" t="s">
        <v>87</v>
      </c>
      <c r="D747" s="324" t="s">
        <v>87</v>
      </c>
      <c r="E747" s="324" t="s">
        <v>87</v>
      </c>
    </row>
    <row r="748">
      <c r="A748" s="158"/>
      <c r="B748" s="222"/>
      <c r="C748" s="322" t="s">
        <v>387</v>
      </c>
      <c r="D748" s="324" t="s">
        <v>25</v>
      </c>
      <c r="E748" s="322" t="s">
        <v>387</v>
      </c>
    </row>
    <row r="749">
      <c r="A749" s="158"/>
      <c r="B749" s="196" t="s">
        <v>74</v>
      </c>
      <c r="C749" s="322" t="s">
        <v>388</v>
      </c>
      <c r="D749" s="324" t="s">
        <v>26</v>
      </c>
      <c r="E749" s="322" t="s">
        <v>388</v>
      </c>
    </row>
    <row r="750">
      <c r="A750" s="158"/>
      <c r="B750" s="196" t="s">
        <v>1</v>
      </c>
      <c r="C750" s="322" t="s">
        <v>389</v>
      </c>
      <c r="D750" s="324" t="s">
        <v>382</v>
      </c>
      <c r="E750" s="324" t="s">
        <v>382</v>
      </c>
    </row>
    <row r="751">
      <c r="A751" s="158"/>
      <c r="B751" s="196" t="s">
        <v>2</v>
      </c>
      <c r="C751" s="322" t="s">
        <v>30</v>
      </c>
      <c r="D751" s="323" t="s">
        <v>30</v>
      </c>
      <c r="E751" s="322" t="s">
        <v>30</v>
      </c>
    </row>
    <row r="752">
      <c r="A752" s="158"/>
      <c r="B752" s="196" t="s">
        <v>3</v>
      </c>
      <c r="C752" s="195"/>
      <c r="D752" s="224"/>
      <c r="E752" s="158"/>
    </row>
    <row r="753">
      <c r="A753" s="158"/>
      <c r="B753" s="322" t="s">
        <v>4</v>
      </c>
      <c r="C753" s="195"/>
      <c r="D753" s="224"/>
      <c r="E753" s="158"/>
    </row>
    <row r="754">
      <c r="A754" s="158"/>
      <c r="B754" s="334" t="s">
        <v>319</v>
      </c>
      <c r="C754" s="195"/>
      <c r="D754" s="224"/>
      <c r="E754" s="158"/>
    </row>
    <row r="755">
      <c r="A755" s="158"/>
      <c r="B755" s="334" t="s">
        <v>320</v>
      </c>
      <c r="C755" s="195"/>
      <c r="D755" s="224"/>
      <c r="E755" s="158"/>
    </row>
    <row r="756">
      <c r="A756" s="158"/>
      <c r="B756" s="196" t="s">
        <v>321</v>
      </c>
      <c r="C756" s="195"/>
      <c r="D756" s="224"/>
      <c r="E756" s="158"/>
    </row>
    <row r="757">
      <c r="A757" s="158"/>
      <c r="B757" s="322" t="s">
        <v>9</v>
      </c>
      <c r="C757" s="195"/>
      <c r="D757" s="224"/>
      <c r="E757" s="158"/>
    </row>
    <row r="758">
      <c r="A758" s="158"/>
      <c r="B758" s="322" t="s">
        <v>10</v>
      </c>
      <c r="C758" s="195"/>
      <c r="D758" s="224"/>
      <c r="E758" s="158"/>
    </row>
    <row r="759">
      <c r="A759" s="158"/>
      <c r="B759" s="322" t="s">
        <v>11</v>
      </c>
      <c r="C759" s="195"/>
      <c r="D759" s="224"/>
      <c r="E759" s="158"/>
    </row>
    <row r="760">
      <c r="A760" s="196" t="s">
        <v>38</v>
      </c>
      <c r="B760" s="196" t="s">
        <v>12</v>
      </c>
      <c r="C760" s="195"/>
      <c r="D760" s="224"/>
      <c r="E760" s="158"/>
    </row>
    <row r="761">
      <c r="A761" s="196" t="s">
        <v>1</v>
      </c>
      <c r="B761" s="322" t="s">
        <v>13</v>
      </c>
      <c r="C761" s="195"/>
      <c r="D761" s="224"/>
      <c r="E761" s="158"/>
    </row>
    <row r="762">
      <c r="A762" s="196" t="s">
        <v>2</v>
      </c>
      <c r="B762" s="322" t="s">
        <v>14</v>
      </c>
      <c r="C762" s="195"/>
      <c r="D762" s="224"/>
      <c r="E762" s="158"/>
    </row>
    <row r="763">
      <c r="A763" s="196" t="s">
        <v>384</v>
      </c>
      <c r="B763" s="322" t="s">
        <v>15</v>
      </c>
      <c r="C763" s="195"/>
      <c r="D763" s="224"/>
      <c r="E763" s="158"/>
    </row>
    <row r="764">
      <c r="A764" s="196" t="s">
        <v>3</v>
      </c>
      <c r="B764" s="322" t="s">
        <v>16</v>
      </c>
      <c r="C764" s="195"/>
      <c r="D764" s="224"/>
      <c r="E764" s="158"/>
    </row>
    <row r="765">
      <c r="A765" s="322" t="s">
        <v>4</v>
      </c>
      <c r="B765" s="322" t="s">
        <v>17</v>
      </c>
      <c r="C765" s="195"/>
      <c r="D765" s="224"/>
      <c r="E765" s="158"/>
    </row>
    <row r="766">
      <c r="A766" s="334" t="s">
        <v>319</v>
      </c>
      <c r="B766" s="322" t="s">
        <v>18</v>
      </c>
      <c r="C766" s="195"/>
      <c r="D766" s="224"/>
      <c r="E766" s="158"/>
    </row>
    <row r="767">
      <c r="A767" s="334" t="s">
        <v>320</v>
      </c>
      <c r="B767" s="322" t="s">
        <v>19</v>
      </c>
      <c r="C767" s="195"/>
      <c r="D767" s="224"/>
      <c r="E767" s="158"/>
    </row>
    <row r="768">
      <c r="A768" s="196" t="s">
        <v>321</v>
      </c>
      <c r="B768" s="322" t="s">
        <v>20</v>
      </c>
      <c r="C768" s="195"/>
      <c r="D768" s="224"/>
      <c r="E768" s="158"/>
    </row>
    <row r="769">
      <c r="A769" s="322" t="s">
        <v>9</v>
      </c>
      <c r="B769" s="322" t="s">
        <v>21</v>
      </c>
      <c r="C769" s="195"/>
      <c r="D769" s="224"/>
      <c r="E769" s="158"/>
    </row>
    <row r="770">
      <c r="A770" s="322" t="s">
        <v>10</v>
      </c>
      <c r="B770" s="322" t="s">
        <v>22</v>
      </c>
      <c r="C770" s="195"/>
      <c r="D770" s="224"/>
      <c r="E770" s="158"/>
    </row>
    <row r="771">
      <c r="A771" s="322" t="s">
        <v>11</v>
      </c>
      <c r="B771" s="322" t="s">
        <v>23</v>
      </c>
      <c r="C771" s="195"/>
      <c r="D771" s="224"/>
      <c r="E771" s="158"/>
    </row>
    <row r="772">
      <c r="A772" s="196" t="s">
        <v>12</v>
      </c>
      <c r="B772" s="322" t="s">
        <v>25</v>
      </c>
      <c r="C772" s="322" t="s">
        <v>74</v>
      </c>
      <c r="D772" s="224"/>
      <c r="E772" s="158"/>
    </row>
    <row r="773">
      <c r="A773" s="322" t="s">
        <v>13</v>
      </c>
      <c r="B773" s="322" t="s">
        <v>26</v>
      </c>
      <c r="C773" s="322" t="s">
        <v>1</v>
      </c>
      <c r="D773" s="224"/>
      <c r="E773" s="158"/>
    </row>
    <row r="774">
      <c r="A774" s="322" t="s">
        <v>14</v>
      </c>
      <c r="B774" s="196" t="s">
        <v>30</v>
      </c>
      <c r="C774" s="161" t="s">
        <v>2</v>
      </c>
      <c r="D774" s="224"/>
      <c r="E774" s="158"/>
    </row>
    <row r="775">
      <c r="A775" s="322" t="s">
        <v>15</v>
      </c>
      <c r="B775" s="196"/>
      <c r="C775" s="322" t="s">
        <v>3</v>
      </c>
      <c r="D775" s="224"/>
      <c r="E775" s="158"/>
    </row>
    <row r="776">
      <c r="A776" s="322" t="s">
        <v>16</v>
      </c>
      <c r="B776" s="222"/>
      <c r="C776" s="322" t="s">
        <v>4</v>
      </c>
      <c r="D776" s="224"/>
      <c r="E776" s="158"/>
    </row>
    <row r="777">
      <c r="A777" s="322" t="s">
        <v>17</v>
      </c>
      <c r="B777" s="222"/>
      <c r="C777" s="322" t="s">
        <v>319</v>
      </c>
      <c r="D777" s="224"/>
      <c r="E777" s="158"/>
    </row>
    <row r="778">
      <c r="A778" s="322" t="s">
        <v>18</v>
      </c>
      <c r="B778" s="222"/>
      <c r="C778" s="322" t="s">
        <v>320</v>
      </c>
      <c r="D778" s="224"/>
      <c r="E778" s="158"/>
    </row>
    <row r="779">
      <c r="A779" s="322" t="s">
        <v>19</v>
      </c>
      <c r="B779" s="222"/>
      <c r="C779" s="322" t="s">
        <v>321</v>
      </c>
      <c r="D779" s="224"/>
      <c r="E779" s="158"/>
    </row>
    <row r="780">
      <c r="A780" s="322" t="s">
        <v>20</v>
      </c>
      <c r="B780" s="222"/>
      <c r="C780" s="322" t="s">
        <v>9</v>
      </c>
      <c r="D780" s="224"/>
      <c r="E780" s="158"/>
    </row>
    <row r="781">
      <c r="A781" s="322" t="s">
        <v>21</v>
      </c>
      <c r="B781" s="222"/>
      <c r="C781" s="322" t="s">
        <v>139</v>
      </c>
      <c r="D781" s="224"/>
      <c r="E781" s="158"/>
    </row>
    <row r="782">
      <c r="A782" s="322" t="s">
        <v>22</v>
      </c>
      <c r="B782" s="222"/>
      <c r="C782" s="322" t="s">
        <v>11</v>
      </c>
      <c r="D782" s="224"/>
      <c r="E782" s="158"/>
    </row>
    <row r="783">
      <c r="A783" s="322" t="s">
        <v>23</v>
      </c>
      <c r="B783" s="222"/>
      <c r="C783" s="322" t="s">
        <v>12</v>
      </c>
      <c r="D783" s="224"/>
      <c r="E783" s="158"/>
    </row>
    <row r="784">
      <c r="A784" s="322" t="s">
        <v>25</v>
      </c>
      <c r="B784" s="222"/>
      <c r="C784" s="324" t="s">
        <v>13</v>
      </c>
      <c r="D784" s="323" t="s">
        <v>383</v>
      </c>
      <c r="E784" s="196" t="s">
        <v>74</v>
      </c>
    </row>
    <row r="785">
      <c r="A785" s="322" t="s">
        <v>26</v>
      </c>
      <c r="B785" s="222"/>
      <c r="C785" s="324" t="s">
        <v>14</v>
      </c>
      <c r="D785" s="323" t="s">
        <v>1</v>
      </c>
      <c r="E785" s="196" t="s">
        <v>1</v>
      </c>
    </row>
    <row r="786">
      <c r="A786" s="196" t="s">
        <v>30</v>
      </c>
      <c r="B786" s="222"/>
      <c r="C786" s="324" t="s">
        <v>78</v>
      </c>
      <c r="D786" s="196" t="s">
        <v>2</v>
      </c>
      <c r="E786" s="196" t="s">
        <v>2</v>
      </c>
    </row>
    <row r="787">
      <c r="A787" s="196" t="s">
        <v>390</v>
      </c>
      <c r="B787" s="222"/>
      <c r="C787" s="324" t="s">
        <v>79</v>
      </c>
      <c r="D787" s="323" t="s">
        <v>3</v>
      </c>
      <c r="E787" s="196" t="s">
        <v>3</v>
      </c>
    </row>
    <row r="788">
      <c r="A788" s="158"/>
      <c r="B788" s="222"/>
      <c r="C788" s="324" t="s">
        <v>114</v>
      </c>
      <c r="D788" s="324" t="s">
        <v>4</v>
      </c>
      <c r="E788" s="322" t="s">
        <v>4</v>
      </c>
    </row>
    <row r="789">
      <c r="A789" s="158"/>
      <c r="B789" s="222"/>
      <c r="C789" s="324" t="s">
        <v>115</v>
      </c>
      <c r="D789" s="324" t="s">
        <v>319</v>
      </c>
      <c r="E789" s="322" t="s">
        <v>319</v>
      </c>
    </row>
    <row r="790">
      <c r="A790" s="158"/>
      <c r="B790" s="222"/>
      <c r="C790" s="324" t="s">
        <v>385</v>
      </c>
      <c r="D790" s="324" t="s">
        <v>320</v>
      </c>
      <c r="E790" s="322" t="s">
        <v>320</v>
      </c>
    </row>
    <row r="791">
      <c r="A791" s="158"/>
      <c r="B791" s="222"/>
      <c r="C791" s="324" t="s">
        <v>386</v>
      </c>
      <c r="D791" s="324" t="s">
        <v>75</v>
      </c>
      <c r="E791" s="322" t="s">
        <v>75</v>
      </c>
    </row>
    <row r="792">
      <c r="A792" s="158"/>
      <c r="B792" s="222"/>
      <c r="C792" s="324" t="s">
        <v>141</v>
      </c>
      <c r="D792" s="324" t="s">
        <v>9</v>
      </c>
      <c r="E792" s="322" t="s">
        <v>9</v>
      </c>
    </row>
    <row r="793">
      <c r="A793" s="158"/>
      <c r="B793" s="222"/>
      <c r="C793" s="324" t="s">
        <v>85</v>
      </c>
      <c r="D793" s="324" t="s">
        <v>10</v>
      </c>
      <c r="E793" s="322" t="s">
        <v>76</v>
      </c>
    </row>
    <row r="794">
      <c r="A794" s="158"/>
      <c r="B794" s="222"/>
      <c r="C794" s="324" t="s">
        <v>142</v>
      </c>
      <c r="D794" s="324" t="s">
        <v>11</v>
      </c>
      <c r="E794" s="322" t="s">
        <v>77</v>
      </c>
    </row>
    <row r="795">
      <c r="A795" s="158"/>
      <c r="B795" s="222"/>
      <c r="C795" s="322" t="s">
        <v>87</v>
      </c>
      <c r="D795" s="323" t="s">
        <v>12</v>
      </c>
      <c r="E795" s="196" t="s">
        <v>12</v>
      </c>
    </row>
    <row r="796">
      <c r="A796" s="158"/>
      <c r="B796" s="222"/>
      <c r="C796" s="322" t="s">
        <v>387</v>
      </c>
      <c r="D796" s="324" t="s">
        <v>13</v>
      </c>
      <c r="E796" s="324" t="s">
        <v>13</v>
      </c>
    </row>
    <row r="797">
      <c r="A797" s="158"/>
      <c r="B797" s="222"/>
      <c r="C797" s="322" t="s">
        <v>388</v>
      </c>
      <c r="D797" s="324" t="s">
        <v>14</v>
      </c>
      <c r="E797" s="324" t="s">
        <v>14</v>
      </c>
    </row>
    <row r="798">
      <c r="A798" s="158"/>
      <c r="B798" s="222"/>
      <c r="C798" s="322" t="s">
        <v>389</v>
      </c>
      <c r="D798" s="324" t="s">
        <v>78</v>
      </c>
      <c r="E798" s="324" t="s">
        <v>78</v>
      </c>
    </row>
    <row r="799">
      <c r="A799" s="158"/>
      <c r="B799" s="222"/>
      <c r="C799" s="322" t="s">
        <v>30</v>
      </c>
      <c r="D799" s="324" t="s">
        <v>79</v>
      </c>
      <c r="E799" s="324" t="s">
        <v>79</v>
      </c>
    </row>
    <row r="800">
      <c r="A800" s="158"/>
      <c r="B800" s="222"/>
      <c r="C800" s="195"/>
      <c r="D800" s="324" t="s">
        <v>114</v>
      </c>
      <c r="E800" s="324" t="s">
        <v>114</v>
      </c>
    </row>
    <row r="801">
      <c r="A801" s="158"/>
      <c r="B801" s="222"/>
      <c r="C801" s="195"/>
      <c r="D801" s="324" t="s">
        <v>115</v>
      </c>
      <c r="E801" s="324" t="s">
        <v>115</v>
      </c>
    </row>
    <row r="802">
      <c r="A802" s="158"/>
      <c r="B802" s="222"/>
      <c r="C802" s="195"/>
      <c r="D802" s="324" t="s">
        <v>385</v>
      </c>
      <c r="E802" s="324" t="s">
        <v>385</v>
      </c>
    </row>
    <row r="803">
      <c r="A803" s="158"/>
      <c r="B803" s="222"/>
      <c r="C803" s="195"/>
      <c r="D803" s="324" t="s">
        <v>386</v>
      </c>
      <c r="E803" s="324" t="s">
        <v>386</v>
      </c>
    </row>
    <row r="804">
      <c r="A804" s="158"/>
      <c r="B804" s="222"/>
      <c r="C804" s="195"/>
      <c r="D804" s="324" t="s">
        <v>141</v>
      </c>
      <c r="E804" s="324" t="s">
        <v>141</v>
      </c>
    </row>
    <row r="805">
      <c r="A805" s="158"/>
      <c r="B805" s="222"/>
      <c r="C805" s="195"/>
      <c r="D805" s="324" t="s">
        <v>85</v>
      </c>
      <c r="E805" s="324" t="s">
        <v>85</v>
      </c>
    </row>
    <row r="806">
      <c r="A806" s="158"/>
      <c r="B806" s="222"/>
      <c r="C806" s="195"/>
      <c r="D806" s="324" t="s">
        <v>142</v>
      </c>
      <c r="E806" s="324" t="s">
        <v>86</v>
      </c>
    </row>
    <row r="807">
      <c r="A807" s="158"/>
      <c r="B807" s="222"/>
      <c r="C807" s="195"/>
      <c r="D807" s="324" t="s">
        <v>87</v>
      </c>
      <c r="E807" s="324" t="s">
        <v>87</v>
      </c>
    </row>
    <row r="808">
      <c r="A808" s="158"/>
      <c r="B808" s="222"/>
      <c r="C808" s="195"/>
      <c r="D808" s="324" t="s">
        <v>25</v>
      </c>
      <c r="E808" s="322" t="s">
        <v>387</v>
      </c>
    </row>
    <row r="809">
      <c r="A809" s="158"/>
      <c r="B809" s="222"/>
      <c r="C809" s="195"/>
      <c r="D809" s="324" t="s">
        <v>26</v>
      </c>
      <c r="E809" s="322" t="s">
        <v>388</v>
      </c>
    </row>
    <row r="810">
      <c r="A810" s="158"/>
      <c r="B810" s="222"/>
      <c r="C810" s="195"/>
      <c r="D810" s="324" t="s">
        <v>382</v>
      </c>
      <c r="E810" s="324" t="s">
        <v>382</v>
      </c>
    </row>
    <row r="811">
      <c r="A811" s="158"/>
      <c r="B811" s="196" t="s">
        <v>74</v>
      </c>
      <c r="C811" s="195"/>
      <c r="D811" s="323" t="s">
        <v>30</v>
      </c>
      <c r="E811" s="322" t="s">
        <v>30</v>
      </c>
    </row>
    <row r="812">
      <c r="A812" s="158"/>
      <c r="B812" s="196" t="s">
        <v>1</v>
      </c>
      <c r="C812" s="195"/>
      <c r="D812" s="224"/>
      <c r="E812" s="158"/>
    </row>
    <row r="813">
      <c r="A813" s="158"/>
      <c r="B813" s="196" t="s">
        <v>2</v>
      </c>
      <c r="C813" s="195"/>
      <c r="D813" s="224"/>
      <c r="E813" s="158"/>
    </row>
    <row r="814">
      <c r="A814" s="158"/>
      <c r="B814" s="196" t="s">
        <v>3</v>
      </c>
      <c r="C814" s="195"/>
      <c r="D814" s="224"/>
      <c r="E814" s="158"/>
    </row>
    <row r="815">
      <c r="A815" s="158"/>
      <c r="B815" s="322" t="s">
        <v>4</v>
      </c>
      <c r="C815" s="195"/>
      <c r="D815" s="224"/>
      <c r="E815" s="158"/>
    </row>
    <row r="816">
      <c r="A816" s="158"/>
      <c r="B816" s="334" t="s">
        <v>319</v>
      </c>
      <c r="C816" s="195"/>
      <c r="D816" s="224"/>
      <c r="E816" s="158"/>
    </row>
    <row r="817">
      <c r="A817" s="158"/>
      <c r="B817" s="334" t="s">
        <v>320</v>
      </c>
      <c r="C817" s="195"/>
      <c r="D817" s="224"/>
      <c r="E817" s="158"/>
    </row>
    <row r="818">
      <c r="A818" s="158"/>
      <c r="B818" s="196" t="s">
        <v>321</v>
      </c>
      <c r="C818" s="195"/>
      <c r="D818" s="224"/>
      <c r="E818" s="158"/>
    </row>
    <row r="819">
      <c r="A819" s="158"/>
      <c r="B819" s="322" t="s">
        <v>9</v>
      </c>
      <c r="C819" s="195"/>
      <c r="D819" s="224"/>
      <c r="E819" s="158"/>
    </row>
    <row r="820">
      <c r="A820" s="158"/>
      <c r="B820" s="322" t="s">
        <v>10</v>
      </c>
      <c r="C820" s="322" t="s">
        <v>74</v>
      </c>
      <c r="D820" s="224"/>
      <c r="E820" s="158"/>
    </row>
    <row r="821">
      <c r="A821" s="158"/>
      <c r="B821" s="322" t="s">
        <v>11</v>
      </c>
      <c r="C821" s="322" t="s">
        <v>1</v>
      </c>
      <c r="D821" s="224"/>
      <c r="E821" s="158"/>
    </row>
    <row r="822">
      <c r="A822" s="158"/>
      <c r="B822" s="196" t="s">
        <v>12</v>
      </c>
      <c r="C822" s="161" t="s">
        <v>2</v>
      </c>
      <c r="D822" s="224"/>
      <c r="E822" s="158"/>
    </row>
    <row r="823">
      <c r="A823" s="196" t="s">
        <v>38</v>
      </c>
      <c r="B823" s="322" t="s">
        <v>13</v>
      </c>
      <c r="C823" s="322" t="s">
        <v>3</v>
      </c>
      <c r="D823" s="224"/>
      <c r="E823" s="158"/>
    </row>
    <row r="824">
      <c r="A824" s="196" t="s">
        <v>1</v>
      </c>
      <c r="B824" s="322" t="s">
        <v>14</v>
      </c>
      <c r="C824" s="322" t="s">
        <v>4</v>
      </c>
      <c r="D824" s="224"/>
      <c r="E824" s="158"/>
    </row>
    <row r="825">
      <c r="A825" s="196" t="s">
        <v>2</v>
      </c>
      <c r="B825" s="322" t="s">
        <v>15</v>
      </c>
      <c r="C825" s="322" t="s">
        <v>319</v>
      </c>
      <c r="D825" s="224"/>
      <c r="E825" s="158"/>
    </row>
    <row r="826">
      <c r="A826" s="196" t="s">
        <v>384</v>
      </c>
      <c r="B826" s="322" t="s">
        <v>16</v>
      </c>
      <c r="C826" s="322" t="s">
        <v>320</v>
      </c>
      <c r="D826" s="224"/>
      <c r="E826" s="158"/>
    </row>
    <row r="827">
      <c r="A827" s="196" t="s">
        <v>3</v>
      </c>
      <c r="B827" s="322" t="s">
        <v>17</v>
      </c>
      <c r="C827" s="322" t="s">
        <v>321</v>
      </c>
      <c r="D827" s="224"/>
      <c r="E827" s="158"/>
    </row>
    <row r="828">
      <c r="A828" s="322" t="s">
        <v>4</v>
      </c>
      <c r="B828" s="322" t="s">
        <v>18</v>
      </c>
      <c r="C828" s="322" t="s">
        <v>9</v>
      </c>
      <c r="D828" s="224"/>
      <c r="E828" s="158"/>
    </row>
    <row r="829">
      <c r="A829" s="334" t="s">
        <v>319</v>
      </c>
      <c r="B829" s="322" t="s">
        <v>19</v>
      </c>
      <c r="C829" s="322" t="s">
        <v>139</v>
      </c>
      <c r="D829" s="224"/>
      <c r="E829" s="158"/>
    </row>
    <row r="830">
      <c r="A830" s="334" t="s">
        <v>320</v>
      </c>
      <c r="B830" s="322" t="s">
        <v>20</v>
      </c>
      <c r="C830" s="322" t="s">
        <v>11</v>
      </c>
      <c r="D830" s="224"/>
      <c r="E830" s="158"/>
    </row>
    <row r="831">
      <c r="A831" s="196" t="s">
        <v>321</v>
      </c>
      <c r="B831" s="322" t="s">
        <v>21</v>
      </c>
      <c r="C831" s="322" t="s">
        <v>12</v>
      </c>
      <c r="D831" s="224"/>
      <c r="E831" s="158"/>
    </row>
    <row r="832">
      <c r="A832" s="322" t="s">
        <v>9</v>
      </c>
      <c r="B832" s="322" t="s">
        <v>22</v>
      </c>
      <c r="C832" s="324" t="s">
        <v>13</v>
      </c>
      <c r="D832" s="224"/>
      <c r="E832" s="158"/>
    </row>
    <row r="833">
      <c r="A833" s="322" t="s">
        <v>10</v>
      </c>
      <c r="B833" s="322" t="s">
        <v>23</v>
      </c>
      <c r="C833" s="324" t="s">
        <v>14</v>
      </c>
      <c r="D833" s="224"/>
      <c r="E833" s="158"/>
    </row>
    <row r="834">
      <c r="A834" s="322" t="s">
        <v>11</v>
      </c>
      <c r="B834" s="322" t="s">
        <v>25</v>
      </c>
      <c r="C834" s="324" t="s">
        <v>78</v>
      </c>
      <c r="D834" s="224"/>
      <c r="E834" s="158"/>
    </row>
    <row r="835">
      <c r="A835" s="196" t="s">
        <v>12</v>
      </c>
      <c r="B835" s="322" t="s">
        <v>26</v>
      </c>
      <c r="C835" s="324" t="s">
        <v>79</v>
      </c>
      <c r="D835" s="224"/>
      <c r="E835" s="158"/>
    </row>
    <row r="836">
      <c r="A836" s="322" t="s">
        <v>13</v>
      </c>
      <c r="B836" s="196" t="s">
        <v>30</v>
      </c>
      <c r="C836" s="324" t="s">
        <v>114</v>
      </c>
      <c r="D836" s="224"/>
      <c r="E836" s="158"/>
    </row>
    <row r="837">
      <c r="A837" s="322" t="s">
        <v>14</v>
      </c>
      <c r="B837" s="196"/>
      <c r="C837" s="324" t="s">
        <v>115</v>
      </c>
      <c r="D837" s="224"/>
      <c r="E837" s="158"/>
    </row>
    <row r="838">
      <c r="A838" s="322" t="s">
        <v>15</v>
      </c>
      <c r="B838" s="222"/>
      <c r="C838" s="324" t="s">
        <v>385</v>
      </c>
      <c r="D838" s="224"/>
      <c r="E838" s="158"/>
    </row>
    <row r="839">
      <c r="A839" s="322" t="s">
        <v>16</v>
      </c>
      <c r="B839" s="222"/>
      <c r="C839" s="324" t="s">
        <v>386</v>
      </c>
      <c r="D839" s="224"/>
      <c r="E839" s="158"/>
    </row>
    <row r="840">
      <c r="A840" s="322" t="s">
        <v>17</v>
      </c>
      <c r="B840" s="222"/>
      <c r="C840" s="324" t="s">
        <v>141</v>
      </c>
      <c r="D840" s="224"/>
      <c r="E840" s="158"/>
    </row>
    <row r="841">
      <c r="A841" s="322" t="s">
        <v>18</v>
      </c>
      <c r="B841" s="222"/>
      <c r="C841" s="324" t="s">
        <v>85</v>
      </c>
      <c r="D841" s="224"/>
      <c r="E841" s="158"/>
    </row>
    <row r="842">
      <c r="A842" s="322" t="s">
        <v>19</v>
      </c>
      <c r="B842" s="222"/>
      <c r="C842" s="324" t="s">
        <v>142</v>
      </c>
      <c r="D842" s="224"/>
      <c r="E842" s="158"/>
    </row>
    <row r="843">
      <c r="A843" s="322" t="s">
        <v>20</v>
      </c>
      <c r="B843" s="222"/>
      <c r="C843" s="322" t="s">
        <v>87</v>
      </c>
      <c r="D843" s="224"/>
      <c r="E843" s="158"/>
    </row>
    <row r="844">
      <c r="A844" s="322" t="s">
        <v>21</v>
      </c>
      <c r="B844" s="222"/>
      <c r="C844" s="322" t="s">
        <v>387</v>
      </c>
      <c r="D844" s="323" t="s">
        <v>383</v>
      </c>
      <c r="E844" s="196" t="s">
        <v>74</v>
      </c>
    </row>
    <row r="845">
      <c r="A845" s="322" t="s">
        <v>22</v>
      </c>
      <c r="B845" s="222"/>
      <c r="C845" s="322" t="s">
        <v>388</v>
      </c>
      <c r="D845" s="323" t="s">
        <v>1</v>
      </c>
      <c r="E845" s="196" t="s">
        <v>1</v>
      </c>
    </row>
    <row r="846">
      <c r="A846" s="322" t="s">
        <v>23</v>
      </c>
      <c r="B846" s="222"/>
      <c r="C846" s="322" t="s">
        <v>389</v>
      </c>
      <c r="D846" s="196" t="s">
        <v>2</v>
      </c>
      <c r="E846" s="196" t="s">
        <v>2</v>
      </c>
    </row>
    <row r="847">
      <c r="A847" s="322" t="s">
        <v>25</v>
      </c>
      <c r="B847" s="222"/>
      <c r="C847" s="322" t="s">
        <v>30</v>
      </c>
      <c r="D847" s="323" t="s">
        <v>3</v>
      </c>
      <c r="E847" s="196" t="s">
        <v>3</v>
      </c>
    </row>
    <row r="848">
      <c r="A848" s="322" t="s">
        <v>26</v>
      </c>
      <c r="B848" s="222"/>
      <c r="C848" s="195"/>
      <c r="D848" s="324" t="s">
        <v>4</v>
      </c>
      <c r="E848" s="322" t="s">
        <v>4</v>
      </c>
    </row>
    <row r="849">
      <c r="A849" s="196" t="s">
        <v>30</v>
      </c>
      <c r="B849" s="222"/>
      <c r="C849" s="195"/>
      <c r="D849" s="324" t="s">
        <v>319</v>
      </c>
      <c r="E849" s="322" t="s">
        <v>319</v>
      </c>
    </row>
    <row r="850">
      <c r="A850" s="196" t="s">
        <v>390</v>
      </c>
      <c r="B850" s="222"/>
      <c r="C850" s="195"/>
      <c r="D850" s="324" t="s">
        <v>320</v>
      </c>
      <c r="E850" s="322" t="s">
        <v>320</v>
      </c>
    </row>
    <row r="851">
      <c r="A851" s="158"/>
      <c r="B851" s="222"/>
      <c r="C851" s="195"/>
      <c r="D851" s="324" t="s">
        <v>75</v>
      </c>
      <c r="E851" s="322" t="s">
        <v>75</v>
      </c>
    </row>
    <row r="852">
      <c r="A852" s="158"/>
      <c r="B852" s="222"/>
      <c r="C852" s="195"/>
      <c r="D852" s="324" t="s">
        <v>9</v>
      </c>
      <c r="E852" s="322" t="s">
        <v>9</v>
      </c>
    </row>
    <row r="853">
      <c r="A853" s="158"/>
      <c r="B853" s="222"/>
      <c r="C853" s="195"/>
      <c r="D853" s="324" t="s">
        <v>10</v>
      </c>
      <c r="E853" s="322" t="s">
        <v>76</v>
      </c>
    </row>
    <row r="854">
      <c r="A854" s="158"/>
      <c r="B854" s="222"/>
      <c r="C854" s="195"/>
      <c r="D854" s="324" t="s">
        <v>11</v>
      </c>
      <c r="E854" s="322" t="s">
        <v>77</v>
      </c>
    </row>
    <row r="855">
      <c r="A855" s="158"/>
      <c r="B855" s="222"/>
      <c r="C855" s="195"/>
      <c r="D855" s="323" t="s">
        <v>12</v>
      </c>
      <c r="E855" s="196" t="s">
        <v>12</v>
      </c>
    </row>
    <row r="856">
      <c r="A856" s="158"/>
      <c r="B856" s="222"/>
      <c r="C856" s="195"/>
      <c r="D856" s="324" t="s">
        <v>13</v>
      </c>
      <c r="E856" s="324" t="s">
        <v>13</v>
      </c>
    </row>
    <row r="857">
      <c r="A857" s="158"/>
      <c r="B857" s="222"/>
      <c r="C857" s="195"/>
      <c r="D857" s="324" t="s">
        <v>14</v>
      </c>
      <c r="E857" s="324" t="s">
        <v>14</v>
      </c>
    </row>
    <row r="858">
      <c r="A858" s="158"/>
      <c r="B858" s="222"/>
      <c r="C858" s="195"/>
      <c r="D858" s="324" t="s">
        <v>78</v>
      </c>
      <c r="E858" s="324" t="s">
        <v>78</v>
      </c>
    </row>
    <row r="859">
      <c r="A859" s="158"/>
      <c r="B859" s="222"/>
      <c r="C859" s="195"/>
      <c r="D859" s="324" t="s">
        <v>79</v>
      </c>
      <c r="E859" s="324" t="s">
        <v>79</v>
      </c>
    </row>
    <row r="860">
      <c r="A860" s="158"/>
      <c r="B860" s="222"/>
      <c r="C860" s="195"/>
      <c r="D860" s="324" t="s">
        <v>114</v>
      </c>
      <c r="E860" s="324" t="s">
        <v>114</v>
      </c>
    </row>
    <row r="861">
      <c r="A861" s="158"/>
      <c r="B861" s="222"/>
      <c r="C861" s="195"/>
      <c r="D861" s="324" t="s">
        <v>115</v>
      </c>
      <c r="E861" s="324" t="s">
        <v>115</v>
      </c>
    </row>
    <row r="862">
      <c r="A862" s="158"/>
      <c r="B862" s="222"/>
      <c r="C862" s="195"/>
      <c r="D862" s="324" t="s">
        <v>385</v>
      </c>
      <c r="E862" s="324" t="s">
        <v>385</v>
      </c>
    </row>
    <row r="863">
      <c r="A863" s="158"/>
      <c r="B863" s="222"/>
      <c r="C863" s="195"/>
      <c r="D863" s="324" t="s">
        <v>386</v>
      </c>
      <c r="E863" s="324" t="s">
        <v>386</v>
      </c>
    </row>
    <row r="864">
      <c r="A864" s="158"/>
      <c r="B864" s="222"/>
      <c r="C864" s="195"/>
      <c r="D864" s="324" t="s">
        <v>141</v>
      </c>
      <c r="E864" s="324" t="s">
        <v>141</v>
      </c>
    </row>
    <row r="865">
      <c r="A865" s="158"/>
      <c r="B865" s="222"/>
      <c r="C865" s="195"/>
      <c r="D865" s="324" t="s">
        <v>85</v>
      </c>
      <c r="E865" s="324" t="s">
        <v>85</v>
      </c>
    </row>
    <row r="866">
      <c r="A866" s="158"/>
      <c r="B866" s="222"/>
      <c r="C866" s="195"/>
      <c r="D866" s="324" t="s">
        <v>142</v>
      </c>
      <c r="E866" s="324" t="s">
        <v>86</v>
      </c>
    </row>
    <row r="867">
      <c r="A867" s="158"/>
      <c r="B867" s="222"/>
      <c r="C867" s="195"/>
      <c r="D867" s="324" t="s">
        <v>87</v>
      </c>
      <c r="E867" s="324" t="s">
        <v>87</v>
      </c>
    </row>
    <row r="868">
      <c r="A868" s="158"/>
      <c r="B868" s="222"/>
      <c r="C868" s="322" t="s">
        <v>74</v>
      </c>
      <c r="D868" s="324" t="s">
        <v>25</v>
      </c>
      <c r="E868" s="322" t="s">
        <v>387</v>
      </c>
    </row>
    <row r="869">
      <c r="A869" s="158"/>
      <c r="B869" s="222"/>
      <c r="C869" s="322" t="s">
        <v>1</v>
      </c>
      <c r="D869" s="324" t="s">
        <v>26</v>
      </c>
      <c r="E869" s="322" t="s">
        <v>388</v>
      </c>
    </row>
    <row r="870">
      <c r="A870" s="158"/>
      <c r="B870" s="222"/>
      <c r="C870" s="161" t="s">
        <v>2</v>
      </c>
      <c r="D870" s="324" t="s">
        <v>382</v>
      </c>
      <c r="E870" s="324" t="s">
        <v>382</v>
      </c>
    </row>
    <row r="871">
      <c r="A871" s="158"/>
      <c r="B871" s="222"/>
      <c r="C871" s="322" t="s">
        <v>3</v>
      </c>
      <c r="D871" s="323" t="s">
        <v>30</v>
      </c>
      <c r="E871" s="322" t="s">
        <v>30</v>
      </c>
    </row>
    <row r="872">
      <c r="A872" s="158"/>
      <c r="B872" s="222"/>
      <c r="C872" s="322" t="s">
        <v>4</v>
      </c>
      <c r="D872" s="224"/>
      <c r="E872" s="158"/>
    </row>
    <row r="873">
      <c r="A873" s="158"/>
      <c r="B873" s="196" t="s">
        <v>74</v>
      </c>
      <c r="C873" s="322" t="s">
        <v>319</v>
      </c>
      <c r="D873" s="224"/>
      <c r="E873" s="158"/>
    </row>
    <row r="874">
      <c r="A874" s="158"/>
      <c r="B874" s="196" t="s">
        <v>1</v>
      </c>
      <c r="C874" s="322" t="s">
        <v>320</v>
      </c>
      <c r="D874" s="224"/>
      <c r="E874" s="158"/>
    </row>
    <row r="875">
      <c r="A875" s="158"/>
      <c r="B875" s="196" t="s">
        <v>2</v>
      </c>
      <c r="C875" s="322" t="s">
        <v>321</v>
      </c>
      <c r="D875" s="224"/>
      <c r="E875" s="158"/>
    </row>
    <row r="876">
      <c r="A876" s="158"/>
      <c r="B876" s="196" t="s">
        <v>3</v>
      </c>
      <c r="C876" s="322" t="s">
        <v>9</v>
      </c>
      <c r="D876" s="224"/>
      <c r="E876" s="158"/>
    </row>
    <row r="877">
      <c r="A877" s="158"/>
      <c r="B877" s="322" t="s">
        <v>4</v>
      </c>
      <c r="C877" s="322" t="s">
        <v>139</v>
      </c>
      <c r="D877" s="224"/>
      <c r="E877" s="158"/>
    </row>
    <row r="878">
      <c r="A878" s="158"/>
      <c r="B878" s="334" t="s">
        <v>319</v>
      </c>
      <c r="C878" s="322" t="s">
        <v>11</v>
      </c>
      <c r="D878" s="224"/>
      <c r="E878" s="158"/>
    </row>
    <row r="879">
      <c r="A879" s="158"/>
      <c r="B879" s="334" t="s">
        <v>320</v>
      </c>
      <c r="C879" s="322" t="s">
        <v>12</v>
      </c>
      <c r="D879" s="224"/>
      <c r="E879" s="158"/>
    </row>
    <row r="880">
      <c r="A880" s="158"/>
      <c r="B880" s="196" t="s">
        <v>321</v>
      </c>
      <c r="C880" s="324" t="s">
        <v>13</v>
      </c>
      <c r="D880" s="224"/>
      <c r="E880" s="158"/>
    </row>
    <row r="881">
      <c r="A881" s="158"/>
      <c r="B881" s="322" t="s">
        <v>9</v>
      </c>
      <c r="C881" s="324" t="s">
        <v>14</v>
      </c>
      <c r="D881" s="224"/>
      <c r="E881" s="158"/>
    </row>
    <row r="882">
      <c r="A882" s="158"/>
      <c r="B882" s="322" t="s">
        <v>10</v>
      </c>
      <c r="C882" s="324" t="s">
        <v>78</v>
      </c>
      <c r="D882" s="224"/>
      <c r="E882" s="158"/>
    </row>
    <row r="883">
      <c r="A883" s="158"/>
      <c r="B883" s="322" t="s">
        <v>11</v>
      </c>
      <c r="C883" s="324" t="s">
        <v>79</v>
      </c>
      <c r="D883" s="224"/>
      <c r="E883" s="158"/>
    </row>
    <row r="884">
      <c r="A884" s="158"/>
      <c r="B884" s="196" t="s">
        <v>12</v>
      </c>
      <c r="C884" s="324" t="s">
        <v>114</v>
      </c>
      <c r="D884" s="224"/>
      <c r="E884" s="158"/>
    </row>
    <row r="885">
      <c r="A885" s="158"/>
      <c r="B885" s="322" t="s">
        <v>13</v>
      </c>
      <c r="C885" s="324" t="s">
        <v>115</v>
      </c>
      <c r="D885" s="224"/>
      <c r="E885" s="158"/>
    </row>
    <row r="886">
      <c r="A886" s="196" t="s">
        <v>38</v>
      </c>
      <c r="B886" s="322" t="s">
        <v>14</v>
      </c>
      <c r="C886" s="324" t="s">
        <v>385</v>
      </c>
      <c r="D886" s="224"/>
      <c r="E886" s="158"/>
    </row>
    <row r="887">
      <c r="A887" s="196" t="s">
        <v>1</v>
      </c>
      <c r="B887" s="322" t="s">
        <v>15</v>
      </c>
      <c r="C887" s="324" t="s">
        <v>386</v>
      </c>
      <c r="D887" s="224"/>
      <c r="E887" s="158"/>
    </row>
    <row r="888">
      <c r="A888" s="196" t="s">
        <v>2</v>
      </c>
      <c r="B888" s="322" t="s">
        <v>16</v>
      </c>
      <c r="C888" s="324" t="s">
        <v>141</v>
      </c>
      <c r="D888" s="224"/>
      <c r="E888" s="158"/>
    </row>
    <row r="889">
      <c r="A889" s="196" t="s">
        <v>384</v>
      </c>
      <c r="B889" s="322" t="s">
        <v>17</v>
      </c>
      <c r="C889" s="324" t="s">
        <v>85</v>
      </c>
      <c r="D889" s="224"/>
      <c r="E889" s="158"/>
    </row>
    <row r="890">
      <c r="A890" s="196" t="s">
        <v>3</v>
      </c>
      <c r="B890" s="322" t="s">
        <v>18</v>
      </c>
      <c r="C890" s="324" t="s">
        <v>142</v>
      </c>
      <c r="D890" s="224"/>
      <c r="E890" s="158"/>
    </row>
    <row r="891">
      <c r="A891" s="322" t="s">
        <v>4</v>
      </c>
      <c r="B891" s="322" t="s">
        <v>19</v>
      </c>
      <c r="C891" s="322" t="s">
        <v>87</v>
      </c>
      <c r="D891" s="224"/>
      <c r="E891" s="158"/>
    </row>
    <row r="892">
      <c r="A892" s="334" t="s">
        <v>319</v>
      </c>
      <c r="B892" s="322" t="s">
        <v>20</v>
      </c>
      <c r="C892" s="322" t="s">
        <v>387</v>
      </c>
      <c r="D892" s="224"/>
      <c r="E892" s="158"/>
    </row>
    <row r="893">
      <c r="A893" s="334" t="s">
        <v>320</v>
      </c>
      <c r="B893" s="322" t="s">
        <v>21</v>
      </c>
      <c r="C893" s="322" t="s">
        <v>388</v>
      </c>
      <c r="D893" s="224"/>
      <c r="E893" s="158"/>
    </row>
    <row r="894">
      <c r="A894" s="196" t="s">
        <v>321</v>
      </c>
      <c r="B894" s="322" t="s">
        <v>22</v>
      </c>
      <c r="C894" s="322" t="s">
        <v>389</v>
      </c>
      <c r="D894" s="224"/>
      <c r="E894" s="158"/>
    </row>
    <row r="895">
      <c r="A895" s="322" t="s">
        <v>9</v>
      </c>
      <c r="B895" s="322" t="s">
        <v>23</v>
      </c>
      <c r="C895" s="322" t="s">
        <v>30</v>
      </c>
      <c r="D895" s="224"/>
      <c r="E895" s="158"/>
    </row>
    <row r="896">
      <c r="A896" s="322" t="s">
        <v>10</v>
      </c>
      <c r="B896" s="322" t="s">
        <v>25</v>
      </c>
      <c r="C896" s="195"/>
      <c r="D896" s="224"/>
      <c r="E896" s="158"/>
    </row>
    <row r="897">
      <c r="A897" s="322" t="s">
        <v>11</v>
      </c>
      <c r="B897" s="322" t="s">
        <v>26</v>
      </c>
      <c r="C897" s="195"/>
      <c r="D897" s="224"/>
      <c r="E897" s="158"/>
    </row>
    <row r="898">
      <c r="A898" s="196" t="s">
        <v>12</v>
      </c>
      <c r="B898" s="196" t="s">
        <v>30</v>
      </c>
      <c r="C898" s="195"/>
      <c r="D898" s="224"/>
      <c r="E898" s="158"/>
    </row>
    <row r="899">
      <c r="A899" s="322" t="s">
        <v>13</v>
      </c>
      <c r="B899" s="196"/>
      <c r="C899" s="195"/>
      <c r="D899" s="224"/>
      <c r="E899" s="158"/>
    </row>
    <row r="900">
      <c r="A900" s="322" t="s">
        <v>14</v>
      </c>
      <c r="B900" s="222"/>
      <c r="C900" s="195"/>
      <c r="D900" s="224"/>
      <c r="E900" s="158"/>
    </row>
    <row r="901">
      <c r="A901" s="322" t="s">
        <v>15</v>
      </c>
      <c r="B901" s="222"/>
      <c r="C901" s="195"/>
      <c r="D901" s="224"/>
      <c r="E901" s="158"/>
    </row>
    <row r="902">
      <c r="A902" s="322" t="s">
        <v>16</v>
      </c>
      <c r="B902" s="222"/>
      <c r="C902" s="195"/>
      <c r="D902" s="224"/>
      <c r="E902" s="158"/>
    </row>
    <row r="903">
      <c r="A903" s="322" t="s">
        <v>17</v>
      </c>
      <c r="B903" s="222"/>
      <c r="C903" s="195"/>
      <c r="D903" s="224"/>
      <c r="E903" s="158"/>
    </row>
    <row r="904">
      <c r="A904" s="322" t="s">
        <v>18</v>
      </c>
      <c r="B904" s="222"/>
      <c r="C904" s="195"/>
      <c r="D904" s="323" t="s">
        <v>383</v>
      </c>
      <c r="E904" s="196" t="s">
        <v>74</v>
      </c>
    </row>
    <row r="905">
      <c r="A905" s="322" t="s">
        <v>19</v>
      </c>
      <c r="B905" s="222"/>
      <c r="C905" s="195"/>
      <c r="D905" s="323" t="s">
        <v>1</v>
      </c>
      <c r="E905" s="196" t="s">
        <v>1</v>
      </c>
    </row>
    <row r="906">
      <c r="A906" s="322" t="s">
        <v>20</v>
      </c>
      <c r="B906" s="222"/>
      <c r="C906" s="195"/>
      <c r="D906" s="196" t="s">
        <v>2</v>
      </c>
      <c r="E906" s="196" t="s">
        <v>2</v>
      </c>
    </row>
    <row r="907">
      <c r="A907" s="322" t="s">
        <v>21</v>
      </c>
      <c r="B907" s="222"/>
      <c r="C907" s="195"/>
      <c r="D907" s="323" t="s">
        <v>3</v>
      </c>
      <c r="E907" s="196" t="s">
        <v>3</v>
      </c>
    </row>
    <row r="908">
      <c r="A908" s="322" t="s">
        <v>22</v>
      </c>
      <c r="B908" s="222"/>
      <c r="C908" s="195"/>
      <c r="D908" s="324" t="s">
        <v>4</v>
      </c>
      <c r="E908" s="322" t="s">
        <v>4</v>
      </c>
    </row>
    <row r="909">
      <c r="A909" s="322" t="s">
        <v>23</v>
      </c>
      <c r="B909" s="222"/>
      <c r="C909" s="195"/>
      <c r="D909" s="324" t="s">
        <v>319</v>
      </c>
      <c r="E909" s="322" t="s">
        <v>319</v>
      </c>
    </row>
    <row r="910">
      <c r="A910" s="322" t="s">
        <v>25</v>
      </c>
      <c r="B910" s="222"/>
      <c r="C910" s="195"/>
      <c r="D910" s="324" t="s">
        <v>320</v>
      </c>
      <c r="E910" s="322" t="s">
        <v>320</v>
      </c>
    </row>
    <row r="911">
      <c r="A911" s="322" t="s">
        <v>26</v>
      </c>
      <c r="B911" s="222"/>
      <c r="C911" s="195"/>
      <c r="D911" s="324" t="s">
        <v>75</v>
      </c>
      <c r="E911" s="322" t="s">
        <v>75</v>
      </c>
    </row>
    <row r="912">
      <c r="A912" s="196" t="s">
        <v>30</v>
      </c>
      <c r="B912" s="222"/>
      <c r="C912" s="195"/>
      <c r="D912" s="324" t="s">
        <v>9</v>
      </c>
      <c r="E912" s="322" t="s">
        <v>9</v>
      </c>
    </row>
    <row r="913">
      <c r="A913" s="196" t="s">
        <v>390</v>
      </c>
      <c r="B913" s="222"/>
      <c r="C913" s="195"/>
      <c r="D913" s="324" t="s">
        <v>10</v>
      </c>
      <c r="E913" s="322" t="s">
        <v>76</v>
      </c>
    </row>
    <row r="914">
      <c r="A914" s="158"/>
      <c r="B914" s="222"/>
      <c r="C914" s="195"/>
      <c r="D914" s="324" t="s">
        <v>11</v>
      </c>
      <c r="E914" s="322" t="s">
        <v>77</v>
      </c>
    </row>
    <row r="915">
      <c r="A915" s="158"/>
      <c r="B915" s="222"/>
      <c r="C915" s="195"/>
      <c r="D915" s="323" t="s">
        <v>12</v>
      </c>
      <c r="E915" s="196" t="s">
        <v>12</v>
      </c>
    </row>
    <row r="916">
      <c r="A916" s="158"/>
      <c r="B916" s="222"/>
      <c r="C916" s="322" t="s">
        <v>74</v>
      </c>
      <c r="D916" s="324" t="s">
        <v>13</v>
      </c>
      <c r="E916" s="324" t="s">
        <v>13</v>
      </c>
    </row>
    <row r="917">
      <c r="A917" s="158"/>
      <c r="B917" s="222"/>
      <c r="C917" s="322" t="s">
        <v>1</v>
      </c>
      <c r="D917" s="324" t="s">
        <v>14</v>
      </c>
      <c r="E917" s="324" t="s">
        <v>14</v>
      </c>
    </row>
    <row r="918">
      <c r="A918" s="158"/>
      <c r="B918" s="222"/>
      <c r="C918" s="161" t="s">
        <v>2</v>
      </c>
      <c r="D918" s="324" t="s">
        <v>78</v>
      </c>
      <c r="E918" s="324" t="s">
        <v>78</v>
      </c>
    </row>
    <row r="919">
      <c r="A919" s="158"/>
      <c r="B919" s="222"/>
      <c r="C919" s="322" t="s">
        <v>3</v>
      </c>
      <c r="D919" s="324" t="s">
        <v>79</v>
      </c>
      <c r="E919" s="324" t="s">
        <v>79</v>
      </c>
    </row>
    <row r="920">
      <c r="A920" s="158"/>
      <c r="B920" s="222"/>
      <c r="C920" s="322" t="s">
        <v>4</v>
      </c>
      <c r="D920" s="324" t="s">
        <v>114</v>
      </c>
      <c r="E920" s="324" t="s">
        <v>114</v>
      </c>
    </row>
    <row r="921">
      <c r="A921" s="158"/>
      <c r="B921" s="222"/>
      <c r="C921" s="322" t="s">
        <v>319</v>
      </c>
      <c r="D921" s="324" t="s">
        <v>115</v>
      </c>
      <c r="E921" s="324" t="s">
        <v>115</v>
      </c>
    </row>
    <row r="922">
      <c r="A922" s="158"/>
      <c r="B922" s="222"/>
      <c r="C922" s="322" t="s">
        <v>320</v>
      </c>
      <c r="D922" s="324" t="s">
        <v>385</v>
      </c>
      <c r="E922" s="324" t="s">
        <v>385</v>
      </c>
    </row>
    <row r="923">
      <c r="A923" s="158"/>
      <c r="B923" s="222"/>
      <c r="C923" s="322" t="s">
        <v>321</v>
      </c>
      <c r="D923" s="324" t="s">
        <v>386</v>
      </c>
      <c r="E923" s="324" t="s">
        <v>386</v>
      </c>
    </row>
    <row r="924">
      <c r="A924" s="158"/>
      <c r="B924" s="222"/>
      <c r="C924" s="322" t="s">
        <v>9</v>
      </c>
      <c r="D924" s="324" t="s">
        <v>141</v>
      </c>
      <c r="E924" s="324" t="s">
        <v>141</v>
      </c>
    </row>
    <row r="925">
      <c r="A925" s="158"/>
      <c r="B925" s="222"/>
      <c r="C925" s="322" t="s">
        <v>139</v>
      </c>
      <c r="D925" s="324" t="s">
        <v>85</v>
      </c>
      <c r="E925" s="324" t="s">
        <v>85</v>
      </c>
    </row>
    <row r="926">
      <c r="A926" s="158"/>
      <c r="B926" s="222"/>
      <c r="C926" s="322" t="s">
        <v>11</v>
      </c>
      <c r="D926" s="324" t="s">
        <v>142</v>
      </c>
      <c r="E926" s="324" t="s">
        <v>86</v>
      </c>
    </row>
    <row r="927">
      <c r="A927" s="158"/>
      <c r="B927" s="222"/>
      <c r="C927" s="322" t="s">
        <v>12</v>
      </c>
      <c r="D927" s="324" t="s">
        <v>87</v>
      </c>
      <c r="E927" s="324" t="s">
        <v>87</v>
      </c>
    </row>
    <row r="928">
      <c r="A928" s="158"/>
      <c r="B928" s="222"/>
      <c r="C928" s="324" t="s">
        <v>13</v>
      </c>
      <c r="D928" s="324" t="s">
        <v>25</v>
      </c>
      <c r="E928" s="322" t="s">
        <v>387</v>
      </c>
    </row>
    <row r="929">
      <c r="A929" s="158"/>
      <c r="B929" s="222"/>
      <c r="C929" s="324" t="s">
        <v>14</v>
      </c>
      <c r="D929" s="324" t="s">
        <v>26</v>
      </c>
      <c r="E929" s="322" t="s">
        <v>388</v>
      </c>
    </row>
    <row r="930">
      <c r="A930" s="158"/>
      <c r="B930" s="222"/>
      <c r="C930" s="324" t="s">
        <v>78</v>
      </c>
      <c r="D930" s="324" t="s">
        <v>382</v>
      </c>
      <c r="E930" s="324" t="s">
        <v>382</v>
      </c>
    </row>
    <row r="931">
      <c r="A931" s="158"/>
      <c r="B931" s="222"/>
      <c r="C931" s="324" t="s">
        <v>79</v>
      </c>
      <c r="D931" s="323" t="s">
        <v>30</v>
      </c>
      <c r="E931" s="322" t="s">
        <v>30</v>
      </c>
    </row>
    <row r="932">
      <c r="A932" s="158"/>
      <c r="B932" s="222"/>
      <c r="C932" s="324" t="s">
        <v>114</v>
      </c>
      <c r="D932" s="224"/>
      <c r="E932" s="158"/>
    </row>
    <row r="933">
      <c r="A933" s="158"/>
      <c r="B933" s="222"/>
      <c r="C933" s="324" t="s">
        <v>115</v>
      </c>
      <c r="D933" s="224"/>
      <c r="E933" s="158"/>
    </row>
    <row r="934">
      <c r="A934" s="158"/>
      <c r="B934" s="222"/>
      <c r="C934" s="324" t="s">
        <v>385</v>
      </c>
      <c r="D934" s="224"/>
      <c r="E934" s="158"/>
    </row>
    <row r="935">
      <c r="A935" s="158"/>
      <c r="B935" s="196" t="s">
        <v>74</v>
      </c>
      <c r="C935" s="324" t="s">
        <v>386</v>
      </c>
      <c r="D935" s="224"/>
      <c r="E935" s="158"/>
    </row>
    <row r="936">
      <c r="A936" s="158"/>
      <c r="B936" s="196" t="s">
        <v>1</v>
      </c>
      <c r="C936" s="324" t="s">
        <v>141</v>
      </c>
      <c r="D936" s="224"/>
      <c r="E936" s="158"/>
    </row>
    <row r="937">
      <c r="A937" s="158"/>
      <c r="B937" s="196" t="s">
        <v>2</v>
      </c>
      <c r="C937" s="324" t="s">
        <v>85</v>
      </c>
      <c r="D937" s="224"/>
      <c r="E937" s="158"/>
    </row>
    <row r="938">
      <c r="A938" s="158"/>
      <c r="B938" s="196" t="s">
        <v>3</v>
      </c>
      <c r="C938" s="324" t="s">
        <v>142</v>
      </c>
      <c r="D938" s="224"/>
      <c r="E938" s="158"/>
    </row>
    <row r="939">
      <c r="A939" s="158"/>
      <c r="B939" s="322" t="s">
        <v>4</v>
      </c>
      <c r="C939" s="322" t="s">
        <v>87</v>
      </c>
      <c r="D939" s="224"/>
      <c r="E939" s="158"/>
    </row>
    <row r="940">
      <c r="A940" s="158"/>
      <c r="B940" s="334" t="s">
        <v>319</v>
      </c>
      <c r="C940" s="322" t="s">
        <v>387</v>
      </c>
      <c r="D940" s="224"/>
      <c r="E940" s="158"/>
    </row>
    <row r="941">
      <c r="A941" s="158"/>
      <c r="B941" s="334" t="s">
        <v>320</v>
      </c>
      <c r="C941" s="322" t="s">
        <v>388</v>
      </c>
      <c r="D941" s="224"/>
      <c r="E941" s="158"/>
    </row>
    <row r="942">
      <c r="A942" s="158"/>
      <c r="B942" s="196" t="s">
        <v>321</v>
      </c>
      <c r="C942" s="322" t="s">
        <v>389</v>
      </c>
      <c r="D942" s="224"/>
      <c r="E942" s="158"/>
    </row>
    <row r="943">
      <c r="A943" s="158"/>
      <c r="B943" s="322" t="s">
        <v>9</v>
      </c>
      <c r="C943" s="322" t="s">
        <v>30</v>
      </c>
      <c r="D943" s="224"/>
      <c r="E943" s="158"/>
    </row>
    <row r="944">
      <c r="A944" s="158"/>
      <c r="B944" s="322" t="s">
        <v>10</v>
      </c>
      <c r="C944" s="195"/>
      <c r="D944" s="224"/>
      <c r="E944" s="158"/>
    </row>
    <row r="945">
      <c r="A945" s="158"/>
      <c r="B945" s="322" t="s">
        <v>11</v>
      </c>
      <c r="C945" s="195"/>
      <c r="D945" s="224"/>
      <c r="E945" s="158"/>
    </row>
    <row r="946">
      <c r="A946" s="158"/>
      <c r="B946" s="196" t="s">
        <v>12</v>
      </c>
      <c r="C946" s="195"/>
      <c r="D946" s="224"/>
      <c r="E946" s="158"/>
    </row>
    <row r="947">
      <c r="A947" s="158"/>
      <c r="B947" s="322" t="s">
        <v>13</v>
      </c>
      <c r="C947" s="195"/>
      <c r="D947" s="224"/>
      <c r="E947" s="158"/>
    </row>
    <row r="948">
      <c r="A948" s="158"/>
      <c r="B948" s="322" t="s">
        <v>14</v>
      </c>
      <c r="C948" s="195"/>
      <c r="D948" s="224"/>
      <c r="E948" s="158"/>
    </row>
    <row r="949">
      <c r="B949" s="322" t="s">
        <v>15</v>
      </c>
      <c r="C949" s="195"/>
      <c r="D949" s="224"/>
      <c r="E949" s="158"/>
    </row>
    <row r="950">
      <c r="B950" s="322" t="s">
        <v>16</v>
      </c>
      <c r="C950" s="195"/>
      <c r="D950" s="224"/>
      <c r="E950" s="158"/>
    </row>
    <row r="951">
      <c r="B951" s="322" t="s">
        <v>17</v>
      </c>
      <c r="C951" s="195"/>
      <c r="D951" s="224"/>
      <c r="E951" s="158"/>
    </row>
    <row r="952">
      <c r="B952" s="322" t="s">
        <v>18</v>
      </c>
      <c r="C952" s="195"/>
      <c r="D952" s="224"/>
      <c r="E952" s="158"/>
    </row>
    <row r="953">
      <c r="B953" s="322" t="s">
        <v>19</v>
      </c>
      <c r="C953" s="195"/>
      <c r="D953" s="224"/>
      <c r="E953" s="158"/>
    </row>
    <row r="954">
      <c r="B954" s="322" t="s">
        <v>20</v>
      </c>
      <c r="C954" s="195"/>
      <c r="D954" s="224"/>
      <c r="E954" s="158"/>
    </row>
    <row r="955">
      <c r="B955" s="322" t="s">
        <v>21</v>
      </c>
      <c r="C955" s="195"/>
      <c r="D955" s="224"/>
      <c r="E955" s="158"/>
    </row>
    <row r="956">
      <c r="B956" s="322" t="s">
        <v>22</v>
      </c>
      <c r="C956" s="195"/>
      <c r="D956" s="224"/>
      <c r="E956" s="158"/>
    </row>
    <row r="957">
      <c r="B957" s="322" t="s">
        <v>23</v>
      </c>
      <c r="C957" s="195"/>
      <c r="D957" s="224"/>
      <c r="E957" s="158"/>
    </row>
    <row r="958">
      <c r="B958" s="322" t="s">
        <v>25</v>
      </c>
      <c r="C958" s="195"/>
      <c r="D958" s="224"/>
      <c r="E958" s="158"/>
    </row>
    <row r="959">
      <c r="B959" s="322" t="s">
        <v>26</v>
      </c>
      <c r="C959" s="195"/>
      <c r="D959" s="224"/>
      <c r="E959" s="158"/>
    </row>
    <row r="960">
      <c r="B960" s="196" t="s">
        <v>30</v>
      </c>
      <c r="C960" s="195"/>
      <c r="D960" s="224"/>
      <c r="E960" s="158"/>
    </row>
    <row r="961">
      <c r="B961" s="196"/>
      <c r="C961" s="195"/>
      <c r="D961" s="224"/>
      <c r="E961" s="158"/>
    </row>
    <row r="962">
      <c r="B962" s="222"/>
      <c r="C962" s="195"/>
      <c r="D962" s="224"/>
      <c r="E962" s="158"/>
    </row>
    <row r="963">
      <c r="B963" s="222"/>
      <c r="C963" s="195"/>
      <c r="D963" s="224"/>
      <c r="E963" s="158"/>
    </row>
    <row r="964">
      <c r="B964" s="222"/>
    </row>
    <row r="965">
      <c r="B965" s="222"/>
    </row>
    <row r="966">
      <c r="B966" s="222"/>
    </row>
    <row r="967">
      <c r="B967" s="222"/>
    </row>
    <row r="968">
      <c r="B968" s="222"/>
    </row>
    <row r="969">
      <c r="B969" s="222"/>
    </row>
    <row r="970">
      <c r="B970" s="222"/>
    </row>
    <row r="971">
      <c r="B971" s="222"/>
    </row>
    <row r="972">
      <c r="B972" s="222"/>
    </row>
    <row r="973">
      <c r="B973" s="222"/>
    </row>
    <row r="974">
      <c r="B974" s="222"/>
    </row>
    <row r="975">
      <c r="B975" s="222"/>
    </row>
    <row r="976">
      <c r="B976" s="222"/>
    </row>
    <row r="977">
      <c r="B977" s="222"/>
    </row>
    <row r="978">
      <c r="B978" s="222"/>
    </row>
    <row r="979">
      <c r="B979" s="222"/>
    </row>
    <row r="980">
      <c r="B980" s="222"/>
    </row>
    <row r="981">
      <c r="B981" s="222"/>
    </row>
    <row r="982">
      <c r="B982" s="222"/>
    </row>
    <row r="983">
      <c r="B983" s="222"/>
    </row>
    <row r="984">
      <c r="B984" s="222"/>
    </row>
    <row r="985">
      <c r="B985" s="222"/>
    </row>
    <row r="986">
      <c r="B986" s="222"/>
    </row>
    <row r="987">
      <c r="B987" s="222"/>
    </row>
    <row r="988">
      <c r="B988" s="222"/>
    </row>
    <row r="989">
      <c r="B989" s="222"/>
    </row>
    <row r="990">
      <c r="B990" s="222"/>
    </row>
    <row r="991">
      <c r="B991" s="222"/>
    </row>
    <row r="992">
      <c r="B992" s="222"/>
    </row>
    <row r="993">
      <c r="B993" s="222"/>
    </row>
    <row r="994">
      <c r="B994" s="222"/>
    </row>
    <row r="995">
      <c r="B995" s="222"/>
    </row>
    <row r="996">
      <c r="B996" s="22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54" t="s">
        <v>391</v>
      </c>
      <c r="B1" s="159" t="s">
        <v>392</v>
      </c>
      <c r="D1" s="159"/>
    </row>
    <row r="2">
      <c r="A2" s="54" t="s">
        <v>74</v>
      </c>
      <c r="B2" s="159" t="s">
        <v>393</v>
      </c>
      <c r="D2" s="159"/>
    </row>
    <row r="3">
      <c r="A3" s="54" t="s">
        <v>394</v>
      </c>
      <c r="B3" s="159" t="s">
        <v>395</v>
      </c>
      <c r="D3" s="159"/>
    </row>
    <row r="4">
      <c r="A4" s="54" t="s">
        <v>396</v>
      </c>
      <c r="B4" s="159" t="s">
        <v>397</v>
      </c>
      <c r="D4" s="159"/>
    </row>
    <row r="5">
      <c r="A5" s="54" t="s">
        <v>384</v>
      </c>
      <c r="B5" s="335" t="s">
        <v>398</v>
      </c>
      <c r="D5" s="159"/>
    </row>
    <row r="6">
      <c r="A6" s="54" t="s">
        <v>3</v>
      </c>
      <c r="B6" s="159" t="s">
        <v>399</v>
      </c>
      <c r="D6" s="159"/>
    </row>
    <row r="7">
      <c r="A7" s="336" t="s">
        <v>4</v>
      </c>
      <c r="B7" s="159" t="s">
        <v>400</v>
      </c>
      <c r="D7" s="159"/>
    </row>
    <row r="8">
      <c r="A8" s="336" t="s">
        <v>319</v>
      </c>
      <c r="B8" s="159" t="s">
        <v>401</v>
      </c>
      <c r="D8" s="159"/>
    </row>
    <row r="9">
      <c r="A9" s="336" t="s">
        <v>320</v>
      </c>
      <c r="B9" s="159" t="s">
        <v>402</v>
      </c>
      <c r="D9" s="159"/>
    </row>
    <row r="10">
      <c r="A10" s="336" t="s">
        <v>76</v>
      </c>
      <c r="B10" s="159" t="s">
        <v>403</v>
      </c>
      <c r="D10" s="159"/>
    </row>
    <row r="11">
      <c r="A11" s="336" t="s">
        <v>77</v>
      </c>
      <c r="B11" s="159" t="s">
        <v>404</v>
      </c>
      <c r="D11" s="159"/>
    </row>
    <row r="12">
      <c r="A12" s="336" t="s">
        <v>12</v>
      </c>
      <c r="B12" s="159" t="s">
        <v>405</v>
      </c>
      <c r="D12" s="159"/>
    </row>
    <row r="13">
      <c r="A13" s="336" t="s">
        <v>321</v>
      </c>
      <c r="B13" s="159" t="s">
        <v>406</v>
      </c>
      <c r="D13" s="159"/>
    </row>
    <row r="14">
      <c r="A14" s="336" t="s">
        <v>9</v>
      </c>
      <c r="B14" s="159" t="s">
        <v>407</v>
      </c>
      <c r="D14" s="159"/>
    </row>
    <row r="15">
      <c r="A15" s="336" t="s">
        <v>387</v>
      </c>
      <c r="B15" s="159" t="s">
        <v>408</v>
      </c>
      <c r="D15" s="159"/>
    </row>
    <row r="16">
      <c r="A16" s="336" t="s">
        <v>388</v>
      </c>
      <c r="B16" s="159" t="s">
        <v>409</v>
      </c>
      <c r="D16" s="159"/>
    </row>
    <row r="17">
      <c r="A17" s="336" t="s">
        <v>30</v>
      </c>
      <c r="B17" s="159" t="s">
        <v>410</v>
      </c>
      <c r="D17" s="159"/>
    </row>
    <row r="18">
      <c r="A18" s="54" t="s">
        <v>411</v>
      </c>
      <c r="B18" s="159" t="s">
        <v>412</v>
      </c>
      <c r="D18" s="159"/>
    </row>
    <row r="19">
      <c r="A19" s="159"/>
      <c r="D19" s="159"/>
    </row>
    <row r="20">
      <c r="A20" s="159"/>
      <c r="D20" s="159"/>
    </row>
    <row r="21">
      <c r="A21" s="159"/>
      <c r="D21" s="159"/>
    </row>
    <row r="22">
      <c r="A22" s="159"/>
      <c r="D22" s="159"/>
    </row>
    <row r="23">
      <c r="A23" s="159"/>
      <c r="D23" s="159"/>
    </row>
    <row r="24">
      <c r="A24" s="159"/>
      <c r="D24" s="159"/>
    </row>
    <row r="25">
      <c r="A25" s="159"/>
      <c r="D25" s="159"/>
    </row>
    <row r="26">
      <c r="A26" s="159"/>
      <c r="D26" s="159"/>
    </row>
    <row r="27">
      <c r="A27" s="159"/>
      <c r="D27" s="159"/>
    </row>
    <row r="28">
      <c r="A28" s="159"/>
      <c r="D28" s="159"/>
    </row>
    <row r="29">
      <c r="A29" s="159"/>
      <c r="D29" s="159"/>
    </row>
    <row r="30">
      <c r="A30" s="159"/>
      <c r="D30" s="159"/>
    </row>
    <row r="31">
      <c r="A31" s="159"/>
      <c r="D31" s="159"/>
    </row>
    <row r="32">
      <c r="A32" s="159"/>
      <c r="D32" s="159"/>
    </row>
    <row r="33">
      <c r="A33" s="159"/>
      <c r="D33" s="159"/>
    </row>
    <row r="34">
      <c r="A34" s="159"/>
      <c r="D34" s="159"/>
    </row>
    <row r="35">
      <c r="A35" s="159"/>
      <c r="D35" s="159"/>
    </row>
    <row r="36">
      <c r="A36" s="159"/>
      <c r="D36" s="159"/>
    </row>
    <row r="37">
      <c r="A37" s="159"/>
      <c r="D37" s="159"/>
    </row>
    <row r="38">
      <c r="A38" s="159"/>
      <c r="D38" s="159"/>
    </row>
    <row r="39">
      <c r="A39" s="159"/>
      <c r="D39" s="159"/>
    </row>
    <row r="40">
      <c r="A40" s="159"/>
      <c r="D40" s="159"/>
    </row>
    <row r="41">
      <c r="A41" s="159"/>
      <c r="D41" s="159"/>
    </row>
    <row r="42">
      <c r="A42" s="159"/>
      <c r="D42" s="159"/>
    </row>
    <row r="43">
      <c r="A43" s="159"/>
      <c r="D43" s="159"/>
    </row>
    <row r="44">
      <c r="A44" s="159"/>
      <c r="D44" s="159"/>
    </row>
    <row r="45">
      <c r="A45" s="159"/>
      <c r="D45" s="159"/>
    </row>
    <row r="47">
      <c r="A47" s="159"/>
      <c r="D47" s="15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37">
        <v>43374.0</v>
      </c>
      <c r="B2" s="337">
        <v>43375.0</v>
      </c>
      <c r="C2" s="302">
        <v>0.78125</v>
      </c>
      <c r="D2" s="302">
        <v>0.041666666666666664</v>
      </c>
      <c r="E2" s="159">
        <f>24*( DATEDIF(A2,B2,"D")+TIMEVALUE(D2)-TIMEVALUE(C2))</f>
        <v>6.25</v>
      </c>
    </row>
    <row r="5">
      <c r="A5" s="338">
        <v>43448.0</v>
      </c>
      <c r="B5" s="302">
        <v>0.20972222222222223</v>
      </c>
    </row>
    <row r="6">
      <c r="A6" s="338">
        <v>43455.0</v>
      </c>
      <c r="B6" s="302">
        <v>0.2111111111111111</v>
      </c>
    </row>
    <row r="7">
      <c r="A7" s="338">
        <v>43462.0</v>
      </c>
      <c r="B7" s="302">
        <v>0.21458333333333332</v>
      </c>
    </row>
    <row r="8">
      <c r="A8" s="338">
        <v>43469.0</v>
      </c>
      <c r="B8" s="302">
        <v>0.21875</v>
      </c>
    </row>
    <row r="9">
      <c r="A9" s="338">
        <v>43476.0</v>
      </c>
      <c r="B9" s="302">
        <v>0.22361111111111112</v>
      </c>
    </row>
    <row r="10">
      <c r="A10" s="338">
        <v>43483.0</v>
      </c>
      <c r="B10" s="302">
        <v>0.22916666666666666</v>
      </c>
    </row>
    <row r="11">
      <c r="A11" s="338">
        <v>43490.0</v>
      </c>
      <c r="B11" s="302">
        <v>0.23541666666666666</v>
      </c>
    </row>
    <row r="12">
      <c r="A12" s="338">
        <v>43497.0</v>
      </c>
      <c r="B12" s="302">
        <v>0.2423611111111111</v>
      </c>
    </row>
    <row r="13">
      <c r="A13" s="338">
        <v>43504.0</v>
      </c>
      <c r="B13" s="302">
        <v>0.24861111111111112</v>
      </c>
    </row>
    <row r="14">
      <c r="A14" s="338">
        <v>43511.0</v>
      </c>
      <c r="B14" s="302">
        <v>0.25555555555555554</v>
      </c>
    </row>
    <row r="15">
      <c r="A15" s="338">
        <v>43518.0</v>
      </c>
      <c r="B15" s="302">
        <v>0.2625</v>
      </c>
    </row>
    <row r="16">
      <c r="A16" s="338">
        <v>43525.0</v>
      </c>
      <c r="B16" s="302">
        <v>0.26875</v>
      </c>
    </row>
    <row r="17">
      <c r="A17" s="338">
        <v>43532.0</v>
      </c>
      <c r="B17" s="302">
        <v>0.27569444444444446</v>
      </c>
    </row>
    <row r="18">
      <c r="A18" s="338">
        <v>43539.0</v>
      </c>
      <c r="B18" s="302">
        <v>0.3236111111111111</v>
      </c>
      <c r="C18" s="159" t="s">
        <v>413</v>
      </c>
    </row>
    <row r="19">
      <c r="A19" s="338">
        <v>43546.0</v>
      </c>
      <c r="B19" s="302">
        <v>0.3298611111111111</v>
      </c>
      <c r="C19" s="159" t="s">
        <v>413</v>
      </c>
    </row>
    <row r="20">
      <c r="A20" s="338">
        <v>43553.0</v>
      </c>
      <c r="B20" s="302">
        <v>0.3368055555555556</v>
      </c>
      <c r="C20" s="159" t="s">
        <v>413</v>
      </c>
    </row>
    <row r="21">
      <c r="A21" s="338">
        <v>43560.0</v>
      </c>
      <c r="B21" s="302">
        <v>0.34305555555555556</v>
      </c>
      <c r="C21" s="159" t="s">
        <v>413</v>
      </c>
    </row>
    <row r="22">
      <c r="A22" s="338">
        <v>43567.0</v>
      </c>
    </row>
  </sheetData>
  <drawing r:id="rId1"/>
</worksheet>
</file>