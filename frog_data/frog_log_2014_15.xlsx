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" sheetId="1" r:id="rId4"/>
    <sheet state="visible" name="January" sheetId="2" r:id="rId5"/>
    <sheet state="visible" name="February" sheetId="3" r:id="rId6"/>
    <sheet state="visible" name="March" sheetId="4" r:id="rId7"/>
    <sheet state="visible" name="Sheet8" sheetId="5" r:id="rId8"/>
  </sheets>
  <definedNames>
    <definedName name="mar_tot_hrs">March!$H$34</definedName>
    <definedName name="feb_tot_hrs">February!$F$32</definedName>
    <definedName name="mar_tot_down">March!$I$34</definedName>
    <definedName name="jan_tot_up">January!$T$34</definedName>
    <definedName name="jan_tot_down">January!$S$34</definedName>
    <definedName name="mar_tot_up">March!$J$34</definedName>
    <definedName name="dec_tot_up">December!$J$34</definedName>
    <definedName name="dec_tot_hrs">December!$H$34</definedName>
    <definedName name="feb_tot_up">February!$U$32</definedName>
    <definedName name="dec_tot_down">December!$I$34</definedName>
    <definedName name="jan_tot_hrs">#REF!</definedName>
    <definedName name="feb_tot_down">February!$T$32</definedName>
  </definedNames>
  <calcPr/>
</workbook>
</file>

<file path=xl/sharedStrings.xml><?xml version="1.0" encoding="utf-8"?>
<sst xmlns="http://schemas.openxmlformats.org/spreadsheetml/2006/main" count="441" uniqueCount="153">
  <si>
    <t>Date</t>
  </si>
  <si>
    <t>Captain</t>
  </si>
  <si>
    <t>Temp.</t>
  </si>
  <si>
    <t>Weather</t>
  </si>
  <si>
    <t>Monitored (Y/N)</t>
  </si>
  <si>
    <t>Start time</t>
  </si>
  <si>
    <t>End time</t>
  </si>
  <si>
    <t>Hours</t>
  </si>
  <si>
    <t>Frogs down</t>
  </si>
  <si>
    <t>Frogs up</t>
  </si>
  <si>
    <t>Total frogs</t>
  </si>
  <si>
    <t>Comments</t>
  </si>
  <si>
    <t>wet/not raining</t>
  </si>
  <si>
    <t>Y</t>
  </si>
  <si>
    <t>Damp/dry sky</t>
  </si>
  <si>
    <t>Dry</t>
  </si>
  <si>
    <t>Raining</t>
  </si>
  <si>
    <t>damp but no rain</t>
  </si>
  <si>
    <t>Jane</t>
  </si>
  <si>
    <t>dry</t>
  </si>
  <si>
    <t>Anne</t>
  </si>
  <si>
    <t>50/44</t>
  </si>
  <si>
    <t>Trace for day</t>
  </si>
  <si>
    <t>H/L from archived weather data</t>
  </si>
  <si>
    <t>48/41</t>
  </si>
  <si>
    <t>.02" for day</t>
  </si>
  <si>
    <t>47/36</t>
  </si>
  <si>
    <t>.07" for day</t>
  </si>
  <si>
    <t>50/42</t>
  </si>
  <si>
    <t>0.3" for day</t>
  </si>
  <si>
    <t>Rain</t>
  </si>
  <si>
    <t>Rob</t>
  </si>
  <si>
    <t>59/45</t>
  </si>
  <si>
    <t>1.07" for day</t>
  </si>
  <si>
    <t>1st frogs of the season</t>
  </si>
  <si>
    <t>damp, light rain</t>
  </si>
  <si>
    <t>54/45</t>
  </si>
  <si>
    <t xml:space="preserve">0.03" for day </t>
  </si>
  <si>
    <t>53/43</t>
  </si>
  <si>
    <t>.016 for day</t>
  </si>
  <si>
    <t>41/40</t>
  </si>
  <si>
    <t>light rain, damp</t>
  </si>
  <si>
    <t>One squished female</t>
  </si>
  <si>
    <t>49/42</t>
  </si>
  <si>
    <t>.1" for day</t>
  </si>
  <si>
    <t>Shawn</t>
  </si>
  <si>
    <t>46/45</t>
  </si>
  <si>
    <t>.13" for day</t>
  </si>
  <si>
    <t>.27" for day</t>
  </si>
  <si>
    <t>No precipitation</t>
  </si>
  <si>
    <t>37/21</t>
  </si>
  <si>
    <t>DECEMBER TOTALS</t>
  </si>
  <si>
    <t>Season Total</t>
  </si>
  <si>
    <t>Females assisted down</t>
  </si>
  <si>
    <t>Unassisted females down</t>
  </si>
  <si>
    <t>Males assisted down</t>
  </si>
  <si>
    <t>Unassisted males down</t>
  </si>
  <si>
    <t>Females assisted up</t>
  </si>
  <si>
    <t>Unassisted females up</t>
  </si>
  <si>
    <t>Males assisted up</t>
  </si>
  <si>
    <t>Unassisted males up</t>
  </si>
  <si>
    <t>Juveniles up</t>
  </si>
  <si>
    <t>Roadkills</t>
  </si>
  <si>
    <t>39/20</t>
  </si>
  <si>
    <t>N</t>
  </si>
  <si>
    <t>H/L From archived weather data</t>
  </si>
  <si>
    <t>41/35</t>
  </si>
  <si>
    <t>47/48</t>
  </si>
  <si>
    <t>Light mist</t>
  </si>
  <si>
    <t xml:space="preserve">1 NW Salamander </t>
  </si>
  <si>
    <t>56/38</t>
  </si>
  <si>
    <t>47/37</t>
  </si>
  <si>
    <t>Dry pavement</t>
  </si>
  <si>
    <t>51/32</t>
  </si>
  <si>
    <t>Jeff</t>
  </si>
  <si>
    <t>:20</t>
  </si>
  <si>
    <t>dry, fog, road damp</t>
  </si>
  <si>
    <t>Damp, no rain</t>
  </si>
  <si>
    <t>MIsty, moist pavement</t>
  </si>
  <si>
    <t>49/35</t>
  </si>
  <si>
    <t>51/29</t>
  </si>
  <si>
    <t>48/26</t>
  </si>
  <si>
    <t>43/45</t>
  </si>
  <si>
    <t>No frogs in the early evening but Jeff went back at 1:55 a.m. after it started raining and had warmed to 45.Started raining at 1 a.m.,</t>
  </si>
  <si>
    <t>Clear skies</t>
  </si>
  <si>
    <t>59/36</t>
  </si>
  <si>
    <t>Email says "over 300".  Shawn delivered 147 downhill before 11, but Sue and Panos stayed until 1:50, when it stopped raining, it's not clear from emails if they were they were down or up.  30 roadkill RLs.</t>
  </si>
  <si>
    <t>Moist pavement, Showers</t>
  </si>
  <si>
    <t>Ceirdwen</t>
  </si>
  <si>
    <t>light drizzle</t>
  </si>
  <si>
    <t>43/46</t>
  </si>
  <si>
    <t>49/28</t>
  </si>
  <si>
    <t>H</t>
  </si>
  <si>
    <t>Dry, but wet pavement</t>
  </si>
  <si>
    <t>Sue</t>
  </si>
  <si>
    <t>Light Drizzle</t>
  </si>
  <si>
    <t>Warm</t>
  </si>
  <si>
    <t>Heavy Fog</t>
  </si>
  <si>
    <t>49/43</t>
  </si>
  <si>
    <t>Wet pavement</t>
  </si>
  <si>
    <t>12:30 a.m</t>
  </si>
  <si>
    <t>Mist</t>
  </si>
  <si>
    <t>First Frogs up???</t>
  </si>
  <si>
    <t>56/43</t>
  </si>
  <si>
    <t>51/30</t>
  </si>
  <si>
    <t>43/38</t>
  </si>
  <si>
    <t>Dry, dry pavement</t>
  </si>
  <si>
    <t>47/29</t>
  </si>
  <si>
    <t>JANUARY TOTAL</t>
  </si>
  <si>
    <t>Start Temp</t>
  </si>
  <si>
    <t>End Temp</t>
  </si>
  <si>
    <t>Light rain</t>
  </si>
  <si>
    <t>.89" for the day</t>
  </si>
  <si>
    <t>Dry, wet pavement</t>
  </si>
  <si>
    <t>Light rain, then mist</t>
  </si>
  <si>
    <t>7 chorus frogs; 1 LTS</t>
  </si>
  <si>
    <t>:15</t>
  </si>
  <si>
    <t>Dry/Cool</t>
  </si>
  <si>
    <t>Email from Jeff said 26 frogs were intercepted but doesn't break it down into up and down.</t>
  </si>
  <si>
    <t>Included 3 juvies. Moved 30 chorus frogs</t>
  </si>
  <si>
    <t>54/47</t>
  </si>
  <si>
    <t>.10 precipitation</t>
  </si>
  <si>
    <t>56/45</t>
  </si>
  <si>
    <t>.39" precipitation</t>
  </si>
  <si>
    <t>Very dry</t>
  </si>
  <si>
    <t>FEBRUARY TOTALS</t>
  </si>
  <si>
    <t>YEAR TO DATE</t>
  </si>
  <si>
    <t>58/25</t>
  </si>
  <si>
    <t>60/29</t>
  </si>
  <si>
    <t>9,2,5</t>
  </si>
  <si>
    <t>59/51</t>
  </si>
  <si>
    <t>.11" precipitation</t>
  </si>
  <si>
    <t>80+ CF, 2 NW and 13 LTS</t>
  </si>
  <si>
    <t>Ann</t>
  </si>
  <si>
    <t xml:space="preserve">Light mist </t>
  </si>
  <si>
    <t>64/34</t>
  </si>
  <si>
    <t>both juveniles</t>
  </si>
  <si>
    <t>62/41</t>
  </si>
  <si>
    <t>66/39</t>
  </si>
  <si>
    <t>57/52</t>
  </si>
  <si>
    <t>Damp and rainy at times</t>
  </si>
  <si>
    <t>Caught and relased 62 chorus frogs</t>
  </si>
  <si>
    <t>55/45</t>
  </si>
  <si>
    <t>.6"</t>
  </si>
  <si>
    <t>55/44</t>
  </si>
  <si>
    <t>.21"</t>
  </si>
  <si>
    <t>60/47</t>
  </si>
  <si>
    <t>.27"</t>
  </si>
  <si>
    <t>72/44</t>
  </si>
  <si>
    <t>67/44</t>
  </si>
  <si>
    <t>MARCH TOTALS</t>
  </si>
  <si>
    <t>NOTE:  TOTALS ABOVE ARE MISSING SEVERAL DATA SHEETS.  An earlier estimate for the 2015 season was 695 frogs downhill and 750 frogs uphill.</t>
  </si>
  <si>
    <t>2014 Totals were 580 downhill and 572 uphill.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</si>
</sst>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name val="Arial"/>
    </font>
    <font/>
    <font>
      <b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3" numFmtId="0" xfId="0" applyFont="1"/>
    <xf borderId="0" fillId="2" fontId="2" numFmtId="14" xfId="0" applyAlignment="1" applyFill="1" applyFont="1" applyNumberForma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14" xfId="0" applyAlignment="1" applyFill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2" fontId="2" numFmtId="20" xfId="0" applyAlignment="1" applyFont="1" applyNumberFormat="1">
      <alignment readingOrder="0"/>
    </xf>
    <xf borderId="0" fillId="4" fontId="2" numFmtId="1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4" numFmtId="0" xfId="0" applyAlignment="1" applyFont="1">
      <alignment readingOrder="0" vertical="bottom"/>
    </xf>
    <xf borderId="0" fillId="0" fontId="4" numFmtId="4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3" numFmtId="3" xfId="0" applyFont="1" applyNumberFormat="1"/>
    <xf borderId="0" fillId="0" fontId="4" numFmtId="0" xfId="0" applyAlignment="1" applyFont="1">
      <alignment vertical="bottom"/>
    </xf>
    <xf borderId="0" fillId="0" fontId="4" numFmtId="4" xfId="0" applyAlignment="1" applyFont="1" applyNumberFormat="1">
      <alignment horizontal="right" readingOrder="0" vertical="bottom"/>
    </xf>
    <xf borderId="0" fillId="0" fontId="1" numFmtId="1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/>
    </xf>
    <xf borderId="0" fillId="0" fontId="2" numFmtId="46" xfId="0" applyFont="1" applyNumberFormat="1"/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4" fontId="1" numFmtId="14" xfId="0" applyAlignment="1" applyFont="1" applyNumberFormat="1">
      <alignment horizontal="right" readingOrder="0" vertical="bottom"/>
    </xf>
    <xf borderId="0" fillId="4" fontId="2" numFmtId="0" xfId="0" applyAlignment="1" applyFont="1">
      <alignment horizontal="right" readingOrder="0" shrinkToFit="0" wrapText="1"/>
    </xf>
    <xf borderId="0" fillId="4" fontId="2" numFmtId="46" xfId="0" applyFont="1" applyNumberForma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0" fontId="2" numFmtId="46" xfId="0" applyAlignment="1" applyFont="1" applyNumberFormat="1">
      <alignment readingOrder="0"/>
    </xf>
    <xf borderId="0" fillId="2" fontId="1" numFmtId="14" xfId="0" applyAlignment="1" applyFont="1" applyNumberFormat="1">
      <alignment horizontal="right" readingOrder="0" vertical="bottom"/>
    </xf>
    <xf borderId="0" fillId="2" fontId="2" numFmtId="0" xfId="0" applyAlignment="1" applyFont="1">
      <alignment horizontal="right" readingOrder="0" shrinkToFit="0" wrapText="1"/>
    </xf>
    <xf borderId="0" fillId="2" fontId="2" numFmtId="46" xfId="0" applyFont="1" applyNumberFormat="1"/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horizontal="right" shrinkToFit="0" wrapText="1"/>
    </xf>
    <xf borderId="0" fillId="3" fontId="1" numFmtId="14" xfId="0" applyAlignment="1" applyFont="1" applyNumberFormat="1">
      <alignment horizontal="right" readingOrder="0" vertical="bottom"/>
    </xf>
    <xf borderId="0" fillId="3" fontId="2" numFmtId="0" xfId="0" applyAlignment="1" applyFont="1">
      <alignment horizontal="right" readingOrder="0" shrinkToFit="0" wrapText="1"/>
    </xf>
    <xf borderId="0" fillId="3" fontId="2" numFmtId="20" xfId="0" applyAlignment="1" applyFont="1" applyNumberFormat="1">
      <alignment readingOrder="0"/>
    </xf>
    <xf borderId="0" fillId="3" fontId="2" numFmtId="46" xfId="0" applyAlignment="1" applyFont="1" applyNumberFormat="1">
      <alignment readingOrder="0"/>
    </xf>
    <xf borderId="0" fillId="3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4" fontId="2" numFmtId="0" xfId="0" applyAlignment="1" applyFont="1">
      <alignment horizontal="right"/>
    </xf>
    <xf borderId="0" fillId="5" fontId="2" numFmtId="14" xfId="0" applyAlignment="1" applyFill="1" applyFont="1" applyNumberForma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right" readingOrder="0"/>
    </xf>
    <xf borderId="0" fillId="5" fontId="2" numFmtId="0" xfId="0" applyFont="1"/>
    <xf borderId="0" fillId="4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5"/>
    <col customWidth="1" min="2" max="2" width="8.5"/>
    <col customWidth="1" min="3" max="3" width="6.75"/>
    <col customWidth="1" min="4" max="4" width="12.75"/>
    <col customWidth="1" min="5" max="5" width="8.38"/>
    <col customWidth="1" min="6" max="6" width="7.0"/>
    <col customWidth="1" min="7" max="7" width="6.25"/>
    <col customWidth="1" min="8" max="8" width="8.0"/>
    <col customWidth="1" min="9" max="9" width="7.13"/>
    <col customWidth="1" min="10" max="10" width="7.5"/>
    <col customWidth="1" min="11" max="11" width="7.25"/>
    <col customWidth="1" min="12" max="1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5">
        <v>41974.0</v>
      </c>
      <c r="K2">
        <f t="shared" ref="K2:K27" si="1">SUM(I2:J2)</f>
        <v>0</v>
      </c>
    </row>
    <row r="3">
      <c r="A3" s="5">
        <v>41975.0</v>
      </c>
      <c r="C3" s="6">
        <v>42.0</v>
      </c>
      <c r="D3" s="6" t="s">
        <v>12</v>
      </c>
      <c r="E3" s="6" t="s">
        <v>13</v>
      </c>
      <c r="F3" s="6">
        <v>5.0</v>
      </c>
      <c r="I3" s="6">
        <v>0.0</v>
      </c>
      <c r="J3" s="6">
        <v>0.0</v>
      </c>
      <c r="K3">
        <f t="shared" si="1"/>
        <v>0</v>
      </c>
    </row>
    <row r="4">
      <c r="A4" s="5">
        <v>41976.0</v>
      </c>
      <c r="I4" s="6">
        <v>0.0</v>
      </c>
      <c r="J4" s="6">
        <v>0.0</v>
      </c>
      <c r="K4">
        <f t="shared" si="1"/>
        <v>0</v>
      </c>
    </row>
    <row r="5">
      <c r="A5" s="5">
        <v>41977.0</v>
      </c>
      <c r="C5" s="6">
        <v>42.0</v>
      </c>
      <c r="D5" s="6" t="s">
        <v>12</v>
      </c>
      <c r="E5" s="6" t="s">
        <v>13</v>
      </c>
      <c r="F5" s="6">
        <v>5.0</v>
      </c>
      <c r="I5" s="6">
        <v>0.0</v>
      </c>
      <c r="J5" s="6">
        <v>0.0</v>
      </c>
      <c r="K5">
        <f t="shared" si="1"/>
        <v>0</v>
      </c>
    </row>
    <row r="6">
      <c r="A6" s="5">
        <v>41978.0</v>
      </c>
      <c r="C6" s="6">
        <v>46.0</v>
      </c>
      <c r="E6" s="6" t="s">
        <v>13</v>
      </c>
      <c r="F6" s="7">
        <v>0.22916666666666666</v>
      </c>
      <c r="I6" s="6">
        <v>0.0</v>
      </c>
      <c r="J6" s="6">
        <v>0.0</v>
      </c>
      <c r="K6">
        <f t="shared" si="1"/>
        <v>0</v>
      </c>
    </row>
    <row r="7">
      <c r="A7" s="5">
        <v>41979.0</v>
      </c>
      <c r="C7" s="6">
        <v>51.2</v>
      </c>
      <c r="D7" s="6" t="s">
        <v>14</v>
      </c>
      <c r="E7" s="6" t="s">
        <v>13</v>
      </c>
      <c r="F7" s="6">
        <v>5.0</v>
      </c>
      <c r="I7" s="6">
        <v>0.0</v>
      </c>
      <c r="J7" s="6">
        <v>0.0</v>
      </c>
      <c r="K7">
        <f t="shared" si="1"/>
        <v>0</v>
      </c>
    </row>
    <row r="8">
      <c r="A8" s="5">
        <v>41980.0</v>
      </c>
      <c r="C8" s="6">
        <v>46.0</v>
      </c>
      <c r="D8" s="6" t="s">
        <v>15</v>
      </c>
      <c r="E8" s="6" t="s">
        <v>13</v>
      </c>
      <c r="F8" s="6">
        <v>6.0</v>
      </c>
      <c r="I8" s="6">
        <v>0.0</v>
      </c>
      <c r="J8" s="6">
        <v>0.0</v>
      </c>
      <c r="K8">
        <f t="shared" si="1"/>
        <v>0</v>
      </c>
    </row>
    <row r="9">
      <c r="A9" s="5">
        <v>41981.0</v>
      </c>
      <c r="C9" s="6">
        <v>48.0</v>
      </c>
      <c r="D9" s="6" t="s">
        <v>15</v>
      </c>
      <c r="E9" s="6" t="s">
        <v>13</v>
      </c>
      <c r="I9" s="6">
        <v>0.0</v>
      </c>
      <c r="J9" s="6">
        <v>0.0</v>
      </c>
      <c r="K9">
        <f t="shared" si="1"/>
        <v>0</v>
      </c>
    </row>
    <row r="10">
      <c r="A10" s="5">
        <v>41982.0</v>
      </c>
      <c r="C10" s="6">
        <v>54.0</v>
      </c>
      <c r="D10" s="6" t="s">
        <v>16</v>
      </c>
      <c r="E10" s="6" t="s">
        <v>13</v>
      </c>
      <c r="F10" s="7">
        <v>0.2569444444444444</v>
      </c>
      <c r="G10" s="7">
        <v>0.3125</v>
      </c>
      <c r="I10" s="6">
        <v>0.0</v>
      </c>
      <c r="J10" s="6">
        <v>0.0</v>
      </c>
      <c r="K10">
        <f t="shared" si="1"/>
        <v>0</v>
      </c>
    </row>
    <row r="11">
      <c r="A11" s="5">
        <v>41983.0</v>
      </c>
      <c r="C11" s="6">
        <v>49.0</v>
      </c>
      <c r="D11" s="6" t="s">
        <v>17</v>
      </c>
      <c r="E11" s="6" t="s">
        <v>13</v>
      </c>
      <c r="F11" s="7">
        <v>0.2708333333333333</v>
      </c>
      <c r="G11" s="7">
        <v>0.2881944444444444</v>
      </c>
      <c r="I11" s="6">
        <v>0.0</v>
      </c>
      <c r="J11" s="6">
        <v>0.0</v>
      </c>
      <c r="K11">
        <f t="shared" si="1"/>
        <v>0</v>
      </c>
    </row>
    <row r="12">
      <c r="A12" s="5">
        <v>41984.0</v>
      </c>
      <c r="I12" s="6">
        <v>0.0</v>
      </c>
      <c r="J12" s="6">
        <v>0.0</v>
      </c>
      <c r="K12">
        <f t="shared" si="1"/>
        <v>0</v>
      </c>
      <c r="L12" s="8"/>
    </row>
    <row r="13">
      <c r="A13" s="5">
        <v>41985.0</v>
      </c>
      <c r="B13" s="6" t="s">
        <v>18</v>
      </c>
      <c r="C13" s="6">
        <v>46.0</v>
      </c>
      <c r="D13" s="6" t="s">
        <v>19</v>
      </c>
      <c r="E13" s="6" t="s">
        <v>13</v>
      </c>
      <c r="F13" s="7">
        <v>0.2708333333333333</v>
      </c>
      <c r="I13" s="6">
        <v>0.0</v>
      </c>
      <c r="J13" s="6">
        <v>0.0</v>
      </c>
      <c r="K13">
        <f t="shared" si="1"/>
        <v>0</v>
      </c>
    </row>
    <row r="14">
      <c r="A14" s="5">
        <v>41986.0</v>
      </c>
      <c r="I14" s="6">
        <v>0.0</v>
      </c>
      <c r="J14" s="6">
        <v>0.0</v>
      </c>
      <c r="K14">
        <f t="shared" si="1"/>
        <v>0</v>
      </c>
    </row>
    <row r="15">
      <c r="A15" s="5">
        <v>41987.0</v>
      </c>
      <c r="B15" s="6" t="s">
        <v>20</v>
      </c>
      <c r="C15" s="6">
        <v>41.0</v>
      </c>
      <c r="D15" s="6" t="s">
        <v>15</v>
      </c>
      <c r="E15" s="6" t="s">
        <v>13</v>
      </c>
      <c r="F15" s="7">
        <v>0.3645833333333333</v>
      </c>
      <c r="I15" s="6">
        <v>0.0</v>
      </c>
      <c r="J15" s="6">
        <v>0.0</v>
      </c>
      <c r="K15">
        <f t="shared" si="1"/>
        <v>0</v>
      </c>
    </row>
    <row r="16">
      <c r="A16" s="9">
        <v>41988.0</v>
      </c>
      <c r="B16" s="10"/>
      <c r="C16" s="11" t="s">
        <v>21</v>
      </c>
      <c r="D16" s="11" t="s">
        <v>22</v>
      </c>
      <c r="E16" s="10"/>
      <c r="F16" s="10"/>
      <c r="G16" s="10"/>
      <c r="H16" s="10"/>
      <c r="I16" s="11">
        <v>0.0</v>
      </c>
      <c r="J16" s="11">
        <v>0.0</v>
      </c>
      <c r="K16" s="10">
        <f t="shared" si="1"/>
        <v>0</v>
      </c>
      <c r="L16" s="11" t="s">
        <v>23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</row>
    <row r="17">
      <c r="A17" s="9">
        <v>41989.0</v>
      </c>
      <c r="B17" s="10"/>
      <c r="C17" s="11" t="s">
        <v>24</v>
      </c>
      <c r="D17" s="11" t="s">
        <v>25</v>
      </c>
      <c r="E17" s="10"/>
      <c r="F17" s="10"/>
      <c r="G17" s="10"/>
      <c r="H17" s="10"/>
      <c r="I17" s="11">
        <v>0.0</v>
      </c>
      <c r="J17" s="11">
        <v>0.0</v>
      </c>
      <c r="K17" s="10">
        <f t="shared" si="1"/>
        <v>0</v>
      </c>
      <c r="L17" s="11" t="s">
        <v>23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</row>
    <row r="18">
      <c r="A18" s="5">
        <v>41990.0</v>
      </c>
      <c r="C18" s="6" t="s">
        <v>26</v>
      </c>
      <c r="D18" s="6" t="s">
        <v>27</v>
      </c>
      <c r="I18" s="6">
        <v>0.0</v>
      </c>
      <c r="J18" s="6">
        <v>0.0</v>
      </c>
      <c r="K18">
        <f t="shared" si="1"/>
        <v>0</v>
      </c>
      <c r="L18" s="6" t="s">
        <v>23</v>
      </c>
    </row>
    <row r="19">
      <c r="A19" s="5">
        <v>41991.0</v>
      </c>
      <c r="C19" s="6" t="s">
        <v>28</v>
      </c>
      <c r="D19" s="6" t="s">
        <v>29</v>
      </c>
      <c r="I19" s="6">
        <v>0.0</v>
      </c>
      <c r="J19" s="6">
        <v>0.0</v>
      </c>
      <c r="K19">
        <f t="shared" si="1"/>
        <v>0</v>
      </c>
      <c r="L19" s="6" t="s">
        <v>23</v>
      </c>
    </row>
    <row r="20">
      <c r="A20" s="5">
        <v>41992.0</v>
      </c>
      <c r="B20" s="6"/>
      <c r="C20" s="6">
        <v>38.0</v>
      </c>
      <c r="D20" s="6" t="s">
        <v>30</v>
      </c>
      <c r="E20" s="6" t="s">
        <v>13</v>
      </c>
      <c r="F20" s="7">
        <v>0.22916666666666666</v>
      </c>
      <c r="I20" s="6">
        <v>0.0</v>
      </c>
      <c r="J20" s="6">
        <v>0.0</v>
      </c>
      <c r="K20">
        <f t="shared" si="1"/>
        <v>0</v>
      </c>
    </row>
    <row r="21">
      <c r="A21" s="12">
        <v>41993.0</v>
      </c>
      <c r="B21" s="13" t="s">
        <v>31</v>
      </c>
      <c r="C21" s="13" t="s">
        <v>32</v>
      </c>
      <c r="D21" s="13" t="s">
        <v>33</v>
      </c>
      <c r="E21" s="14"/>
      <c r="F21" s="14"/>
      <c r="G21" s="14"/>
      <c r="H21" s="14"/>
      <c r="I21" s="13">
        <v>53.0</v>
      </c>
      <c r="J21" s="13">
        <v>0.0</v>
      </c>
      <c r="K21" s="14">
        <f t="shared" si="1"/>
        <v>53</v>
      </c>
      <c r="L21" s="13" t="s">
        <v>34</v>
      </c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9">
        <v>41994.0</v>
      </c>
      <c r="B22" s="11" t="s">
        <v>20</v>
      </c>
      <c r="C22" s="11">
        <v>52.0</v>
      </c>
      <c r="D22" s="11" t="s">
        <v>35</v>
      </c>
      <c r="E22" s="11" t="s">
        <v>13</v>
      </c>
      <c r="F22" s="15">
        <v>0.21875</v>
      </c>
      <c r="G22" s="15">
        <v>0.3541666666666667</v>
      </c>
      <c r="H22" s="10"/>
      <c r="I22" s="11">
        <v>4.0</v>
      </c>
      <c r="J22" s="11">
        <v>0.0</v>
      </c>
      <c r="K22" s="10">
        <f t="shared" si="1"/>
        <v>4</v>
      </c>
      <c r="L22" s="11" t="s">
        <v>23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</row>
    <row r="23">
      <c r="A23" s="16">
        <v>41995.0</v>
      </c>
      <c r="B23" s="17"/>
      <c r="C23" s="17" t="s">
        <v>36</v>
      </c>
      <c r="D23" s="17" t="s">
        <v>37</v>
      </c>
      <c r="E23" s="17"/>
      <c r="F23" s="18"/>
      <c r="G23" s="18"/>
      <c r="H23" s="18"/>
      <c r="I23" s="17">
        <v>0.0</v>
      </c>
      <c r="J23" s="17">
        <v>0.0</v>
      </c>
      <c r="K23" s="18">
        <f t="shared" si="1"/>
        <v>0</v>
      </c>
      <c r="L23" s="17" t="s">
        <v>23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</row>
    <row r="24">
      <c r="A24" s="9">
        <v>41996.0</v>
      </c>
      <c r="B24" s="11" t="s">
        <v>18</v>
      </c>
      <c r="C24" s="11" t="s">
        <v>38</v>
      </c>
      <c r="D24" s="11" t="s">
        <v>39</v>
      </c>
      <c r="E24" s="11" t="s">
        <v>13</v>
      </c>
      <c r="F24" s="10"/>
      <c r="G24" s="10"/>
      <c r="H24" s="10"/>
      <c r="I24" s="11">
        <v>0.0</v>
      </c>
      <c r="J24" s="11">
        <v>0.0</v>
      </c>
      <c r="K24" s="10">
        <f t="shared" si="1"/>
        <v>0</v>
      </c>
      <c r="L24" s="11" t="s">
        <v>23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</row>
    <row r="25">
      <c r="A25" s="9">
        <v>41997.0</v>
      </c>
      <c r="B25" s="11" t="s">
        <v>20</v>
      </c>
      <c r="C25" s="11" t="s">
        <v>40</v>
      </c>
      <c r="D25" s="11" t="s">
        <v>41</v>
      </c>
      <c r="E25" s="10"/>
      <c r="F25" s="10"/>
      <c r="G25" s="10"/>
      <c r="H25" s="10"/>
      <c r="I25" s="11">
        <v>0.0</v>
      </c>
      <c r="J25" s="11">
        <v>0.0</v>
      </c>
      <c r="K25" s="10">
        <f t="shared" si="1"/>
        <v>0</v>
      </c>
      <c r="L25" s="11" t="s">
        <v>42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</row>
    <row r="26">
      <c r="A26" s="16">
        <v>41998.0</v>
      </c>
      <c r="B26" s="18"/>
      <c r="C26" s="17" t="s">
        <v>43</v>
      </c>
      <c r="D26" s="17" t="s">
        <v>44</v>
      </c>
      <c r="E26" s="18"/>
      <c r="F26" s="18"/>
      <c r="G26" s="18"/>
      <c r="H26" s="18"/>
      <c r="I26" s="18"/>
      <c r="J26" s="18"/>
      <c r="K26" s="18">
        <f t="shared" si="1"/>
        <v>0</v>
      </c>
      <c r="L26" s="17" t="s">
        <v>23</v>
      </c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</row>
    <row r="27">
      <c r="A27" s="9">
        <v>41999.0</v>
      </c>
      <c r="B27" s="11" t="s">
        <v>45</v>
      </c>
      <c r="C27" s="11">
        <v>45.0</v>
      </c>
      <c r="D27" s="11" t="s">
        <v>22</v>
      </c>
      <c r="E27" s="10"/>
      <c r="F27" s="10"/>
      <c r="G27" s="10"/>
      <c r="H27" s="10"/>
      <c r="I27" s="11">
        <v>0.0</v>
      </c>
      <c r="J27" s="11">
        <v>0.0</v>
      </c>
      <c r="K27" s="10">
        <f t="shared" si="1"/>
        <v>0</v>
      </c>
      <c r="L27" s="11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>
      <c r="A28" s="9">
        <v>42000.0</v>
      </c>
      <c r="B28" s="11" t="s">
        <v>31</v>
      </c>
      <c r="C28" s="11" t="s">
        <v>46</v>
      </c>
      <c r="D28" s="11" t="s">
        <v>47</v>
      </c>
      <c r="E28" s="10"/>
      <c r="F28" s="10"/>
      <c r="G28" s="10"/>
      <c r="H28" s="10"/>
      <c r="I28" s="11">
        <v>0.0</v>
      </c>
      <c r="J28" s="11">
        <v>0.0</v>
      </c>
      <c r="K28" s="11">
        <v>0.0</v>
      </c>
      <c r="L28" s="11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>
      <c r="A29" s="9">
        <v>42001.0</v>
      </c>
      <c r="B29" s="11" t="s">
        <v>20</v>
      </c>
      <c r="C29" s="11">
        <v>40.0</v>
      </c>
      <c r="D29" s="11" t="s">
        <v>48</v>
      </c>
      <c r="E29" s="10"/>
      <c r="F29" s="11">
        <v>5.0</v>
      </c>
      <c r="G29" s="15">
        <v>0.2222222222222222</v>
      </c>
      <c r="H29" s="10"/>
      <c r="I29" s="11">
        <v>0.0</v>
      </c>
      <c r="J29" s="11">
        <v>0.0</v>
      </c>
      <c r="K29" s="10">
        <f t="shared" ref="K29:K32" si="2">SUM(I29:J29)</f>
        <v>0</v>
      </c>
      <c r="L29" s="11" t="s">
        <v>23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>
      <c r="A30" s="5">
        <v>42002.0</v>
      </c>
      <c r="B30" s="6" t="s">
        <v>18</v>
      </c>
      <c r="C30" s="6">
        <v>38.0</v>
      </c>
      <c r="D30" s="6" t="s">
        <v>27</v>
      </c>
      <c r="I30" s="6">
        <v>0.0</v>
      </c>
      <c r="J30" s="6">
        <v>0.0</v>
      </c>
      <c r="K30">
        <f t="shared" si="2"/>
        <v>0</v>
      </c>
      <c r="L30" s="11"/>
    </row>
    <row r="31">
      <c r="A31" s="5">
        <v>42003.0</v>
      </c>
      <c r="B31" s="6" t="s">
        <v>31</v>
      </c>
      <c r="C31" s="6">
        <v>35.0</v>
      </c>
      <c r="D31" s="6" t="s">
        <v>49</v>
      </c>
      <c r="I31" s="6">
        <v>0.0</v>
      </c>
      <c r="J31" s="6">
        <v>0.0</v>
      </c>
      <c r="K31">
        <f t="shared" si="2"/>
        <v>0</v>
      </c>
      <c r="L31" s="11"/>
    </row>
    <row r="32">
      <c r="A32" s="5">
        <v>42004.0</v>
      </c>
      <c r="C32" s="6" t="s">
        <v>50</v>
      </c>
      <c r="D32" s="6" t="s">
        <v>49</v>
      </c>
      <c r="I32" s="6">
        <v>0.0</v>
      </c>
      <c r="J32" s="6">
        <v>0.0</v>
      </c>
      <c r="K32">
        <f t="shared" si="2"/>
        <v>0</v>
      </c>
      <c r="L32" s="11" t="s">
        <v>23</v>
      </c>
    </row>
    <row r="33">
      <c r="A33" s="5"/>
    </row>
    <row r="34">
      <c r="A34" s="5"/>
      <c r="D34" s="6"/>
      <c r="E34" s="19" t="s">
        <v>51</v>
      </c>
      <c r="G34" s="4"/>
      <c r="H34" s="20">
        <f t="shared" ref="H34:J34" si="3">SUM(H2:H33)</f>
        <v>0</v>
      </c>
      <c r="I34" s="21">
        <f t="shared" si="3"/>
        <v>57</v>
      </c>
      <c r="J34" s="21">
        <f t="shared" si="3"/>
        <v>0</v>
      </c>
      <c r="K34" s="22">
        <f t="shared" ref="K34:K35" si="4">SUM(I34:J34)</f>
        <v>57</v>
      </c>
    </row>
    <row r="35">
      <c r="A35" s="5"/>
      <c r="E35" s="23" t="s">
        <v>52</v>
      </c>
      <c r="G35" s="4"/>
      <c r="H35" s="24">
        <f>dec_tot_hrs</f>
        <v>0</v>
      </c>
      <c r="I35" s="21">
        <f> dec_tot_down</f>
        <v>57</v>
      </c>
      <c r="J35" s="21">
        <f> dec_tot_up</f>
        <v>0</v>
      </c>
      <c r="K35" s="22">
        <f t="shared" si="4"/>
        <v>57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5"/>
    <col customWidth="1" min="2" max="2" width="7.75"/>
    <col customWidth="1" min="3" max="3" width="7.38"/>
    <col customWidth="1" min="4" max="4" width="7.63"/>
    <col customWidth="1" min="5" max="5" width="6.5"/>
    <col customWidth="1" min="6" max="6" width="6.63"/>
    <col customWidth="1" min="7" max="7" width="8.38"/>
    <col customWidth="1" min="8" max="8" width="20.25"/>
    <col customWidth="1" min="9" max="9" width="7.25"/>
    <col customWidth="1" min="10" max="10" width="7.38"/>
    <col customWidth="1" min="11" max="11" width="7.13"/>
    <col customWidth="1" min="12" max="17" width="6.38"/>
    <col customWidth="1" min="18" max="19" width="7.0"/>
    <col customWidth="1" min="20" max="20" width="6.5"/>
    <col customWidth="1" min="21" max="21" width="65.75"/>
  </cols>
  <sheetData>
    <row r="1">
      <c r="A1" s="1" t="s">
        <v>0</v>
      </c>
      <c r="B1" s="1" t="s">
        <v>1</v>
      </c>
      <c r="C1" s="1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1" t="s">
        <v>3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  <c r="R1" s="3" t="s">
        <v>62</v>
      </c>
      <c r="S1" s="2" t="s">
        <v>8</v>
      </c>
      <c r="T1" s="2" t="s">
        <v>9</v>
      </c>
      <c r="U1" s="2" t="s">
        <v>11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>
      <c r="A2" s="25">
        <v>42005.0</v>
      </c>
      <c r="C2" s="26" t="s">
        <v>63</v>
      </c>
      <c r="D2" s="6" t="s">
        <v>64</v>
      </c>
      <c r="G2" s="27"/>
      <c r="H2" s="6" t="s">
        <v>49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6">
        <v>0.0</v>
      </c>
      <c r="T2" s="6">
        <v>0.0</v>
      </c>
      <c r="U2" s="3" t="s">
        <v>65</v>
      </c>
    </row>
    <row r="3">
      <c r="A3" s="25">
        <v>42006.0</v>
      </c>
      <c r="B3" s="6" t="s">
        <v>45</v>
      </c>
      <c r="C3" s="28">
        <v>38.0</v>
      </c>
      <c r="D3" s="6" t="s">
        <v>64</v>
      </c>
      <c r="G3" s="27"/>
      <c r="H3" s="6" t="s">
        <v>49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6">
        <v>0.0</v>
      </c>
      <c r="T3" s="6">
        <v>0.0</v>
      </c>
      <c r="U3" s="3"/>
    </row>
    <row r="4">
      <c r="A4" s="25">
        <v>42007.0</v>
      </c>
      <c r="B4" s="6" t="s">
        <v>31</v>
      </c>
      <c r="C4" s="28" t="s">
        <v>66</v>
      </c>
      <c r="D4" s="6" t="s">
        <v>64</v>
      </c>
      <c r="G4" s="27"/>
      <c r="H4" s="6" t="s">
        <v>49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6">
        <v>0.0</v>
      </c>
      <c r="T4" s="6">
        <v>0.0</v>
      </c>
      <c r="U4" s="3"/>
    </row>
    <row r="5">
      <c r="A5" s="25">
        <v>42008.0</v>
      </c>
      <c r="B5" s="6" t="s">
        <v>20</v>
      </c>
      <c r="C5" s="28" t="s">
        <v>67</v>
      </c>
      <c r="G5" s="27"/>
      <c r="H5" s="6" t="s">
        <v>68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6">
        <v>1.0</v>
      </c>
      <c r="T5" s="6">
        <v>0.0</v>
      </c>
      <c r="U5" s="3" t="s">
        <v>69</v>
      </c>
    </row>
    <row r="6">
      <c r="A6" s="25">
        <v>42009.0</v>
      </c>
      <c r="B6" s="6" t="s">
        <v>18</v>
      </c>
      <c r="C6" s="28" t="s">
        <v>70</v>
      </c>
      <c r="G6" s="27"/>
      <c r="H6" s="6" t="s">
        <v>49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6">
        <v>0.0</v>
      </c>
      <c r="T6" s="6">
        <v>0.0</v>
      </c>
      <c r="U6" s="3" t="s">
        <v>65</v>
      </c>
    </row>
    <row r="7">
      <c r="A7" s="25">
        <v>42010.0</v>
      </c>
      <c r="B7" s="6" t="s">
        <v>31</v>
      </c>
      <c r="C7" s="28" t="s">
        <v>71</v>
      </c>
      <c r="G7" s="27"/>
      <c r="H7" s="6" t="s">
        <v>72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6">
        <v>0.0</v>
      </c>
      <c r="U7" s="3" t="s">
        <v>65</v>
      </c>
    </row>
    <row r="8">
      <c r="A8" s="30">
        <v>42011.0</v>
      </c>
      <c r="B8" s="17"/>
      <c r="C8" s="31" t="s">
        <v>73</v>
      </c>
      <c r="D8" s="18"/>
      <c r="E8" s="18"/>
      <c r="F8" s="18"/>
      <c r="G8" s="32"/>
      <c r="H8" s="17"/>
      <c r="I8" s="33"/>
      <c r="J8" s="33"/>
      <c r="K8" s="33"/>
      <c r="L8" s="33"/>
      <c r="M8" s="33"/>
      <c r="N8" s="33"/>
      <c r="O8" s="33"/>
      <c r="P8" s="33"/>
      <c r="Q8" s="33"/>
      <c r="R8" s="33"/>
      <c r="S8" s="17">
        <v>0.0</v>
      </c>
      <c r="T8" s="17">
        <v>0.0</v>
      </c>
      <c r="U8" s="34" t="s">
        <v>65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>
      <c r="A9" s="25">
        <v>42012.0</v>
      </c>
      <c r="B9" s="6" t="s">
        <v>74</v>
      </c>
      <c r="C9" s="28">
        <v>40.0</v>
      </c>
      <c r="D9" s="6" t="s">
        <v>13</v>
      </c>
      <c r="E9" s="7">
        <v>0.22569444444444445</v>
      </c>
      <c r="F9" s="7">
        <v>0.23958333333333334</v>
      </c>
      <c r="G9" s="6" t="s">
        <v>75</v>
      </c>
      <c r="H9" s="6" t="s">
        <v>76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6">
        <v>0.0</v>
      </c>
      <c r="T9" s="6">
        <v>0.0</v>
      </c>
      <c r="U9" s="29"/>
    </row>
    <row r="10">
      <c r="A10" s="25">
        <v>42013.0</v>
      </c>
      <c r="B10" s="6" t="s">
        <v>45</v>
      </c>
      <c r="C10" s="28">
        <v>44.0</v>
      </c>
      <c r="D10" s="6" t="s">
        <v>13</v>
      </c>
      <c r="E10" s="6">
        <v>6.0</v>
      </c>
      <c r="G10" s="27"/>
      <c r="H10" s="6" t="s">
        <v>15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6">
        <v>0.0</v>
      </c>
      <c r="T10" s="6">
        <v>0.0</v>
      </c>
      <c r="U10" s="3"/>
    </row>
    <row r="11">
      <c r="A11" s="25">
        <v>42014.0</v>
      </c>
      <c r="B11" s="6" t="s">
        <v>31</v>
      </c>
      <c r="C11" s="28">
        <v>44.0</v>
      </c>
      <c r="D11" s="6" t="s">
        <v>13</v>
      </c>
      <c r="E11" s="6">
        <v>7.0</v>
      </c>
      <c r="G11" s="27"/>
      <c r="H11" s="6" t="s">
        <v>77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6">
        <v>0.0</v>
      </c>
      <c r="T11" s="6">
        <v>0.0</v>
      </c>
      <c r="U11" s="3"/>
    </row>
    <row r="12">
      <c r="A12" s="25">
        <v>42015.0</v>
      </c>
      <c r="B12" s="6" t="s">
        <v>20</v>
      </c>
      <c r="C12" s="28">
        <v>42.0</v>
      </c>
      <c r="D12" s="6" t="s">
        <v>13</v>
      </c>
      <c r="E12" s="7">
        <v>0.19791666666666666</v>
      </c>
      <c r="F12" s="7">
        <v>0.2708333333333333</v>
      </c>
      <c r="G12" s="35">
        <v>0.07291666666666667</v>
      </c>
      <c r="H12" s="6" t="s">
        <v>78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6">
        <v>0.0</v>
      </c>
      <c r="T12" s="6">
        <v>0.0</v>
      </c>
      <c r="U12" s="29"/>
    </row>
    <row r="13">
      <c r="A13" s="25">
        <v>42016.0</v>
      </c>
      <c r="B13" s="6" t="s">
        <v>18</v>
      </c>
      <c r="C13" s="28" t="s">
        <v>79</v>
      </c>
      <c r="G13" s="27"/>
      <c r="H13" s="6" t="s">
        <v>49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6">
        <v>0.0</v>
      </c>
      <c r="T13" s="6">
        <v>0.0</v>
      </c>
      <c r="U13" s="3" t="s">
        <v>65</v>
      </c>
    </row>
    <row r="14">
      <c r="A14" s="25">
        <v>42017.0</v>
      </c>
      <c r="C14" s="28" t="s">
        <v>80</v>
      </c>
      <c r="G14" s="27"/>
      <c r="H14" s="6" t="s">
        <v>49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6">
        <v>0.0</v>
      </c>
      <c r="T14" s="6">
        <v>0.0</v>
      </c>
      <c r="U14" s="3" t="s">
        <v>65</v>
      </c>
    </row>
    <row r="15">
      <c r="A15" s="25">
        <v>42018.0</v>
      </c>
      <c r="C15" s="28" t="s">
        <v>81</v>
      </c>
      <c r="G15" s="27"/>
      <c r="H15" s="6" t="s">
        <v>49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6">
        <v>0.0</v>
      </c>
      <c r="T15" s="6">
        <v>0.0</v>
      </c>
      <c r="U15" s="3" t="s">
        <v>65</v>
      </c>
    </row>
    <row r="16">
      <c r="A16" s="25">
        <v>42019.0</v>
      </c>
      <c r="B16" s="6" t="s">
        <v>74</v>
      </c>
      <c r="C16" s="28" t="s">
        <v>82</v>
      </c>
      <c r="D16" s="6" t="s">
        <v>13</v>
      </c>
      <c r="G16" s="27"/>
      <c r="H16" s="6" t="s">
        <v>30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6">
        <v>9.0</v>
      </c>
      <c r="T16" s="6">
        <v>0.0</v>
      </c>
      <c r="U16" s="3" t="s">
        <v>83</v>
      </c>
    </row>
    <row r="17">
      <c r="A17" s="36">
        <v>42020.0</v>
      </c>
      <c r="B17" s="11" t="s">
        <v>31</v>
      </c>
      <c r="C17" s="37">
        <v>46.0</v>
      </c>
      <c r="D17" s="11" t="s">
        <v>13</v>
      </c>
      <c r="E17" s="15">
        <v>0.2708333333333333</v>
      </c>
      <c r="F17" s="10"/>
      <c r="G17" s="38"/>
      <c r="H17" s="11" t="s">
        <v>15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11">
        <v>0.0</v>
      </c>
      <c r="T17" s="11">
        <v>0.0</v>
      </c>
      <c r="U17" s="39" t="s">
        <v>84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>
      <c r="A18" s="36">
        <v>42021.0</v>
      </c>
      <c r="B18" s="11" t="s">
        <v>45</v>
      </c>
      <c r="C18" s="37" t="s">
        <v>85</v>
      </c>
      <c r="D18" s="10"/>
      <c r="E18" s="10"/>
      <c r="F18" s="10"/>
      <c r="G18" s="38"/>
      <c r="H18" s="10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11">
        <v>442.0</v>
      </c>
      <c r="T18" s="11">
        <v>13.0</v>
      </c>
      <c r="U18" s="39" t="s">
        <v>86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>
      <c r="A19" s="36">
        <v>42022.0</v>
      </c>
      <c r="B19" s="6" t="s">
        <v>20</v>
      </c>
      <c r="C19" s="28">
        <v>48.0</v>
      </c>
      <c r="D19" s="6" t="s">
        <v>13</v>
      </c>
      <c r="E19" s="7">
        <v>0.19791666666666666</v>
      </c>
      <c r="F19" s="7">
        <v>0.3333333333333333</v>
      </c>
      <c r="G19" s="27"/>
      <c r="H19" s="6" t="s">
        <v>87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6">
        <v>1.0</v>
      </c>
      <c r="T19" s="6">
        <v>0.0</v>
      </c>
      <c r="U19" s="29"/>
    </row>
    <row r="20">
      <c r="A20" s="25">
        <v>42023.0</v>
      </c>
      <c r="B20" s="6" t="s">
        <v>88</v>
      </c>
      <c r="C20" s="28">
        <v>44.0</v>
      </c>
      <c r="D20" s="6" t="s">
        <v>13</v>
      </c>
      <c r="E20" s="6">
        <v>5.0</v>
      </c>
      <c r="F20" s="7">
        <v>0.3020833333333333</v>
      </c>
      <c r="G20" s="27"/>
      <c r="H20" s="6" t="s">
        <v>89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6">
        <v>6.0</v>
      </c>
      <c r="T20" s="6">
        <v>1.0</v>
      </c>
      <c r="U20" s="29"/>
    </row>
    <row r="21">
      <c r="A21" s="25">
        <v>42024.0</v>
      </c>
      <c r="B21" s="6" t="s">
        <v>31</v>
      </c>
      <c r="C21" s="28" t="s">
        <v>90</v>
      </c>
      <c r="D21" s="6" t="s">
        <v>13</v>
      </c>
      <c r="F21" s="10"/>
      <c r="G21" s="27"/>
      <c r="H21" s="6" t="s">
        <v>15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6">
        <v>0.0</v>
      </c>
      <c r="U21" s="29"/>
    </row>
    <row r="22">
      <c r="A22" s="25">
        <v>42025.0</v>
      </c>
      <c r="B22" s="6" t="s">
        <v>18</v>
      </c>
      <c r="C22" s="28" t="s">
        <v>91</v>
      </c>
      <c r="G22" s="27"/>
      <c r="H22" s="6" t="s">
        <v>49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6">
        <v>0.0</v>
      </c>
      <c r="U22" s="3" t="s">
        <v>92</v>
      </c>
    </row>
    <row r="23">
      <c r="A23" s="25">
        <v>42026.0</v>
      </c>
      <c r="B23" s="6" t="s">
        <v>45</v>
      </c>
      <c r="C23" s="40"/>
      <c r="G23" s="27"/>
      <c r="H23" s="6" t="s">
        <v>93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6">
        <v>0.0</v>
      </c>
      <c r="U23" s="29"/>
    </row>
    <row r="24">
      <c r="A24" s="25">
        <v>42027.0</v>
      </c>
      <c r="B24" s="6" t="s">
        <v>94</v>
      </c>
      <c r="C24" s="28">
        <v>44.0</v>
      </c>
      <c r="D24" s="6" t="s">
        <v>13</v>
      </c>
      <c r="E24" s="7">
        <v>0.22916666666666666</v>
      </c>
      <c r="F24" s="7">
        <v>0.3402777777777778</v>
      </c>
      <c r="G24" s="35"/>
      <c r="H24" s="6" t="s">
        <v>95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6">
        <v>7.0</v>
      </c>
      <c r="T24" s="6">
        <v>0.0</v>
      </c>
      <c r="U24" s="29"/>
    </row>
    <row r="25">
      <c r="A25" s="25">
        <v>42028.0</v>
      </c>
      <c r="B25" s="6" t="s">
        <v>31</v>
      </c>
      <c r="C25" s="28" t="s">
        <v>96</v>
      </c>
      <c r="D25" s="6" t="s">
        <v>13</v>
      </c>
      <c r="E25" s="6">
        <v>5.0</v>
      </c>
      <c r="F25" s="7">
        <v>0.3541666666666667</v>
      </c>
      <c r="G25" s="35">
        <v>3.3</v>
      </c>
      <c r="H25" s="6" t="s">
        <v>93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6">
        <v>30.0</v>
      </c>
      <c r="T25" s="6">
        <v>0.0</v>
      </c>
      <c r="U25" s="29"/>
    </row>
    <row r="26">
      <c r="A26" s="25">
        <v>42029.0</v>
      </c>
      <c r="B26" s="6" t="s">
        <v>20</v>
      </c>
      <c r="C26" s="28">
        <v>43.0</v>
      </c>
      <c r="D26" s="6" t="s">
        <v>13</v>
      </c>
      <c r="E26" s="7">
        <v>0.21875</v>
      </c>
      <c r="F26" s="7">
        <v>0.3090277777777778</v>
      </c>
      <c r="G26" s="35">
        <v>0.09027777777777778</v>
      </c>
      <c r="H26" s="6" t="s">
        <v>97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6">
        <v>0.0</v>
      </c>
      <c r="T26" s="6">
        <v>0.0</v>
      </c>
      <c r="U26" s="29"/>
    </row>
    <row r="27">
      <c r="A27" s="25">
        <v>42030.0</v>
      </c>
      <c r="B27" s="6" t="s">
        <v>18</v>
      </c>
      <c r="C27" s="28" t="s">
        <v>98</v>
      </c>
      <c r="D27" s="6" t="s">
        <v>13</v>
      </c>
      <c r="E27" s="7">
        <v>0.23958333333333334</v>
      </c>
      <c r="F27" s="7">
        <v>0.3541666666666667</v>
      </c>
      <c r="G27" s="27"/>
      <c r="H27" s="6" t="s">
        <v>99</v>
      </c>
      <c r="I27" s="3">
        <v>0.0</v>
      </c>
      <c r="J27" s="3">
        <v>1.0</v>
      </c>
      <c r="K27" s="3">
        <v>0.0</v>
      </c>
      <c r="L27" s="3">
        <v>0.0</v>
      </c>
      <c r="M27" s="3">
        <v>7.0</v>
      </c>
      <c r="N27" s="3">
        <v>1.0</v>
      </c>
      <c r="O27" s="3">
        <v>0.0</v>
      </c>
      <c r="P27" s="3">
        <v>0.0</v>
      </c>
      <c r="Q27" s="3">
        <v>0.0</v>
      </c>
      <c r="R27" s="3">
        <v>0.0</v>
      </c>
      <c r="S27" s="6">
        <v>1.0</v>
      </c>
      <c r="T27" s="6">
        <v>8.0</v>
      </c>
      <c r="U27" s="29"/>
    </row>
    <row r="28">
      <c r="A28" s="41">
        <v>42031.0</v>
      </c>
      <c r="B28" s="13" t="s">
        <v>31</v>
      </c>
      <c r="C28" s="42">
        <v>49.0</v>
      </c>
      <c r="D28" s="13" t="s">
        <v>13</v>
      </c>
      <c r="E28" s="43">
        <v>0.2361111111111111</v>
      </c>
      <c r="F28" s="13" t="s">
        <v>100</v>
      </c>
      <c r="G28" s="44">
        <v>0.2916666666666667</v>
      </c>
      <c r="H28" s="13" t="s">
        <v>101</v>
      </c>
      <c r="I28" s="3">
        <v>1.0</v>
      </c>
      <c r="J28" s="3">
        <v>7.0</v>
      </c>
      <c r="K28" s="3">
        <v>0.0</v>
      </c>
      <c r="L28" s="3">
        <v>0.0</v>
      </c>
      <c r="M28" s="3">
        <v>156.0</v>
      </c>
      <c r="N28" s="3">
        <v>0.0</v>
      </c>
      <c r="O28" s="3">
        <v>2.0</v>
      </c>
      <c r="P28" s="3">
        <v>0.0</v>
      </c>
      <c r="Q28" s="3">
        <v>0.0</v>
      </c>
      <c r="R28" s="3">
        <v>0.0</v>
      </c>
      <c r="S28" s="13">
        <v>8.0</v>
      </c>
      <c r="T28" s="13">
        <v>158.0</v>
      </c>
      <c r="U28" s="45" t="s">
        <v>102</v>
      </c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>
      <c r="A29" s="25">
        <v>42032.0</v>
      </c>
      <c r="B29" s="6"/>
      <c r="C29" s="28" t="s">
        <v>103</v>
      </c>
      <c r="G29" s="27"/>
      <c r="H29" s="6" t="s">
        <v>49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6">
        <v>0.0</v>
      </c>
      <c r="U29" s="3" t="s">
        <v>65</v>
      </c>
    </row>
    <row r="30">
      <c r="A30" s="25">
        <v>42033.0</v>
      </c>
      <c r="C30" s="28" t="s">
        <v>104</v>
      </c>
      <c r="G30" s="27"/>
      <c r="H30" s="6" t="s">
        <v>49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6">
        <v>0.0</v>
      </c>
      <c r="U30" s="3" t="s">
        <v>65</v>
      </c>
    </row>
    <row r="31">
      <c r="A31" s="25">
        <v>42034.0</v>
      </c>
      <c r="B31" s="6" t="s">
        <v>45</v>
      </c>
      <c r="C31" s="28" t="s">
        <v>105</v>
      </c>
      <c r="D31" s="6" t="s">
        <v>13</v>
      </c>
      <c r="E31" s="7">
        <v>0.2569444444444444</v>
      </c>
      <c r="F31" s="7">
        <v>0.3402777777777778</v>
      </c>
      <c r="G31" s="6">
        <v>2.0</v>
      </c>
      <c r="H31" s="6" t="s">
        <v>106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6">
        <v>0.0</v>
      </c>
      <c r="U31" s="3" t="s">
        <v>65</v>
      </c>
    </row>
    <row r="32">
      <c r="A32" s="25">
        <v>42035.0</v>
      </c>
      <c r="B32" s="6" t="s">
        <v>31</v>
      </c>
      <c r="C32" s="28" t="s">
        <v>107</v>
      </c>
      <c r="D32" s="6" t="s">
        <v>13</v>
      </c>
      <c r="E32" s="7">
        <v>0.2604166666666667</v>
      </c>
      <c r="F32" s="7">
        <v>0.28125</v>
      </c>
      <c r="G32" s="27"/>
      <c r="H32" s="6" t="s">
        <v>49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6">
        <v>0.0</v>
      </c>
      <c r="U32" s="3"/>
    </row>
    <row r="33">
      <c r="I33" s="29"/>
      <c r="J33" s="29"/>
      <c r="K33" s="29"/>
      <c r="L33" s="29"/>
      <c r="M33" s="29"/>
      <c r="N33" s="29"/>
      <c r="O33" s="29"/>
      <c r="P33" s="29"/>
      <c r="Q33" s="29"/>
      <c r="R33" s="29"/>
      <c r="U33" s="29"/>
    </row>
    <row r="34">
      <c r="C34" s="19" t="s">
        <v>108</v>
      </c>
      <c r="F34" s="4"/>
      <c r="G34" s="20">
        <f>SUM(G2:G33)</f>
        <v>5.754861111</v>
      </c>
      <c r="H34" s="6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0">
        <f t="shared" ref="S34:T34" si="1">SUM(S2:S33)</f>
        <v>505</v>
      </c>
      <c r="T34" s="20">
        <f t="shared" si="1"/>
        <v>180</v>
      </c>
      <c r="U34" s="29"/>
    </row>
    <row r="35">
      <c r="C35" s="23" t="s">
        <v>52</v>
      </c>
      <c r="F35" s="4"/>
      <c r="G35" s="24" t="str">
        <f>dec_tot_hrs+jan_tot_hrs</f>
        <v>#REF!</v>
      </c>
      <c r="H35" s="6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1">
        <f> dec_tot_down + jan_tot_down</f>
        <v>562</v>
      </c>
      <c r="T35" s="21">
        <f> dec_tot_up + jan_tot_up</f>
        <v>180</v>
      </c>
      <c r="U35" s="29"/>
    </row>
    <row r="36">
      <c r="I36" s="29"/>
      <c r="J36" s="29"/>
      <c r="K36" s="29"/>
      <c r="L36" s="29"/>
      <c r="M36" s="29"/>
      <c r="N36" s="29"/>
      <c r="O36" s="29"/>
      <c r="P36" s="29"/>
      <c r="Q36" s="29"/>
      <c r="R36" s="29"/>
      <c r="U36" s="29"/>
    </row>
    <row r="37">
      <c r="I37" s="29"/>
      <c r="J37" s="29"/>
      <c r="K37" s="29"/>
      <c r="L37" s="29"/>
      <c r="M37" s="29"/>
      <c r="N37" s="29"/>
      <c r="O37" s="29"/>
      <c r="P37" s="29"/>
      <c r="Q37" s="29"/>
      <c r="R37" s="29"/>
      <c r="U37" s="29"/>
    </row>
    <row r="38">
      <c r="I38" s="29"/>
      <c r="J38" s="29"/>
      <c r="K38" s="29"/>
      <c r="L38" s="29"/>
      <c r="M38" s="29"/>
      <c r="N38" s="29"/>
      <c r="O38" s="29"/>
      <c r="P38" s="29"/>
      <c r="Q38" s="29"/>
      <c r="R38" s="29"/>
      <c r="U38" s="29"/>
    </row>
    <row r="39">
      <c r="I39" s="29"/>
      <c r="J39" s="29"/>
      <c r="K39" s="29"/>
      <c r="L39" s="29"/>
      <c r="M39" s="29"/>
      <c r="N39" s="29"/>
      <c r="O39" s="29"/>
      <c r="P39" s="29"/>
      <c r="Q39" s="29"/>
      <c r="R39" s="29"/>
      <c r="U39" s="29"/>
    </row>
    <row r="40">
      <c r="I40" s="29"/>
      <c r="J40" s="29"/>
      <c r="K40" s="29"/>
      <c r="L40" s="29"/>
      <c r="M40" s="29"/>
      <c r="N40" s="29"/>
      <c r="O40" s="29"/>
      <c r="P40" s="29"/>
      <c r="Q40" s="29"/>
      <c r="R40" s="29"/>
      <c r="U40" s="29"/>
    </row>
    <row r="41">
      <c r="I41" s="29"/>
      <c r="J41" s="29"/>
      <c r="K41" s="29"/>
      <c r="L41" s="29"/>
      <c r="M41" s="29"/>
      <c r="N41" s="29"/>
      <c r="O41" s="29"/>
      <c r="P41" s="29"/>
      <c r="Q41" s="29"/>
      <c r="R41" s="29"/>
      <c r="U41" s="29"/>
    </row>
    <row r="42">
      <c r="I42" s="29"/>
      <c r="J42" s="29"/>
      <c r="K42" s="29"/>
      <c r="L42" s="29"/>
      <c r="M42" s="29"/>
      <c r="N42" s="29"/>
      <c r="O42" s="29"/>
      <c r="P42" s="29"/>
      <c r="Q42" s="29"/>
      <c r="R42" s="29"/>
      <c r="U42" s="29"/>
    </row>
    <row r="43">
      <c r="I43" s="29"/>
      <c r="J43" s="29"/>
      <c r="K43" s="29"/>
      <c r="L43" s="29"/>
      <c r="M43" s="29"/>
      <c r="N43" s="29"/>
      <c r="O43" s="29"/>
      <c r="P43" s="29"/>
      <c r="Q43" s="29"/>
      <c r="R43" s="29"/>
      <c r="U43" s="29"/>
    </row>
    <row r="44">
      <c r="I44" s="29"/>
      <c r="J44" s="29"/>
      <c r="K44" s="29"/>
      <c r="L44" s="29"/>
      <c r="M44" s="29"/>
      <c r="N44" s="29"/>
      <c r="O44" s="29"/>
      <c r="P44" s="29"/>
      <c r="Q44" s="29"/>
      <c r="R44" s="29"/>
      <c r="U44" s="29"/>
    </row>
    <row r="45">
      <c r="I45" s="29"/>
      <c r="J45" s="29"/>
      <c r="K45" s="29"/>
      <c r="L45" s="29"/>
      <c r="M45" s="29"/>
      <c r="N45" s="29"/>
      <c r="O45" s="29"/>
      <c r="P45" s="29"/>
      <c r="Q45" s="29"/>
      <c r="R45" s="29"/>
      <c r="U45" s="29"/>
    </row>
    <row r="46">
      <c r="I46" s="29"/>
      <c r="J46" s="29"/>
      <c r="K46" s="29"/>
      <c r="L46" s="29"/>
      <c r="M46" s="29"/>
      <c r="N46" s="29"/>
      <c r="O46" s="29"/>
      <c r="P46" s="29"/>
      <c r="Q46" s="29"/>
      <c r="R46" s="29"/>
      <c r="U46" s="29"/>
    </row>
    <row r="47">
      <c r="I47" s="29"/>
      <c r="J47" s="29"/>
      <c r="K47" s="29"/>
      <c r="L47" s="29"/>
      <c r="M47" s="29"/>
      <c r="N47" s="29"/>
      <c r="O47" s="29"/>
      <c r="P47" s="29"/>
      <c r="Q47" s="29"/>
      <c r="R47" s="29"/>
      <c r="U47" s="29"/>
    </row>
    <row r="48">
      <c r="I48" s="29"/>
      <c r="J48" s="29"/>
      <c r="K48" s="29"/>
      <c r="L48" s="29"/>
      <c r="M48" s="29"/>
      <c r="N48" s="29"/>
      <c r="O48" s="29"/>
      <c r="P48" s="29"/>
      <c r="Q48" s="29"/>
      <c r="R48" s="29"/>
      <c r="U48" s="29"/>
    </row>
    <row r="49">
      <c r="I49" s="29"/>
      <c r="J49" s="29"/>
      <c r="K49" s="29"/>
      <c r="L49" s="29"/>
      <c r="M49" s="29"/>
      <c r="N49" s="29"/>
      <c r="O49" s="29"/>
      <c r="P49" s="29"/>
      <c r="Q49" s="29"/>
      <c r="R49" s="29"/>
      <c r="U49" s="29"/>
    </row>
    <row r="50">
      <c r="I50" s="29"/>
      <c r="J50" s="29"/>
      <c r="K50" s="29"/>
      <c r="L50" s="29"/>
      <c r="M50" s="29"/>
      <c r="N50" s="29"/>
      <c r="O50" s="29"/>
      <c r="P50" s="29"/>
      <c r="Q50" s="29"/>
      <c r="R50" s="29"/>
      <c r="U50" s="29"/>
    </row>
    <row r="51">
      <c r="I51" s="29"/>
      <c r="J51" s="29"/>
      <c r="K51" s="29"/>
      <c r="L51" s="29"/>
      <c r="M51" s="29"/>
      <c r="N51" s="29"/>
      <c r="O51" s="29"/>
      <c r="P51" s="29"/>
      <c r="Q51" s="29"/>
      <c r="R51" s="29"/>
      <c r="U51" s="29"/>
    </row>
    <row r="52">
      <c r="I52" s="29"/>
      <c r="J52" s="29"/>
      <c r="K52" s="29"/>
      <c r="L52" s="29"/>
      <c r="M52" s="29"/>
      <c r="N52" s="29"/>
      <c r="O52" s="29"/>
      <c r="P52" s="29"/>
      <c r="Q52" s="29"/>
      <c r="R52" s="29"/>
      <c r="U52" s="29"/>
    </row>
    <row r="53">
      <c r="I53" s="29"/>
      <c r="J53" s="29"/>
      <c r="K53" s="29"/>
      <c r="L53" s="29"/>
      <c r="M53" s="29"/>
      <c r="N53" s="29"/>
      <c r="O53" s="29"/>
      <c r="P53" s="29"/>
      <c r="Q53" s="29"/>
      <c r="R53" s="29"/>
      <c r="U53" s="29"/>
    </row>
    <row r="54">
      <c r="I54" s="29"/>
      <c r="J54" s="29"/>
      <c r="K54" s="29"/>
      <c r="L54" s="29"/>
      <c r="M54" s="29"/>
      <c r="N54" s="29"/>
      <c r="O54" s="29"/>
      <c r="P54" s="29"/>
      <c r="Q54" s="29"/>
      <c r="R54" s="29"/>
      <c r="U54" s="29"/>
    </row>
    <row r="55">
      <c r="I55" s="29"/>
      <c r="J55" s="29"/>
      <c r="K55" s="29"/>
      <c r="L55" s="29"/>
      <c r="M55" s="29"/>
      <c r="N55" s="29"/>
      <c r="O55" s="29"/>
      <c r="P55" s="29"/>
      <c r="Q55" s="29"/>
      <c r="R55" s="29"/>
      <c r="U55" s="29"/>
    </row>
    <row r="56">
      <c r="I56" s="29"/>
      <c r="J56" s="29"/>
      <c r="K56" s="29"/>
      <c r="L56" s="29"/>
      <c r="M56" s="29"/>
      <c r="N56" s="29"/>
      <c r="O56" s="29"/>
      <c r="P56" s="29"/>
      <c r="Q56" s="29"/>
      <c r="R56" s="29"/>
      <c r="U56" s="29"/>
    </row>
    <row r="57">
      <c r="I57" s="29"/>
      <c r="J57" s="29"/>
      <c r="K57" s="29"/>
      <c r="L57" s="29"/>
      <c r="M57" s="29"/>
      <c r="N57" s="29"/>
      <c r="O57" s="29"/>
      <c r="P57" s="29"/>
      <c r="Q57" s="29"/>
      <c r="R57" s="29"/>
      <c r="U57" s="29"/>
    </row>
    <row r="58">
      <c r="I58" s="29"/>
      <c r="J58" s="29"/>
      <c r="K58" s="29"/>
      <c r="L58" s="29"/>
      <c r="M58" s="29"/>
      <c r="N58" s="29"/>
      <c r="O58" s="29"/>
      <c r="P58" s="29"/>
      <c r="Q58" s="29"/>
      <c r="R58" s="29"/>
      <c r="U58" s="29"/>
    </row>
    <row r="59">
      <c r="I59" s="29"/>
      <c r="J59" s="29"/>
      <c r="K59" s="29"/>
      <c r="L59" s="29"/>
      <c r="M59" s="29"/>
      <c r="N59" s="29"/>
      <c r="O59" s="29"/>
      <c r="P59" s="29"/>
      <c r="Q59" s="29"/>
      <c r="R59" s="29"/>
      <c r="U59" s="29"/>
    </row>
    <row r="60">
      <c r="I60" s="29"/>
      <c r="J60" s="29"/>
      <c r="K60" s="29"/>
      <c r="L60" s="29"/>
      <c r="M60" s="29"/>
      <c r="N60" s="29"/>
      <c r="O60" s="29"/>
      <c r="P60" s="29"/>
      <c r="Q60" s="29"/>
      <c r="R60" s="29"/>
      <c r="U60" s="29"/>
    </row>
    <row r="61">
      <c r="I61" s="29"/>
      <c r="J61" s="29"/>
      <c r="K61" s="29"/>
      <c r="L61" s="29"/>
      <c r="M61" s="29"/>
      <c r="N61" s="29"/>
      <c r="O61" s="29"/>
      <c r="P61" s="29"/>
      <c r="Q61" s="29"/>
      <c r="R61" s="29"/>
      <c r="U61" s="29"/>
    </row>
    <row r="62">
      <c r="I62" s="29"/>
      <c r="J62" s="29"/>
      <c r="K62" s="29"/>
      <c r="L62" s="29"/>
      <c r="M62" s="29"/>
      <c r="N62" s="29"/>
      <c r="O62" s="29"/>
      <c r="P62" s="29"/>
      <c r="Q62" s="29"/>
      <c r="R62" s="29"/>
      <c r="U62" s="29"/>
    </row>
    <row r="63">
      <c r="I63" s="29"/>
      <c r="J63" s="29"/>
      <c r="K63" s="29"/>
      <c r="L63" s="29"/>
      <c r="M63" s="29"/>
      <c r="N63" s="29"/>
      <c r="O63" s="29"/>
      <c r="P63" s="29"/>
      <c r="Q63" s="29"/>
      <c r="R63" s="29"/>
      <c r="U63" s="29"/>
    </row>
    <row r="64">
      <c r="I64" s="29"/>
      <c r="J64" s="29"/>
      <c r="K64" s="29"/>
      <c r="L64" s="29"/>
      <c r="M64" s="29"/>
      <c r="N64" s="29"/>
      <c r="O64" s="29"/>
      <c r="P64" s="29"/>
      <c r="Q64" s="29"/>
      <c r="R64" s="29"/>
      <c r="U64" s="29"/>
    </row>
    <row r="65">
      <c r="I65" s="29"/>
      <c r="J65" s="29"/>
      <c r="K65" s="29"/>
      <c r="L65" s="29"/>
      <c r="M65" s="29"/>
      <c r="N65" s="29"/>
      <c r="O65" s="29"/>
      <c r="P65" s="29"/>
      <c r="Q65" s="29"/>
      <c r="R65" s="29"/>
      <c r="U65" s="29"/>
    </row>
    <row r="66">
      <c r="I66" s="29"/>
      <c r="J66" s="29"/>
      <c r="K66" s="29"/>
      <c r="L66" s="29"/>
      <c r="M66" s="29"/>
      <c r="N66" s="29"/>
      <c r="O66" s="29"/>
      <c r="P66" s="29"/>
      <c r="Q66" s="29"/>
      <c r="R66" s="29"/>
      <c r="U66" s="29"/>
    </row>
    <row r="67">
      <c r="I67" s="29"/>
      <c r="J67" s="29"/>
      <c r="K67" s="29"/>
      <c r="L67" s="29"/>
      <c r="M67" s="29"/>
      <c r="N67" s="29"/>
      <c r="O67" s="29"/>
      <c r="P67" s="29"/>
      <c r="Q67" s="29"/>
      <c r="R67" s="29"/>
      <c r="U67" s="29"/>
    </row>
    <row r="68">
      <c r="I68" s="29"/>
      <c r="J68" s="29"/>
      <c r="K68" s="29"/>
      <c r="L68" s="29"/>
      <c r="M68" s="29"/>
      <c r="N68" s="29"/>
      <c r="O68" s="29"/>
      <c r="P68" s="29"/>
      <c r="Q68" s="29"/>
      <c r="R68" s="29"/>
      <c r="U68" s="29"/>
    </row>
    <row r="69">
      <c r="I69" s="29"/>
      <c r="J69" s="29"/>
      <c r="K69" s="29"/>
      <c r="L69" s="29"/>
      <c r="M69" s="29"/>
      <c r="N69" s="29"/>
      <c r="O69" s="29"/>
      <c r="P69" s="29"/>
      <c r="Q69" s="29"/>
      <c r="R69" s="29"/>
      <c r="U69" s="29"/>
    </row>
    <row r="70">
      <c r="I70" s="29"/>
      <c r="J70" s="29"/>
      <c r="K70" s="29"/>
      <c r="L70" s="29"/>
      <c r="M70" s="29"/>
      <c r="N70" s="29"/>
      <c r="O70" s="29"/>
      <c r="P70" s="29"/>
      <c r="Q70" s="29"/>
      <c r="R70" s="29"/>
      <c r="U70" s="29"/>
    </row>
    <row r="71">
      <c r="I71" s="29"/>
      <c r="J71" s="29"/>
      <c r="K71" s="29"/>
      <c r="L71" s="29"/>
      <c r="M71" s="29"/>
      <c r="N71" s="29"/>
      <c r="O71" s="29"/>
      <c r="P71" s="29"/>
      <c r="Q71" s="29"/>
      <c r="R71" s="29"/>
      <c r="U71" s="29"/>
    </row>
    <row r="72">
      <c r="I72" s="29"/>
      <c r="J72" s="29"/>
      <c r="K72" s="29"/>
      <c r="L72" s="29"/>
      <c r="M72" s="29"/>
      <c r="N72" s="29"/>
      <c r="O72" s="29"/>
      <c r="P72" s="29"/>
      <c r="Q72" s="29"/>
      <c r="R72" s="29"/>
      <c r="U72" s="29"/>
    </row>
    <row r="73">
      <c r="I73" s="29"/>
      <c r="J73" s="29"/>
      <c r="K73" s="29"/>
      <c r="L73" s="29"/>
      <c r="M73" s="29"/>
      <c r="N73" s="29"/>
      <c r="O73" s="29"/>
      <c r="P73" s="29"/>
      <c r="Q73" s="29"/>
      <c r="R73" s="29"/>
      <c r="U73" s="29"/>
    </row>
    <row r="74">
      <c r="I74" s="29"/>
      <c r="J74" s="29"/>
      <c r="K74" s="29"/>
      <c r="L74" s="29"/>
      <c r="M74" s="29"/>
      <c r="N74" s="29"/>
      <c r="O74" s="29"/>
      <c r="P74" s="29"/>
      <c r="Q74" s="29"/>
      <c r="R74" s="29"/>
      <c r="U74" s="29"/>
    </row>
    <row r="75">
      <c r="I75" s="29"/>
      <c r="J75" s="29"/>
      <c r="K75" s="29"/>
      <c r="L75" s="29"/>
      <c r="M75" s="29"/>
      <c r="N75" s="29"/>
      <c r="O75" s="29"/>
      <c r="P75" s="29"/>
      <c r="Q75" s="29"/>
      <c r="R75" s="29"/>
      <c r="U75" s="29"/>
    </row>
    <row r="76">
      <c r="I76" s="29"/>
      <c r="J76" s="29"/>
      <c r="K76" s="29"/>
      <c r="L76" s="29"/>
      <c r="M76" s="29"/>
      <c r="N76" s="29"/>
      <c r="O76" s="29"/>
      <c r="P76" s="29"/>
      <c r="Q76" s="29"/>
      <c r="R76" s="29"/>
      <c r="U76" s="29"/>
    </row>
    <row r="77">
      <c r="I77" s="29"/>
      <c r="J77" s="29"/>
      <c r="K77" s="29"/>
      <c r="L77" s="29"/>
      <c r="M77" s="29"/>
      <c r="N77" s="29"/>
      <c r="O77" s="29"/>
      <c r="P77" s="29"/>
      <c r="Q77" s="29"/>
      <c r="R77" s="29"/>
      <c r="U77" s="29"/>
    </row>
    <row r="78">
      <c r="I78" s="29"/>
      <c r="J78" s="29"/>
      <c r="K78" s="29"/>
      <c r="L78" s="29"/>
      <c r="M78" s="29"/>
      <c r="N78" s="29"/>
      <c r="O78" s="29"/>
      <c r="P78" s="29"/>
      <c r="Q78" s="29"/>
      <c r="R78" s="29"/>
      <c r="U78" s="29"/>
    </row>
    <row r="79">
      <c r="I79" s="29"/>
      <c r="J79" s="29"/>
      <c r="K79" s="29"/>
      <c r="L79" s="29"/>
      <c r="M79" s="29"/>
      <c r="N79" s="29"/>
      <c r="O79" s="29"/>
      <c r="P79" s="29"/>
      <c r="Q79" s="29"/>
      <c r="R79" s="29"/>
      <c r="U79" s="29"/>
    </row>
    <row r="80">
      <c r="I80" s="29"/>
      <c r="J80" s="29"/>
      <c r="K80" s="29"/>
      <c r="L80" s="29"/>
      <c r="M80" s="29"/>
      <c r="N80" s="29"/>
      <c r="O80" s="29"/>
      <c r="P80" s="29"/>
      <c r="Q80" s="29"/>
      <c r="R80" s="29"/>
      <c r="U80" s="29"/>
    </row>
    <row r="81">
      <c r="I81" s="29"/>
      <c r="J81" s="29"/>
      <c r="K81" s="29"/>
      <c r="L81" s="29"/>
      <c r="M81" s="29"/>
      <c r="N81" s="29"/>
      <c r="O81" s="29"/>
      <c r="P81" s="29"/>
      <c r="Q81" s="29"/>
      <c r="R81" s="29"/>
      <c r="U81" s="29"/>
    </row>
    <row r="82">
      <c r="I82" s="29"/>
      <c r="J82" s="29"/>
      <c r="K82" s="29"/>
      <c r="L82" s="29"/>
      <c r="M82" s="29"/>
      <c r="N82" s="29"/>
      <c r="O82" s="29"/>
      <c r="P82" s="29"/>
      <c r="Q82" s="29"/>
      <c r="R82" s="29"/>
      <c r="U82" s="29"/>
    </row>
    <row r="83">
      <c r="I83" s="29"/>
      <c r="J83" s="29"/>
      <c r="K83" s="29"/>
      <c r="L83" s="29"/>
      <c r="M83" s="29"/>
      <c r="N83" s="29"/>
      <c r="O83" s="29"/>
      <c r="P83" s="29"/>
      <c r="Q83" s="29"/>
      <c r="R83" s="29"/>
      <c r="U83" s="29"/>
    </row>
    <row r="84">
      <c r="I84" s="29"/>
      <c r="J84" s="29"/>
      <c r="K84" s="29"/>
      <c r="L84" s="29"/>
      <c r="M84" s="29"/>
      <c r="N84" s="29"/>
      <c r="O84" s="29"/>
      <c r="P84" s="29"/>
      <c r="Q84" s="29"/>
      <c r="R84" s="29"/>
      <c r="U84" s="29"/>
    </row>
    <row r="85">
      <c r="I85" s="29"/>
      <c r="J85" s="29"/>
      <c r="K85" s="29"/>
      <c r="L85" s="29"/>
      <c r="M85" s="29"/>
      <c r="N85" s="29"/>
      <c r="O85" s="29"/>
      <c r="P85" s="29"/>
      <c r="Q85" s="29"/>
      <c r="R85" s="29"/>
      <c r="U85" s="29"/>
    </row>
    <row r="86">
      <c r="I86" s="29"/>
      <c r="J86" s="29"/>
      <c r="K86" s="29"/>
      <c r="L86" s="29"/>
      <c r="M86" s="29"/>
      <c r="N86" s="29"/>
      <c r="O86" s="29"/>
      <c r="P86" s="29"/>
      <c r="Q86" s="29"/>
      <c r="R86" s="29"/>
      <c r="U86" s="29"/>
    </row>
    <row r="87">
      <c r="I87" s="29"/>
      <c r="J87" s="29"/>
      <c r="K87" s="29"/>
      <c r="L87" s="29"/>
      <c r="M87" s="29"/>
      <c r="N87" s="29"/>
      <c r="O87" s="29"/>
      <c r="P87" s="29"/>
      <c r="Q87" s="29"/>
      <c r="R87" s="29"/>
      <c r="U87" s="29"/>
    </row>
    <row r="88">
      <c r="I88" s="29"/>
      <c r="J88" s="29"/>
      <c r="K88" s="29"/>
      <c r="L88" s="29"/>
      <c r="M88" s="29"/>
      <c r="N88" s="29"/>
      <c r="O88" s="29"/>
      <c r="P88" s="29"/>
      <c r="Q88" s="29"/>
      <c r="R88" s="29"/>
      <c r="U88" s="29"/>
    </row>
    <row r="89">
      <c r="I89" s="29"/>
      <c r="J89" s="29"/>
      <c r="K89" s="29"/>
      <c r="L89" s="29"/>
      <c r="M89" s="29"/>
      <c r="N89" s="29"/>
      <c r="O89" s="29"/>
      <c r="P89" s="29"/>
      <c r="Q89" s="29"/>
      <c r="R89" s="29"/>
      <c r="U89" s="29"/>
    </row>
    <row r="90">
      <c r="I90" s="29"/>
      <c r="J90" s="29"/>
      <c r="K90" s="29"/>
      <c r="L90" s="29"/>
      <c r="M90" s="29"/>
      <c r="N90" s="29"/>
      <c r="O90" s="29"/>
      <c r="P90" s="29"/>
      <c r="Q90" s="29"/>
      <c r="R90" s="29"/>
      <c r="U90" s="29"/>
    </row>
    <row r="91">
      <c r="I91" s="29"/>
      <c r="J91" s="29"/>
      <c r="K91" s="29"/>
      <c r="L91" s="29"/>
      <c r="M91" s="29"/>
      <c r="N91" s="29"/>
      <c r="O91" s="29"/>
      <c r="P91" s="29"/>
      <c r="Q91" s="29"/>
      <c r="R91" s="29"/>
      <c r="U91" s="29"/>
    </row>
    <row r="92">
      <c r="I92" s="29"/>
      <c r="J92" s="29"/>
      <c r="K92" s="29"/>
      <c r="L92" s="29"/>
      <c r="M92" s="29"/>
      <c r="N92" s="29"/>
      <c r="O92" s="29"/>
      <c r="P92" s="29"/>
      <c r="Q92" s="29"/>
      <c r="R92" s="29"/>
      <c r="U92" s="29"/>
    </row>
    <row r="93">
      <c r="I93" s="29"/>
      <c r="J93" s="29"/>
      <c r="K93" s="29"/>
      <c r="L93" s="29"/>
      <c r="M93" s="29"/>
      <c r="N93" s="29"/>
      <c r="O93" s="29"/>
      <c r="P93" s="29"/>
      <c r="Q93" s="29"/>
      <c r="R93" s="29"/>
      <c r="U93" s="29"/>
    </row>
    <row r="94">
      <c r="I94" s="29"/>
      <c r="J94" s="29"/>
      <c r="K94" s="29"/>
      <c r="L94" s="29"/>
      <c r="M94" s="29"/>
      <c r="N94" s="29"/>
      <c r="O94" s="29"/>
      <c r="P94" s="29"/>
      <c r="Q94" s="29"/>
      <c r="R94" s="29"/>
      <c r="U94" s="29"/>
    </row>
    <row r="95">
      <c r="I95" s="29"/>
      <c r="J95" s="29"/>
      <c r="K95" s="29"/>
      <c r="L95" s="29"/>
      <c r="M95" s="29"/>
      <c r="N95" s="29"/>
      <c r="O95" s="29"/>
      <c r="P95" s="29"/>
      <c r="Q95" s="29"/>
      <c r="R95" s="29"/>
      <c r="U95" s="29"/>
    </row>
    <row r="96">
      <c r="I96" s="29"/>
      <c r="J96" s="29"/>
      <c r="K96" s="29"/>
      <c r="L96" s="29"/>
      <c r="M96" s="29"/>
      <c r="N96" s="29"/>
      <c r="O96" s="29"/>
      <c r="P96" s="29"/>
      <c r="Q96" s="29"/>
      <c r="R96" s="29"/>
      <c r="U96" s="29"/>
    </row>
    <row r="97">
      <c r="I97" s="29"/>
      <c r="J97" s="29"/>
      <c r="K97" s="29"/>
      <c r="L97" s="29"/>
      <c r="M97" s="29"/>
      <c r="N97" s="29"/>
      <c r="O97" s="29"/>
      <c r="P97" s="29"/>
      <c r="Q97" s="29"/>
      <c r="R97" s="29"/>
      <c r="U97" s="29"/>
    </row>
    <row r="98">
      <c r="I98" s="29"/>
      <c r="J98" s="29"/>
      <c r="K98" s="29"/>
      <c r="L98" s="29"/>
      <c r="M98" s="29"/>
      <c r="N98" s="29"/>
      <c r="O98" s="29"/>
      <c r="P98" s="29"/>
      <c r="Q98" s="29"/>
      <c r="R98" s="29"/>
      <c r="U98" s="29"/>
    </row>
    <row r="99">
      <c r="I99" s="29"/>
      <c r="J99" s="29"/>
      <c r="K99" s="29"/>
      <c r="L99" s="29"/>
      <c r="M99" s="29"/>
      <c r="N99" s="29"/>
      <c r="O99" s="29"/>
      <c r="P99" s="29"/>
      <c r="Q99" s="29"/>
      <c r="R99" s="29"/>
      <c r="U99" s="29"/>
    </row>
    <row r="100"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U100" s="29"/>
    </row>
    <row r="101"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U101" s="29"/>
    </row>
    <row r="102"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U102" s="29"/>
    </row>
    <row r="103"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U103" s="29"/>
    </row>
    <row r="104"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U104" s="29"/>
    </row>
    <row r="105"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U105" s="29"/>
    </row>
    <row r="106"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U106" s="29"/>
    </row>
    <row r="107"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U107" s="29"/>
    </row>
    <row r="108"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U108" s="29"/>
    </row>
    <row r="109"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U109" s="29"/>
    </row>
    <row r="110"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U110" s="29"/>
    </row>
    <row r="111"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U111" s="29"/>
    </row>
    <row r="112"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U112" s="29"/>
    </row>
    <row r="113"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U113" s="29"/>
    </row>
    <row r="114"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U114" s="29"/>
    </row>
    <row r="115"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U115" s="29"/>
    </row>
    <row r="116"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U116" s="29"/>
    </row>
    <row r="117"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U117" s="29"/>
    </row>
    <row r="118"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U118" s="29"/>
    </row>
    <row r="119"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U119" s="29"/>
    </row>
    <row r="120"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U120" s="29"/>
    </row>
    <row r="121"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U121" s="29"/>
    </row>
    <row r="122"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U122" s="29"/>
    </row>
    <row r="123"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U123" s="29"/>
    </row>
    <row r="124"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U124" s="29"/>
    </row>
    <row r="125"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U125" s="29"/>
    </row>
    <row r="126"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U126" s="29"/>
    </row>
    <row r="127"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U127" s="29"/>
    </row>
    <row r="128"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U128" s="29"/>
    </row>
    <row r="129"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U129" s="29"/>
    </row>
    <row r="130"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U130" s="29"/>
    </row>
    <row r="131"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U131" s="29"/>
    </row>
    <row r="132"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U132" s="29"/>
    </row>
    <row r="133"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U133" s="29"/>
    </row>
    <row r="134"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U134" s="29"/>
    </row>
    <row r="135"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U135" s="29"/>
    </row>
    <row r="136"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U136" s="29"/>
    </row>
    <row r="137"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U137" s="29"/>
    </row>
    <row r="138"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U138" s="29"/>
    </row>
    <row r="139"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U139" s="29"/>
    </row>
    <row r="140"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U140" s="29"/>
    </row>
    <row r="141"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U141" s="29"/>
    </row>
    <row r="142"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U142" s="29"/>
    </row>
    <row r="143"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U143" s="29"/>
    </row>
    <row r="144"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U144" s="29"/>
    </row>
    <row r="145"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U145" s="29"/>
    </row>
    <row r="146"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U146" s="29"/>
    </row>
    <row r="147"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U147" s="29"/>
    </row>
    <row r="148"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U148" s="29"/>
    </row>
    <row r="149"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U149" s="29"/>
    </row>
    <row r="150"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U150" s="29"/>
    </row>
    <row r="151"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U151" s="29"/>
    </row>
    <row r="152"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U152" s="29"/>
    </row>
    <row r="153"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U153" s="29"/>
    </row>
    <row r="154"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U154" s="29"/>
    </row>
    <row r="155"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U155" s="29"/>
    </row>
    <row r="156"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U156" s="29"/>
    </row>
    <row r="157"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U157" s="29"/>
    </row>
    <row r="158"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U158" s="29"/>
    </row>
    <row r="159"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U159" s="29"/>
    </row>
    <row r="160"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U160" s="29"/>
    </row>
    <row r="161"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U161" s="29"/>
    </row>
    <row r="162"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U162" s="29"/>
    </row>
    <row r="163"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U163" s="29"/>
    </row>
    <row r="164"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U164" s="29"/>
    </row>
    <row r="165"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U165" s="29"/>
    </row>
    <row r="166"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U166" s="29"/>
    </row>
    <row r="167"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U167" s="29"/>
    </row>
    <row r="168"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U168" s="29"/>
    </row>
    <row r="169"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U169" s="29"/>
    </row>
    <row r="170"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U170" s="29"/>
    </row>
    <row r="171"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U171" s="29"/>
    </row>
    <row r="172"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U172" s="29"/>
    </row>
    <row r="173"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U173" s="29"/>
    </row>
    <row r="174"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U174" s="29"/>
    </row>
    <row r="175"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U175" s="29"/>
    </row>
    <row r="176"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U176" s="29"/>
    </row>
    <row r="177"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U177" s="29"/>
    </row>
    <row r="178"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U178" s="29"/>
    </row>
    <row r="179"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U179" s="29"/>
    </row>
    <row r="180"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U180" s="29"/>
    </row>
    <row r="181"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U181" s="29"/>
    </row>
    <row r="182"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U182" s="29"/>
    </row>
    <row r="183"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U183" s="29"/>
    </row>
    <row r="184"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U184" s="29"/>
    </row>
    <row r="185"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U185" s="29"/>
    </row>
    <row r="186"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U186" s="29"/>
    </row>
    <row r="187"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U187" s="29"/>
    </row>
    <row r="188"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U188" s="29"/>
    </row>
    <row r="189"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U189" s="29"/>
    </row>
    <row r="190"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U190" s="29"/>
    </row>
    <row r="191"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U191" s="29"/>
    </row>
    <row r="192"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U192" s="29"/>
    </row>
    <row r="193"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U193" s="29"/>
    </row>
    <row r="194"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U194" s="29"/>
    </row>
    <row r="195"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U195" s="29"/>
    </row>
    <row r="196"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U196" s="29"/>
    </row>
    <row r="197"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U197" s="29"/>
    </row>
    <row r="198"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U198" s="29"/>
    </row>
    <row r="199"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U199" s="29"/>
    </row>
    <row r="200"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U200" s="29"/>
    </row>
    <row r="201"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U201" s="29"/>
    </row>
    <row r="202"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U202" s="29"/>
    </row>
    <row r="203"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U203" s="29"/>
    </row>
    <row r="204"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U204" s="29"/>
    </row>
    <row r="205"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U205" s="29"/>
    </row>
    <row r="206"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U206" s="29"/>
    </row>
    <row r="207"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U207" s="29"/>
    </row>
    <row r="208"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U208" s="29"/>
    </row>
    <row r="209"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U209" s="29"/>
    </row>
    <row r="210"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U210" s="29"/>
    </row>
    <row r="211"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U211" s="29"/>
    </row>
    <row r="212"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U212" s="29"/>
    </row>
    <row r="213"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U213" s="29"/>
    </row>
    <row r="214"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U214" s="29"/>
    </row>
    <row r="215"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U215" s="29"/>
    </row>
    <row r="216"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U216" s="29"/>
    </row>
    <row r="217"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U217" s="29"/>
    </row>
    <row r="218"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U218" s="29"/>
    </row>
    <row r="219"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U219" s="29"/>
    </row>
    <row r="220"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U220" s="29"/>
    </row>
    <row r="221"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U221" s="29"/>
    </row>
    <row r="222"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U222" s="29"/>
    </row>
    <row r="223"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U223" s="29"/>
    </row>
    <row r="224"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U224" s="29"/>
    </row>
    <row r="225"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U225" s="29"/>
    </row>
    <row r="226"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U226" s="29"/>
    </row>
    <row r="227"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U227" s="29"/>
    </row>
    <row r="228"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U228" s="29"/>
    </row>
    <row r="229"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U229" s="29"/>
    </row>
    <row r="230"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U230" s="29"/>
    </row>
    <row r="231"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U231" s="29"/>
    </row>
    <row r="232"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U232" s="29"/>
    </row>
    <row r="233"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U233" s="29"/>
    </row>
    <row r="234"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U234" s="29"/>
    </row>
    <row r="235"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U235" s="29"/>
    </row>
    <row r="236"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U236" s="29"/>
    </row>
    <row r="237"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U237" s="29"/>
    </row>
    <row r="238"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U238" s="29"/>
    </row>
    <row r="239"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U239" s="29"/>
    </row>
    <row r="240"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U240" s="29"/>
    </row>
    <row r="241"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U241" s="29"/>
    </row>
    <row r="242"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U242" s="29"/>
    </row>
    <row r="243"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U243" s="29"/>
    </row>
    <row r="244"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U244" s="29"/>
    </row>
    <row r="245"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U245" s="29"/>
    </row>
    <row r="246"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U246" s="29"/>
    </row>
    <row r="247"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U247" s="29"/>
    </row>
    <row r="248"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U248" s="29"/>
    </row>
    <row r="249"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U249" s="29"/>
    </row>
    <row r="250"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U250" s="29"/>
    </row>
    <row r="251"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U251" s="29"/>
    </row>
    <row r="252"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U252" s="29"/>
    </row>
    <row r="253"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U253" s="29"/>
    </row>
    <row r="254"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U254" s="29"/>
    </row>
    <row r="255"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U255" s="29"/>
    </row>
    <row r="256"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U256" s="29"/>
    </row>
    <row r="257"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U257" s="29"/>
    </row>
    <row r="258"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U258" s="29"/>
    </row>
    <row r="259"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U259" s="29"/>
    </row>
    <row r="260"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U260" s="29"/>
    </row>
    <row r="261"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U261" s="29"/>
    </row>
    <row r="262"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U262" s="29"/>
    </row>
    <row r="263"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U263" s="29"/>
    </row>
    <row r="264"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U264" s="29"/>
    </row>
    <row r="265"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U265" s="29"/>
    </row>
    <row r="266"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U266" s="29"/>
    </row>
    <row r="267"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U267" s="29"/>
    </row>
    <row r="268"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U268" s="29"/>
    </row>
    <row r="269"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U269" s="29"/>
    </row>
    <row r="270"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U270" s="29"/>
    </row>
    <row r="271"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U271" s="29"/>
    </row>
    <row r="272"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U272" s="29"/>
    </row>
    <row r="273"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U273" s="29"/>
    </row>
    <row r="274"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U274" s="29"/>
    </row>
    <row r="275"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U275" s="29"/>
    </row>
    <row r="276"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U276" s="29"/>
    </row>
    <row r="277"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U277" s="29"/>
    </row>
    <row r="278"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U278" s="29"/>
    </row>
    <row r="279"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U279" s="29"/>
    </row>
    <row r="280"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U280" s="29"/>
    </row>
    <row r="281"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U281" s="29"/>
    </row>
    <row r="282"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U282" s="29"/>
    </row>
    <row r="283"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U283" s="29"/>
    </row>
    <row r="284"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U284" s="29"/>
    </row>
    <row r="285"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U285" s="29"/>
    </row>
    <row r="286"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U286" s="29"/>
    </row>
    <row r="287"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U287" s="29"/>
    </row>
    <row r="288"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U288" s="29"/>
    </row>
    <row r="289"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U289" s="29"/>
    </row>
    <row r="290"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U290" s="29"/>
    </row>
    <row r="291"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U291" s="29"/>
    </row>
    <row r="292"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U292" s="29"/>
    </row>
    <row r="293"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U293" s="29"/>
    </row>
    <row r="294"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U294" s="29"/>
    </row>
    <row r="295"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U295" s="29"/>
    </row>
    <row r="296"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U296" s="29"/>
    </row>
    <row r="297"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U297" s="29"/>
    </row>
    <row r="298"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U298" s="29"/>
    </row>
    <row r="299"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U299" s="29"/>
    </row>
    <row r="300"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U300" s="29"/>
    </row>
    <row r="301"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U301" s="29"/>
    </row>
    <row r="302"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U302" s="29"/>
    </row>
    <row r="303"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U303" s="29"/>
    </row>
    <row r="304"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U304" s="29"/>
    </row>
    <row r="305"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U305" s="29"/>
    </row>
    <row r="306"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U306" s="29"/>
    </row>
    <row r="307"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U307" s="29"/>
    </row>
    <row r="308"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U308" s="29"/>
    </row>
    <row r="309"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U309" s="29"/>
    </row>
    <row r="310"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U310" s="29"/>
    </row>
    <row r="311"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U311" s="29"/>
    </row>
    <row r="312"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U312" s="29"/>
    </row>
    <row r="313"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U313" s="29"/>
    </row>
    <row r="314"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U314" s="29"/>
    </row>
    <row r="315"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U315" s="29"/>
    </row>
    <row r="316"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U316" s="29"/>
    </row>
    <row r="317"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U317" s="29"/>
    </row>
    <row r="318"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U318" s="29"/>
    </row>
    <row r="319"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U319" s="29"/>
    </row>
    <row r="320"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U320" s="29"/>
    </row>
    <row r="321"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U321" s="29"/>
    </row>
    <row r="322"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U322" s="29"/>
    </row>
    <row r="323"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U323" s="29"/>
    </row>
    <row r="324"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U324" s="29"/>
    </row>
    <row r="325"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U325" s="29"/>
    </row>
    <row r="326"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U326" s="29"/>
    </row>
    <row r="327"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U327" s="29"/>
    </row>
    <row r="328"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U328" s="29"/>
    </row>
    <row r="329"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U329" s="29"/>
    </row>
    <row r="330"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U330" s="29"/>
    </row>
    <row r="331"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U331" s="29"/>
    </row>
    <row r="332"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U332" s="29"/>
    </row>
    <row r="333"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U333" s="29"/>
    </row>
    <row r="334"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U334" s="29"/>
    </row>
    <row r="335"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U335" s="29"/>
    </row>
    <row r="336"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U336" s="29"/>
    </row>
    <row r="337"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U337" s="29"/>
    </row>
    <row r="338"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U338" s="29"/>
    </row>
    <row r="339"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U339" s="29"/>
    </row>
    <row r="340"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U340" s="29"/>
    </row>
    <row r="341"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U341" s="29"/>
    </row>
    <row r="342"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U342" s="29"/>
    </row>
    <row r="343"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U343" s="29"/>
    </row>
    <row r="344"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U344" s="29"/>
    </row>
    <row r="345"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U345" s="29"/>
    </row>
    <row r="346"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U346" s="29"/>
    </row>
    <row r="347"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U347" s="29"/>
    </row>
    <row r="348"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U348" s="29"/>
    </row>
    <row r="349"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U349" s="29"/>
    </row>
    <row r="350"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U350" s="29"/>
    </row>
    <row r="351"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U351" s="29"/>
    </row>
    <row r="352"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U352" s="29"/>
    </row>
    <row r="353"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U353" s="29"/>
    </row>
    <row r="354"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U354" s="29"/>
    </row>
    <row r="355"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U355" s="29"/>
    </row>
    <row r="356"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U356" s="29"/>
    </row>
    <row r="357"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U357" s="29"/>
    </row>
    <row r="358"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U358" s="29"/>
    </row>
    <row r="359"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U359" s="29"/>
    </row>
    <row r="360"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U360" s="29"/>
    </row>
    <row r="361"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U361" s="29"/>
    </row>
    <row r="362"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U362" s="29"/>
    </row>
    <row r="363"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U363" s="29"/>
    </row>
    <row r="364"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U364" s="29"/>
    </row>
    <row r="365"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U365" s="29"/>
    </row>
    <row r="366"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U366" s="29"/>
    </row>
    <row r="367"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U367" s="29"/>
    </row>
    <row r="368"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U368" s="29"/>
    </row>
    <row r="369"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U369" s="29"/>
    </row>
    <row r="370"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U370" s="29"/>
    </row>
    <row r="371"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U371" s="29"/>
    </row>
    <row r="372"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U372" s="29"/>
    </row>
    <row r="373"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U373" s="29"/>
    </row>
    <row r="374"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U374" s="29"/>
    </row>
    <row r="375"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U375" s="29"/>
    </row>
    <row r="376"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U376" s="29"/>
    </row>
    <row r="377"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U377" s="29"/>
    </row>
    <row r="378"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U378" s="29"/>
    </row>
    <row r="379"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U379" s="29"/>
    </row>
    <row r="380"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U380" s="29"/>
    </row>
    <row r="381"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U381" s="29"/>
    </row>
    <row r="382"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U382" s="29"/>
    </row>
    <row r="383"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U383" s="29"/>
    </row>
    <row r="384"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U384" s="29"/>
    </row>
    <row r="385"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U385" s="29"/>
    </row>
    <row r="386"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U386" s="29"/>
    </row>
    <row r="387"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U387" s="29"/>
    </row>
    <row r="388"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U388" s="29"/>
    </row>
    <row r="389"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U389" s="29"/>
    </row>
    <row r="390"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U390" s="29"/>
    </row>
    <row r="391"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U391" s="29"/>
    </row>
    <row r="392"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U392" s="29"/>
    </row>
    <row r="393"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U393" s="29"/>
    </row>
    <row r="394"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U394" s="29"/>
    </row>
    <row r="395"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U395" s="29"/>
    </row>
    <row r="396"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U396" s="29"/>
    </row>
    <row r="397"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U397" s="29"/>
    </row>
    <row r="398"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U398" s="29"/>
    </row>
    <row r="399"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U399" s="29"/>
    </row>
    <row r="400"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U400" s="29"/>
    </row>
    <row r="401"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U401" s="29"/>
    </row>
    <row r="402"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U402" s="29"/>
    </row>
    <row r="403"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U403" s="29"/>
    </row>
    <row r="404"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U404" s="29"/>
    </row>
    <row r="405"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U405" s="29"/>
    </row>
    <row r="406"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U406" s="29"/>
    </row>
    <row r="407"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U407" s="29"/>
    </row>
    <row r="408"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U408" s="29"/>
    </row>
    <row r="409"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U409" s="29"/>
    </row>
    <row r="410"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U410" s="29"/>
    </row>
    <row r="411"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U411" s="29"/>
    </row>
    <row r="412"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U412" s="29"/>
    </row>
    <row r="413"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U413" s="29"/>
    </row>
    <row r="414"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U414" s="29"/>
    </row>
    <row r="415"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U415" s="29"/>
    </row>
    <row r="416"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U416" s="29"/>
    </row>
    <row r="417"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U417" s="29"/>
    </row>
    <row r="418"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U418" s="29"/>
    </row>
    <row r="419"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U419" s="29"/>
    </row>
    <row r="420"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U420" s="29"/>
    </row>
    <row r="421"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U421" s="29"/>
    </row>
    <row r="422"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U422" s="29"/>
    </row>
    <row r="423"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U423" s="29"/>
    </row>
    <row r="424"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U424" s="29"/>
    </row>
    <row r="425"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U425" s="29"/>
    </row>
    <row r="426"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U426" s="29"/>
    </row>
    <row r="427"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U427" s="29"/>
    </row>
    <row r="428"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U428" s="29"/>
    </row>
    <row r="429"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U429" s="29"/>
    </row>
    <row r="430"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U430" s="29"/>
    </row>
    <row r="431"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U431" s="29"/>
    </row>
    <row r="432"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U432" s="29"/>
    </row>
    <row r="433"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U433" s="29"/>
    </row>
    <row r="434"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U434" s="29"/>
    </row>
    <row r="435"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U435" s="29"/>
    </row>
    <row r="436"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U436" s="29"/>
    </row>
    <row r="437"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U437" s="29"/>
    </row>
    <row r="438"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U438" s="29"/>
    </row>
    <row r="439"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U439" s="29"/>
    </row>
    <row r="440"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U440" s="29"/>
    </row>
    <row r="441"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U441" s="29"/>
    </row>
    <row r="442"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U442" s="29"/>
    </row>
    <row r="443"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U443" s="29"/>
    </row>
    <row r="444"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U444" s="29"/>
    </row>
    <row r="445"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U445" s="29"/>
    </row>
    <row r="446"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U446" s="29"/>
    </row>
    <row r="447"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U447" s="29"/>
    </row>
    <row r="448"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U448" s="29"/>
    </row>
    <row r="449"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U449" s="29"/>
    </row>
    <row r="450"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U450" s="29"/>
    </row>
    <row r="451"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U451" s="29"/>
    </row>
    <row r="452"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U452" s="29"/>
    </row>
    <row r="453"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U453" s="29"/>
    </row>
    <row r="454"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U454" s="29"/>
    </row>
    <row r="455"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U455" s="29"/>
    </row>
    <row r="456"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U456" s="29"/>
    </row>
    <row r="457"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U457" s="29"/>
    </row>
    <row r="458"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U458" s="29"/>
    </row>
    <row r="459"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U459" s="29"/>
    </row>
    <row r="460"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U460" s="29"/>
    </row>
    <row r="461"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U461" s="29"/>
    </row>
    <row r="462"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U462" s="29"/>
    </row>
    <row r="463"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U463" s="29"/>
    </row>
    <row r="464"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U464" s="29"/>
    </row>
    <row r="465"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U465" s="29"/>
    </row>
    <row r="466"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U466" s="29"/>
    </row>
    <row r="467"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U467" s="29"/>
    </row>
    <row r="468"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U468" s="29"/>
    </row>
    <row r="469"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U469" s="29"/>
    </row>
    <row r="470"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U470" s="29"/>
    </row>
    <row r="471"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U471" s="29"/>
    </row>
    <row r="472"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U472" s="29"/>
    </row>
    <row r="473"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U473" s="29"/>
    </row>
    <row r="474"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U474" s="29"/>
    </row>
    <row r="475"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U475" s="29"/>
    </row>
    <row r="476"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U476" s="29"/>
    </row>
    <row r="477"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U477" s="29"/>
    </row>
    <row r="478"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U478" s="29"/>
    </row>
    <row r="479"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U479" s="29"/>
    </row>
    <row r="480"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U480" s="29"/>
    </row>
    <row r="481"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U481" s="29"/>
    </row>
    <row r="482"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U482" s="29"/>
    </row>
    <row r="483"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U483" s="29"/>
    </row>
    <row r="484"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U484" s="29"/>
    </row>
    <row r="485"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U485" s="29"/>
    </row>
    <row r="486"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U486" s="29"/>
    </row>
    <row r="487"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U487" s="29"/>
    </row>
    <row r="488"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U488" s="29"/>
    </row>
    <row r="489"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U489" s="29"/>
    </row>
    <row r="490"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U490" s="29"/>
    </row>
    <row r="491"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U491" s="29"/>
    </row>
    <row r="492"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U492" s="29"/>
    </row>
    <row r="493"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U493" s="29"/>
    </row>
    <row r="494"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U494" s="29"/>
    </row>
    <row r="495"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U495" s="29"/>
    </row>
    <row r="496"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U496" s="29"/>
    </row>
    <row r="497"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U497" s="29"/>
    </row>
    <row r="498"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U498" s="29"/>
    </row>
    <row r="499"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U499" s="29"/>
    </row>
    <row r="500"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U500" s="29"/>
    </row>
    <row r="501"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U501" s="29"/>
    </row>
    <row r="502"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U502" s="29"/>
    </row>
    <row r="503"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U503" s="29"/>
    </row>
    <row r="504"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U504" s="29"/>
    </row>
    <row r="505"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U505" s="29"/>
    </row>
    <row r="506"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U506" s="29"/>
    </row>
    <row r="507"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U507" s="29"/>
    </row>
    <row r="508"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U508" s="29"/>
    </row>
    <row r="509"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U509" s="29"/>
    </row>
    <row r="510"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U510" s="29"/>
    </row>
    <row r="511"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U511" s="29"/>
    </row>
    <row r="512"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U512" s="29"/>
    </row>
    <row r="513"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U513" s="29"/>
    </row>
    <row r="514"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U514" s="29"/>
    </row>
    <row r="515"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U515" s="29"/>
    </row>
    <row r="516"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U516" s="29"/>
    </row>
    <row r="517"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U517" s="29"/>
    </row>
    <row r="518"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U518" s="29"/>
    </row>
    <row r="519"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U519" s="29"/>
    </row>
    <row r="520"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U520" s="29"/>
    </row>
    <row r="521"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U521" s="29"/>
    </row>
    <row r="522"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U522" s="29"/>
    </row>
    <row r="523"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U523" s="29"/>
    </row>
    <row r="524"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U524" s="29"/>
    </row>
    <row r="525"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U525" s="29"/>
    </row>
    <row r="526"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U526" s="29"/>
    </row>
    <row r="527"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U527" s="29"/>
    </row>
    <row r="528"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U528" s="29"/>
    </row>
    <row r="529"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U529" s="29"/>
    </row>
    <row r="530"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U530" s="29"/>
    </row>
    <row r="531"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U531" s="29"/>
    </row>
    <row r="532"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U532" s="29"/>
    </row>
    <row r="533"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U533" s="29"/>
    </row>
    <row r="534"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U534" s="29"/>
    </row>
    <row r="535"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U535" s="29"/>
    </row>
    <row r="536"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U536" s="29"/>
    </row>
    <row r="537"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U537" s="29"/>
    </row>
    <row r="538"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U538" s="29"/>
    </row>
    <row r="539"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U539" s="29"/>
    </row>
    <row r="540"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U540" s="29"/>
    </row>
    <row r="541"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U541" s="29"/>
    </row>
    <row r="542"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U542" s="29"/>
    </row>
    <row r="543"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U543" s="29"/>
    </row>
    <row r="544"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U544" s="29"/>
    </row>
    <row r="545"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U545" s="29"/>
    </row>
    <row r="546"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U546" s="29"/>
    </row>
    <row r="547"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U547" s="29"/>
    </row>
    <row r="548"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U548" s="29"/>
    </row>
    <row r="549"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U549" s="29"/>
    </row>
    <row r="550"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U550" s="29"/>
    </row>
    <row r="551"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U551" s="29"/>
    </row>
    <row r="552"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U552" s="29"/>
    </row>
    <row r="553"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U553" s="29"/>
    </row>
    <row r="554"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U554" s="29"/>
    </row>
    <row r="555"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U555" s="29"/>
    </row>
    <row r="556"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U556" s="29"/>
    </row>
    <row r="557"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U557" s="29"/>
    </row>
    <row r="558"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U558" s="29"/>
    </row>
    <row r="559"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U559" s="29"/>
    </row>
    <row r="560"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U560" s="29"/>
    </row>
    <row r="561"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U561" s="29"/>
    </row>
    <row r="562"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U562" s="29"/>
    </row>
    <row r="563"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U563" s="29"/>
    </row>
    <row r="564"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U564" s="29"/>
    </row>
    <row r="565"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U565" s="29"/>
    </row>
    <row r="566"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U566" s="29"/>
    </row>
    <row r="567"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U567" s="29"/>
    </row>
    <row r="568"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U568" s="29"/>
    </row>
    <row r="569"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U569" s="29"/>
    </row>
    <row r="570"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U570" s="29"/>
    </row>
    <row r="571"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U571" s="29"/>
    </row>
    <row r="572"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U572" s="29"/>
    </row>
    <row r="573"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U573" s="29"/>
    </row>
    <row r="574"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U574" s="29"/>
    </row>
    <row r="575"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U575" s="29"/>
    </row>
    <row r="576"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U576" s="29"/>
    </row>
    <row r="577"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U577" s="29"/>
    </row>
    <row r="578"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U578" s="29"/>
    </row>
    <row r="579"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U579" s="29"/>
    </row>
    <row r="580"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U580" s="29"/>
    </row>
    <row r="581"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U581" s="29"/>
    </row>
    <row r="582"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U582" s="29"/>
    </row>
    <row r="583"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U583" s="29"/>
    </row>
    <row r="584"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U584" s="29"/>
    </row>
    <row r="585"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U585" s="29"/>
    </row>
    <row r="586"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U586" s="29"/>
    </row>
    <row r="587"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U587" s="29"/>
    </row>
    <row r="588"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U588" s="29"/>
    </row>
    <row r="589"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U589" s="29"/>
    </row>
    <row r="590"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U590" s="29"/>
    </row>
    <row r="591"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U591" s="29"/>
    </row>
    <row r="592"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U592" s="29"/>
    </row>
    <row r="593"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U593" s="29"/>
    </row>
    <row r="594"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U594" s="29"/>
    </row>
    <row r="595"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U595" s="29"/>
    </row>
    <row r="596"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U596" s="29"/>
    </row>
    <row r="597"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U597" s="29"/>
    </row>
    <row r="598"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U598" s="29"/>
    </row>
    <row r="599"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U599" s="29"/>
    </row>
    <row r="600"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U600" s="29"/>
    </row>
    <row r="601"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U601" s="29"/>
    </row>
    <row r="602"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U602" s="29"/>
    </row>
    <row r="603"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U603" s="29"/>
    </row>
    <row r="604"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U604" s="29"/>
    </row>
    <row r="605"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U605" s="29"/>
    </row>
    <row r="606"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U606" s="29"/>
    </row>
    <row r="607"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U607" s="29"/>
    </row>
    <row r="608"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U608" s="29"/>
    </row>
    <row r="609"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U609" s="29"/>
    </row>
    <row r="610"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U610" s="29"/>
    </row>
    <row r="611"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U611" s="29"/>
    </row>
    <row r="612"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U612" s="29"/>
    </row>
    <row r="613"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U613" s="29"/>
    </row>
    <row r="614"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U614" s="29"/>
    </row>
    <row r="615"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U615" s="29"/>
    </row>
    <row r="616"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U616" s="29"/>
    </row>
    <row r="617"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U617" s="29"/>
    </row>
    <row r="618"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U618" s="29"/>
    </row>
    <row r="619"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U619" s="29"/>
    </row>
    <row r="620"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U620" s="29"/>
    </row>
    <row r="621"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U621" s="29"/>
    </row>
    <row r="622"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U622" s="29"/>
    </row>
    <row r="623"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U623" s="29"/>
    </row>
    <row r="624"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U624" s="29"/>
    </row>
    <row r="625"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U625" s="29"/>
    </row>
    <row r="626"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U626" s="29"/>
    </row>
    <row r="627"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U627" s="29"/>
    </row>
    <row r="628"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U628" s="29"/>
    </row>
    <row r="629"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U629" s="29"/>
    </row>
    <row r="630"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U630" s="29"/>
    </row>
    <row r="631"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U631" s="29"/>
    </row>
    <row r="632"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U632" s="29"/>
    </row>
    <row r="633"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U633" s="29"/>
    </row>
    <row r="634"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U634" s="29"/>
    </row>
    <row r="635"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U635" s="29"/>
    </row>
    <row r="636"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U636" s="29"/>
    </row>
    <row r="637"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U637" s="29"/>
    </row>
    <row r="638"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U638" s="29"/>
    </row>
    <row r="639"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U639" s="29"/>
    </row>
    <row r="640"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U640" s="29"/>
    </row>
    <row r="641"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U641" s="29"/>
    </row>
    <row r="642"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U642" s="29"/>
    </row>
    <row r="643"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U643" s="29"/>
    </row>
    <row r="644"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U644" s="29"/>
    </row>
    <row r="645"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U645" s="29"/>
    </row>
    <row r="646"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U646" s="29"/>
    </row>
    <row r="647"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U647" s="29"/>
    </row>
    <row r="648"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U648" s="29"/>
    </row>
    <row r="649"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U649" s="29"/>
    </row>
    <row r="650"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U650" s="29"/>
    </row>
    <row r="651"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U651" s="29"/>
    </row>
    <row r="652"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U652" s="29"/>
    </row>
    <row r="653"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U653" s="29"/>
    </row>
    <row r="654"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U654" s="29"/>
    </row>
    <row r="655"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U655" s="29"/>
    </row>
    <row r="656"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U656" s="29"/>
    </row>
    <row r="657"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U657" s="29"/>
    </row>
    <row r="658"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U658" s="29"/>
    </row>
    <row r="659"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U659" s="29"/>
    </row>
    <row r="660"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U660" s="29"/>
    </row>
    <row r="661"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U661" s="29"/>
    </row>
    <row r="662"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U662" s="29"/>
    </row>
    <row r="663"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U663" s="29"/>
    </row>
    <row r="664"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U664" s="29"/>
    </row>
    <row r="665"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U665" s="29"/>
    </row>
    <row r="666"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U666" s="29"/>
    </row>
    <row r="667"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U667" s="29"/>
    </row>
    <row r="668"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U668" s="29"/>
    </row>
    <row r="669"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U669" s="29"/>
    </row>
    <row r="670"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U670" s="29"/>
    </row>
    <row r="671"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U671" s="29"/>
    </row>
    <row r="672"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U672" s="29"/>
    </row>
    <row r="673"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U673" s="29"/>
    </row>
    <row r="674"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U674" s="29"/>
    </row>
    <row r="675"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U675" s="29"/>
    </row>
    <row r="676"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U676" s="29"/>
    </row>
    <row r="677"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U677" s="29"/>
    </row>
    <row r="678"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U678" s="29"/>
    </row>
    <row r="679"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U679" s="29"/>
    </row>
    <row r="680"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U680" s="29"/>
    </row>
    <row r="681"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U681" s="29"/>
    </row>
    <row r="682"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U682" s="29"/>
    </row>
    <row r="683"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U683" s="29"/>
    </row>
    <row r="684"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U684" s="29"/>
    </row>
    <row r="685"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U685" s="29"/>
    </row>
    <row r="686"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U686" s="29"/>
    </row>
    <row r="687"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U687" s="29"/>
    </row>
    <row r="688"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U688" s="29"/>
    </row>
    <row r="689"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U689" s="29"/>
    </row>
    <row r="690"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U690" s="29"/>
    </row>
    <row r="691"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U691" s="29"/>
    </row>
    <row r="692"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U692" s="29"/>
    </row>
    <row r="693"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U693" s="29"/>
    </row>
    <row r="694"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U694" s="29"/>
    </row>
    <row r="695"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U695" s="29"/>
    </row>
    <row r="696"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U696" s="29"/>
    </row>
    <row r="697"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U697" s="29"/>
    </row>
    <row r="698"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U698" s="29"/>
    </row>
    <row r="699"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U699" s="29"/>
    </row>
    <row r="700"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U700" s="29"/>
    </row>
    <row r="701"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U701" s="29"/>
    </row>
    <row r="702"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U702" s="29"/>
    </row>
    <row r="703"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U703" s="29"/>
    </row>
    <row r="704"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U704" s="29"/>
    </row>
    <row r="705"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U705" s="29"/>
    </row>
    <row r="706"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U706" s="29"/>
    </row>
    <row r="707"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U707" s="29"/>
    </row>
    <row r="708"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U708" s="29"/>
    </row>
    <row r="709"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U709" s="29"/>
    </row>
    <row r="710"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U710" s="29"/>
    </row>
    <row r="711"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U711" s="29"/>
    </row>
    <row r="712"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U712" s="29"/>
    </row>
    <row r="713"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U713" s="29"/>
    </row>
    <row r="714"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U714" s="29"/>
    </row>
    <row r="715"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U715" s="29"/>
    </row>
    <row r="716"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U716" s="29"/>
    </row>
    <row r="717"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U717" s="29"/>
    </row>
    <row r="718"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U718" s="29"/>
    </row>
    <row r="719"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U719" s="29"/>
    </row>
    <row r="720"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U720" s="29"/>
    </row>
    <row r="721"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U721" s="29"/>
    </row>
    <row r="722"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U722" s="29"/>
    </row>
    <row r="723"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U723" s="29"/>
    </row>
    <row r="724"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U724" s="29"/>
    </row>
    <row r="725"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U725" s="29"/>
    </row>
    <row r="726"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U726" s="29"/>
    </row>
    <row r="727"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U727" s="29"/>
    </row>
    <row r="728"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U728" s="29"/>
    </row>
    <row r="729"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U729" s="29"/>
    </row>
    <row r="730"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U730" s="29"/>
    </row>
    <row r="731"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U731" s="29"/>
    </row>
    <row r="732"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U732" s="29"/>
    </row>
    <row r="733"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U733" s="29"/>
    </row>
    <row r="734"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U734" s="29"/>
    </row>
    <row r="735"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U735" s="29"/>
    </row>
    <row r="736"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U736" s="29"/>
    </row>
    <row r="737"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U737" s="29"/>
    </row>
    <row r="738"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U738" s="29"/>
    </row>
    <row r="739"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U739" s="29"/>
    </row>
    <row r="740"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U740" s="29"/>
    </row>
    <row r="741"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U741" s="29"/>
    </row>
    <row r="742"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U742" s="29"/>
    </row>
    <row r="743"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U743" s="29"/>
    </row>
    <row r="744"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U744" s="29"/>
    </row>
    <row r="745"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U745" s="29"/>
    </row>
    <row r="746"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U746" s="29"/>
    </row>
    <row r="747"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U747" s="29"/>
    </row>
    <row r="748"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U748" s="29"/>
    </row>
    <row r="749"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U749" s="29"/>
    </row>
    <row r="750"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U750" s="29"/>
    </row>
    <row r="751"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U751" s="29"/>
    </row>
    <row r="752"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U752" s="29"/>
    </row>
    <row r="753"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U753" s="29"/>
    </row>
    <row r="754"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U754" s="29"/>
    </row>
    <row r="755"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U755" s="29"/>
    </row>
    <row r="756"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U756" s="29"/>
    </row>
    <row r="757"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U757" s="29"/>
    </row>
    <row r="758"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U758" s="29"/>
    </row>
    <row r="759"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U759" s="29"/>
    </row>
    <row r="760"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U760" s="29"/>
    </row>
    <row r="761"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U761" s="29"/>
    </row>
    <row r="762"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U762" s="29"/>
    </row>
    <row r="763"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U763" s="29"/>
    </row>
    <row r="764"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U764" s="29"/>
    </row>
    <row r="765"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U765" s="29"/>
    </row>
    <row r="766"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U766" s="29"/>
    </row>
    <row r="767"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U767" s="29"/>
    </row>
    <row r="768"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U768" s="29"/>
    </row>
    <row r="769"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U769" s="29"/>
    </row>
    <row r="770"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U770" s="29"/>
    </row>
    <row r="771"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U771" s="29"/>
    </row>
    <row r="772"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U772" s="29"/>
    </row>
    <row r="773"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U773" s="29"/>
    </row>
    <row r="774"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U774" s="29"/>
    </row>
    <row r="775"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U775" s="29"/>
    </row>
    <row r="776"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U776" s="29"/>
    </row>
    <row r="777"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U777" s="29"/>
    </row>
    <row r="778"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U778" s="29"/>
    </row>
    <row r="779"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U779" s="29"/>
    </row>
    <row r="780"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U780" s="29"/>
    </row>
    <row r="781"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U781" s="29"/>
    </row>
    <row r="782"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U782" s="29"/>
    </row>
    <row r="783"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U783" s="29"/>
    </row>
    <row r="784"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U784" s="29"/>
    </row>
    <row r="785"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U785" s="29"/>
    </row>
    <row r="786"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U786" s="29"/>
    </row>
    <row r="787"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U787" s="29"/>
    </row>
    <row r="788"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U788" s="29"/>
    </row>
    <row r="789"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U789" s="29"/>
    </row>
    <row r="790"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U790" s="29"/>
    </row>
    <row r="791"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U791" s="29"/>
    </row>
    <row r="792"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U792" s="29"/>
    </row>
    <row r="793"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U793" s="29"/>
    </row>
    <row r="794"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U794" s="29"/>
    </row>
    <row r="795"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U795" s="29"/>
    </row>
    <row r="796"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U796" s="29"/>
    </row>
    <row r="797"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U797" s="29"/>
    </row>
    <row r="798"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U798" s="29"/>
    </row>
    <row r="799"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U799" s="29"/>
    </row>
    <row r="800"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U800" s="29"/>
    </row>
    <row r="801"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U801" s="29"/>
    </row>
    <row r="802"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U802" s="29"/>
    </row>
    <row r="803"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U803" s="29"/>
    </row>
    <row r="804"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U804" s="29"/>
    </row>
    <row r="805"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U805" s="29"/>
    </row>
    <row r="806"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U806" s="29"/>
    </row>
    <row r="807"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U807" s="29"/>
    </row>
    <row r="808"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U808" s="29"/>
    </row>
    <row r="809"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U809" s="29"/>
    </row>
    <row r="810"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U810" s="29"/>
    </row>
    <row r="811"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U811" s="29"/>
    </row>
    <row r="812"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U812" s="29"/>
    </row>
    <row r="813"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U813" s="29"/>
    </row>
    <row r="814"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U814" s="29"/>
    </row>
    <row r="815"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U815" s="29"/>
    </row>
    <row r="816"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U816" s="29"/>
    </row>
    <row r="817"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U817" s="29"/>
    </row>
    <row r="818"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U818" s="29"/>
    </row>
    <row r="819"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U819" s="29"/>
    </row>
    <row r="820"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U820" s="29"/>
    </row>
    <row r="821"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U821" s="29"/>
    </row>
    <row r="822"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U822" s="29"/>
    </row>
    <row r="823"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U823" s="29"/>
    </row>
    <row r="824"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U824" s="29"/>
    </row>
    <row r="825"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U825" s="29"/>
    </row>
    <row r="826"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U826" s="29"/>
    </row>
    <row r="827"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U827" s="29"/>
    </row>
    <row r="828"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U828" s="29"/>
    </row>
    <row r="829"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U829" s="29"/>
    </row>
    <row r="830"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U830" s="29"/>
    </row>
    <row r="831"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U831" s="29"/>
    </row>
    <row r="832"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U832" s="29"/>
    </row>
    <row r="833"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U833" s="29"/>
    </row>
    <row r="834"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U834" s="29"/>
    </row>
    <row r="835"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U835" s="29"/>
    </row>
    <row r="836"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U836" s="29"/>
    </row>
    <row r="837"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U837" s="29"/>
    </row>
    <row r="838"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U838" s="29"/>
    </row>
    <row r="839"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U839" s="29"/>
    </row>
    <row r="840"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U840" s="29"/>
    </row>
    <row r="841"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U841" s="29"/>
    </row>
    <row r="842"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U842" s="29"/>
    </row>
    <row r="843"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U843" s="29"/>
    </row>
    <row r="844"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U844" s="29"/>
    </row>
    <row r="845"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U845" s="29"/>
    </row>
    <row r="846"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U846" s="29"/>
    </row>
    <row r="847"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U847" s="29"/>
    </row>
    <row r="848"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U848" s="29"/>
    </row>
    <row r="849"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U849" s="29"/>
    </row>
    <row r="850"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U850" s="29"/>
    </row>
    <row r="851"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U851" s="29"/>
    </row>
    <row r="852"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U852" s="29"/>
    </row>
    <row r="853"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U853" s="29"/>
    </row>
    <row r="854"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U854" s="29"/>
    </row>
    <row r="855"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U855" s="29"/>
    </row>
    <row r="856"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U856" s="29"/>
    </row>
    <row r="857"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U857" s="29"/>
    </row>
    <row r="858"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U858" s="29"/>
    </row>
    <row r="859"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U859" s="29"/>
    </row>
    <row r="860"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U860" s="29"/>
    </row>
    <row r="861"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U861" s="29"/>
    </row>
    <row r="862"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U862" s="29"/>
    </row>
    <row r="863"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U863" s="29"/>
    </row>
    <row r="864"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U864" s="29"/>
    </row>
    <row r="865"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U865" s="29"/>
    </row>
    <row r="866"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U866" s="29"/>
    </row>
    <row r="867"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U867" s="29"/>
    </row>
    <row r="868"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U868" s="29"/>
    </row>
    <row r="869"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U869" s="29"/>
    </row>
    <row r="870"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U870" s="29"/>
    </row>
    <row r="871"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U871" s="29"/>
    </row>
    <row r="872"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U872" s="29"/>
    </row>
    <row r="873"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U873" s="29"/>
    </row>
    <row r="874"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U874" s="29"/>
    </row>
    <row r="875"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U875" s="29"/>
    </row>
    <row r="876"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U876" s="29"/>
    </row>
    <row r="877"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U877" s="29"/>
    </row>
    <row r="878"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U878" s="29"/>
    </row>
    <row r="879"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U879" s="29"/>
    </row>
    <row r="880"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U880" s="29"/>
    </row>
    <row r="881"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U881" s="29"/>
    </row>
    <row r="882"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U882" s="29"/>
    </row>
    <row r="883"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U883" s="29"/>
    </row>
    <row r="884"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U884" s="29"/>
    </row>
    <row r="885"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U885" s="29"/>
    </row>
    <row r="886"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U886" s="29"/>
    </row>
    <row r="887"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U887" s="29"/>
    </row>
    <row r="888"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U888" s="29"/>
    </row>
    <row r="889"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U889" s="29"/>
    </row>
    <row r="890"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U890" s="29"/>
    </row>
    <row r="891"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U891" s="29"/>
    </row>
    <row r="892"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U892" s="29"/>
    </row>
    <row r="893"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U893" s="29"/>
    </row>
    <row r="894"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U894" s="29"/>
    </row>
    <row r="895"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U895" s="29"/>
    </row>
    <row r="896"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U896" s="29"/>
    </row>
    <row r="897"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U897" s="29"/>
    </row>
    <row r="898"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U898" s="29"/>
    </row>
    <row r="899"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U899" s="29"/>
    </row>
    <row r="900"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U900" s="29"/>
    </row>
    <row r="901"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U901" s="29"/>
    </row>
    <row r="902"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U902" s="29"/>
    </row>
    <row r="903"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U903" s="29"/>
    </row>
    <row r="904"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U904" s="29"/>
    </row>
    <row r="905"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U905" s="29"/>
    </row>
    <row r="906"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U906" s="29"/>
    </row>
    <row r="907"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U907" s="29"/>
    </row>
    <row r="908"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U908" s="29"/>
    </row>
    <row r="909"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U909" s="29"/>
    </row>
    <row r="910"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U910" s="29"/>
    </row>
    <row r="911"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U911" s="29"/>
    </row>
    <row r="912"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U912" s="29"/>
    </row>
    <row r="913"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U913" s="29"/>
    </row>
    <row r="914"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U914" s="29"/>
    </row>
    <row r="915"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U915" s="29"/>
    </row>
    <row r="916"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U916" s="29"/>
    </row>
    <row r="917"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U917" s="29"/>
    </row>
    <row r="918"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U918" s="29"/>
    </row>
    <row r="919"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U919" s="29"/>
    </row>
    <row r="920"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U920" s="29"/>
    </row>
    <row r="921"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U921" s="29"/>
    </row>
    <row r="922"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U922" s="29"/>
    </row>
    <row r="923"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U923" s="29"/>
    </row>
    <row r="924"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U924" s="29"/>
    </row>
    <row r="925"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U925" s="29"/>
    </row>
    <row r="926"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U926" s="29"/>
    </row>
    <row r="927"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U927" s="29"/>
    </row>
    <row r="928"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U928" s="29"/>
    </row>
    <row r="929"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U929" s="29"/>
    </row>
    <row r="930"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U930" s="29"/>
    </row>
    <row r="931"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U931" s="29"/>
    </row>
    <row r="932"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U932" s="29"/>
    </row>
    <row r="933"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U933" s="29"/>
    </row>
    <row r="934"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U934" s="29"/>
    </row>
    <row r="935"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U935" s="29"/>
    </row>
    <row r="936"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U936" s="29"/>
    </row>
    <row r="937"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U937" s="29"/>
    </row>
    <row r="938"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U938" s="29"/>
    </row>
    <row r="939"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U939" s="29"/>
    </row>
    <row r="940"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U940" s="29"/>
    </row>
    <row r="941"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U941" s="29"/>
    </row>
    <row r="942"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U942" s="29"/>
    </row>
    <row r="943"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U943" s="29"/>
    </row>
    <row r="944"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U944" s="29"/>
    </row>
    <row r="945"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U945" s="29"/>
    </row>
    <row r="946"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U946" s="29"/>
    </row>
    <row r="947"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U947" s="29"/>
    </row>
    <row r="948"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U948" s="29"/>
    </row>
    <row r="949"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U949" s="29"/>
    </row>
    <row r="950"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U950" s="29"/>
    </row>
    <row r="951"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U951" s="29"/>
    </row>
    <row r="952"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U952" s="29"/>
    </row>
    <row r="953"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U953" s="29"/>
    </row>
    <row r="954"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U954" s="29"/>
    </row>
    <row r="955"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U955" s="29"/>
    </row>
    <row r="956"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U956" s="29"/>
    </row>
    <row r="957"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U957" s="29"/>
    </row>
    <row r="958"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U958" s="29"/>
    </row>
    <row r="959"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U959" s="29"/>
    </row>
    <row r="960"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U960" s="29"/>
    </row>
    <row r="961"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U961" s="29"/>
    </row>
    <row r="962"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U962" s="29"/>
    </row>
    <row r="963"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U963" s="29"/>
    </row>
    <row r="964"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U964" s="29"/>
    </row>
    <row r="965"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U965" s="29"/>
    </row>
    <row r="966"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U966" s="29"/>
    </row>
    <row r="967"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U967" s="29"/>
    </row>
    <row r="968"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U968" s="29"/>
    </row>
    <row r="969"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U969" s="29"/>
    </row>
    <row r="970"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U970" s="29"/>
    </row>
    <row r="971"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U971" s="29"/>
    </row>
    <row r="972"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U972" s="29"/>
    </row>
    <row r="973"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U973" s="29"/>
    </row>
    <row r="974"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U974" s="29"/>
    </row>
    <row r="975"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U975" s="29"/>
    </row>
    <row r="976"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U976" s="29"/>
    </row>
    <row r="977"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U977" s="29"/>
    </row>
    <row r="978"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U978" s="29"/>
    </row>
    <row r="979"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U979" s="29"/>
    </row>
    <row r="980"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U980" s="29"/>
    </row>
    <row r="981"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U981" s="29"/>
    </row>
    <row r="982"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U982" s="29"/>
    </row>
    <row r="983"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U983" s="29"/>
    </row>
    <row r="984"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U984" s="29"/>
    </row>
    <row r="985"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U985" s="29"/>
    </row>
    <row r="986"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U986" s="29"/>
    </row>
    <row r="987"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U987" s="29"/>
    </row>
    <row r="988"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U988" s="29"/>
    </row>
    <row r="989"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U989" s="29"/>
    </row>
    <row r="990"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U990" s="29"/>
    </row>
    <row r="991"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U991" s="29"/>
    </row>
    <row r="992"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U992" s="29"/>
    </row>
    <row r="993"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U993" s="29"/>
    </row>
    <row r="994"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U994" s="29"/>
    </row>
    <row r="995"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U995" s="29"/>
    </row>
    <row r="996"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U996" s="29"/>
    </row>
    <row r="997"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U997" s="29"/>
    </row>
    <row r="998"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U998" s="29"/>
    </row>
    <row r="999"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U999" s="29"/>
    </row>
    <row r="1000"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U1000" s="29"/>
    </row>
    <row r="1001"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U1001" s="2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0"/>
    <col customWidth="1" min="2" max="2" width="8.25"/>
    <col customWidth="1" min="3" max="3" width="6.0"/>
    <col customWidth="1" min="4" max="4" width="6.75"/>
    <col customWidth="1" min="5" max="5" width="6.38"/>
    <col customWidth="1" min="6" max="6" width="6.5"/>
    <col customWidth="1" min="7" max="7" width="5.0"/>
    <col customWidth="1" min="8" max="8" width="5.38"/>
    <col customWidth="1" min="9" max="9" width="16.5"/>
    <col customWidth="1" min="10" max="10" width="7.25"/>
    <col customWidth="1" min="11" max="11" width="7.38"/>
    <col customWidth="1" min="12" max="12" width="7.13"/>
    <col customWidth="1" min="13" max="18" width="6.38"/>
    <col customWidth="1" min="19" max="19" width="7.0"/>
    <col customWidth="1" min="20" max="21" width="8.13"/>
    <col customWidth="1" min="22" max="22" width="35.25"/>
  </cols>
  <sheetData>
    <row r="1">
      <c r="A1" s="1"/>
      <c r="B1" s="1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46" t="s">
        <v>109</v>
      </c>
      <c r="H1" s="46" t="s">
        <v>110</v>
      </c>
      <c r="I1" s="1" t="s">
        <v>3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2" t="s">
        <v>8</v>
      </c>
      <c r="U1" s="2" t="s">
        <v>9</v>
      </c>
      <c r="V1" s="1" t="s">
        <v>11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5">
        <v>42036.0</v>
      </c>
      <c r="B2" s="6" t="s">
        <v>20</v>
      </c>
      <c r="C2" s="47" t="s">
        <v>13</v>
      </c>
      <c r="D2" s="6">
        <v>5.0</v>
      </c>
      <c r="E2" s="6">
        <v>9.0</v>
      </c>
      <c r="F2" s="6">
        <v>4.0</v>
      </c>
      <c r="G2" s="3">
        <v>42.0</v>
      </c>
      <c r="H2" s="3"/>
      <c r="I2" s="6" t="s">
        <v>15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6">
        <v>0.0</v>
      </c>
      <c r="U2" s="6">
        <v>0.0</v>
      </c>
    </row>
    <row r="3">
      <c r="A3" s="5">
        <v>42037.0</v>
      </c>
      <c r="B3" s="6" t="s">
        <v>18</v>
      </c>
      <c r="C3" s="47" t="s">
        <v>13</v>
      </c>
      <c r="D3" s="7">
        <v>0.23958333333333334</v>
      </c>
      <c r="E3" s="7">
        <v>0.40625</v>
      </c>
      <c r="F3" s="6">
        <v>4.0</v>
      </c>
      <c r="G3" s="3">
        <v>53.0</v>
      </c>
      <c r="H3" s="3">
        <v>59.0</v>
      </c>
      <c r="I3" s="6" t="s">
        <v>111</v>
      </c>
      <c r="J3" s="3">
        <v>1.0</v>
      </c>
      <c r="K3" s="3">
        <v>3.0</v>
      </c>
      <c r="L3" s="3">
        <v>11.0</v>
      </c>
      <c r="M3" s="3">
        <v>0.0</v>
      </c>
      <c r="N3" s="3">
        <v>5.0</v>
      </c>
      <c r="O3" s="3">
        <v>9.0</v>
      </c>
      <c r="P3" s="3">
        <v>4.0</v>
      </c>
      <c r="Q3" s="3">
        <v>11.0</v>
      </c>
      <c r="R3" s="3">
        <v>0.0</v>
      </c>
      <c r="S3" s="3">
        <v>1.0</v>
      </c>
      <c r="T3" s="6">
        <v>15.0</v>
      </c>
      <c r="U3" s="6">
        <v>29.0</v>
      </c>
    </row>
    <row r="4">
      <c r="A4" s="5">
        <v>42038.0</v>
      </c>
      <c r="B4" s="6" t="s">
        <v>31</v>
      </c>
      <c r="C4" s="47" t="s">
        <v>13</v>
      </c>
      <c r="D4" s="6">
        <v>6.0</v>
      </c>
      <c r="E4" s="6">
        <v>9.0</v>
      </c>
      <c r="F4" s="6">
        <v>3.0</v>
      </c>
      <c r="G4" s="3">
        <v>47.0</v>
      </c>
      <c r="H4" s="3"/>
      <c r="J4" s="29"/>
      <c r="K4" s="29"/>
      <c r="L4" s="29"/>
      <c r="M4" s="29"/>
      <c r="N4" s="29"/>
      <c r="O4" s="29"/>
      <c r="P4" s="29"/>
      <c r="Q4" s="29"/>
      <c r="R4" s="29"/>
      <c r="S4" s="29"/>
      <c r="T4" s="6">
        <v>0.0</v>
      </c>
      <c r="U4" s="6">
        <v>0.0</v>
      </c>
    </row>
    <row r="5">
      <c r="A5" s="9">
        <v>42039.0</v>
      </c>
      <c r="B5" s="11" t="s">
        <v>94</v>
      </c>
      <c r="C5" s="48"/>
      <c r="D5" s="10"/>
      <c r="E5" s="15">
        <v>0.3958333333333333</v>
      </c>
      <c r="F5" s="10"/>
      <c r="G5" s="49"/>
      <c r="H5" s="49"/>
      <c r="I5" s="10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6">
      <c r="A6" s="9">
        <v>42040.0</v>
      </c>
      <c r="B6" s="11" t="s">
        <v>94</v>
      </c>
      <c r="C6" s="50" t="s">
        <v>13</v>
      </c>
      <c r="D6" s="10"/>
      <c r="E6" s="10"/>
      <c r="F6" s="10"/>
      <c r="G6" s="49"/>
      <c r="H6" s="49"/>
      <c r="I6" s="10"/>
      <c r="J6" s="49"/>
      <c r="K6" s="49"/>
      <c r="L6" s="49"/>
      <c r="M6" s="49"/>
      <c r="N6" s="49"/>
      <c r="O6" s="49"/>
      <c r="P6" s="49"/>
      <c r="Q6" s="49"/>
      <c r="R6" s="49"/>
      <c r="S6" s="49"/>
      <c r="T6" s="11">
        <v>44.0</v>
      </c>
      <c r="U6" s="11">
        <v>222.0</v>
      </c>
      <c r="V6" s="11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>
      <c r="A7" s="5">
        <v>42041.0</v>
      </c>
      <c r="B7" s="6" t="s">
        <v>94</v>
      </c>
      <c r="C7" s="47" t="s">
        <v>13</v>
      </c>
      <c r="G7" s="29"/>
      <c r="H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6">
        <v>41.0</v>
      </c>
      <c r="U7" s="6">
        <v>11.0</v>
      </c>
    </row>
    <row r="8">
      <c r="A8" s="16">
        <v>42042.0</v>
      </c>
      <c r="B8" s="17"/>
      <c r="C8" s="51"/>
      <c r="D8" s="18"/>
      <c r="E8" s="18"/>
      <c r="F8" s="18"/>
      <c r="G8" s="34">
        <v>57.0</v>
      </c>
      <c r="H8" s="34">
        <v>50.0</v>
      </c>
      <c r="I8" s="17" t="s">
        <v>112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17"/>
      <c r="U8" s="18"/>
      <c r="V8" s="6" t="s">
        <v>23</v>
      </c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</row>
    <row r="9">
      <c r="A9" s="5">
        <v>42043.0</v>
      </c>
      <c r="B9" s="6" t="s">
        <v>20</v>
      </c>
      <c r="C9" s="47" t="s">
        <v>13</v>
      </c>
      <c r="D9" s="7">
        <v>0.22916666666666666</v>
      </c>
      <c r="E9" s="7">
        <v>0.4027777777777778</v>
      </c>
      <c r="F9" s="7">
        <v>0.13194444444444445</v>
      </c>
      <c r="G9" s="3">
        <v>50.0</v>
      </c>
      <c r="H9" s="3">
        <v>49.0</v>
      </c>
      <c r="I9" s="6" t="s">
        <v>113</v>
      </c>
      <c r="J9" s="3">
        <v>2.0</v>
      </c>
      <c r="K9" s="3">
        <v>0.0</v>
      </c>
      <c r="L9" s="3">
        <v>0.0</v>
      </c>
      <c r="M9" s="3">
        <v>1.0</v>
      </c>
      <c r="N9" s="3">
        <v>5.0</v>
      </c>
      <c r="O9" s="3">
        <v>1.0</v>
      </c>
      <c r="P9" s="3">
        <v>1.0</v>
      </c>
      <c r="Q9" s="3">
        <v>0.0</v>
      </c>
      <c r="R9" s="3">
        <v>1.0</v>
      </c>
      <c r="S9" s="3">
        <v>0.0</v>
      </c>
      <c r="T9" s="6">
        <v>3.0</v>
      </c>
      <c r="U9" s="6">
        <v>8.0</v>
      </c>
    </row>
    <row r="10">
      <c r="A10" s="5">
        <v>42044.0</v>
      </c>
      <c r="B10" s="6" t="s">
        <v>18</v>
      </c>
      <c r="C10" s="47" t="s">
        <v>13</v>
      </c>
      <c r="G10" s="3">
        <v>52.0</v>
      </c>
      <c r="H10" s="3"/>
      <c r="I10" s="6" t="s">
        <v>114</v>
      </c>
      <c r="J10" s="3">
        <v>5.0</v>
      </c>
      <c r="K10" s="3">
        <v>0.0</v>
      </c>
      <c r="L10" s="3">
        <v>2.0</v>
      </c>
      <c r="M10" s="3">
        <v>0.0</v>
      </c>
      <c r="N10" s="3">
        <v>9.0</v>
      </c>
      <c r="O10" s="3">
        <v>0.0</v>
      </c>
      <c r="P10" s="3">
        <v>2.0</v>
      </c>
      <c r="Q10" s="3">
        <v>0.0</v>
      </c>
      <c r="R10" s="3">
        <v>0.0</v>
      </c>
      <c r="S10" s="3">
        <v>1.0</v>
      </c>
      <c r="T10" s="6">
        <v>7.0</v>
      </c>
      <c r="U10" s="6">
        <v>11.0</v>
      </c>
      <c r="V10" s="6" t="s">
        <v>115</v>
      </c>
    </row>
    <row r="11">
      <c r="A11" s="5">
        <v>42045.0</v>
      </c>
      <c r="B11" s="6" t="s">
        <v>31</v>
      </c>
      <c r="C11" s="47" t="s">
        <v>13</v>
      </c>
      <c r="D11" s="7">
        <v>0.25</v>
      </c>
      <c r="E11" s="7">
        <v>0.2638888888888889</v>
      </c>
      <c r="F11" s="6" t="s">
        <v>75</v>
      </c>
      <c r="G11" s="3">
        <v>50.0</v>
      </c>
      <c r="H11" s="3"/>
      <c r="I11" s="6" t="s">
        <v>15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6">
        <v>0.0</v>
      </c>
      <c r="U11" s="6">
        <v>0.0</v>
      </c>
    </row>
    <row r="12">
      <c r="A12" s="5">
        <v>42046.0</v>
      </c>
      <c r="C12" s="52"/>
      <c r="G12" s="3">
        <v>56.0</v>
      </c>
      <c r="H12" s="3">
        <v>37.0</v>
      </c>
      <c r="I12" s="6" t="s">
        <v>49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V12" s="6" t="s">
        <v>23</v>
      </c>
    </row>
    <row r="13">
      <c r="A13" s="5">
        <v>42047.0</v>
      </c>
      <c r="C13" s="52"/>
      <c r="G13" s="3">
        <v>62.0</v>
      </c>
      <c r="H13" s="3">
        <v>35.0</v>
      </c>
      <c r="I13" s="6" t="s">
        <v>49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V13" s="6" t="s">
        <v>23</v>
      </c>
    </row>
    <row r="14">
      <c r="A14" s="5">
        <v>42048.0</v>
      </c>
      <c r="B14" s="6" t="s">
        <v>45</v>
      </c>
      <c r="C14" s="47" t="s">
        <v>13</v>
      </c>
      <c r="D14" s="7">
        <v>0.2604166666666667</v>
      </c>
      <c r="G14" s="3">
        <v>52.0</v>
      </c>
      <c r="H14" s="3"/>
      <c r="I14" s="6" t="s">
        <v>15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6">
        <v>0.0</v>
      </c>
      <c r="U14" s="6">
        <v>0.0</v>
      </c>
    </row>
    <row r="15">
      <c r="A15" s="5">
        <v>42048.0</v>
      </c>
      <c r="B15" s="6" t="s">
        <v>20</v>
      </c>
      <c r="C15" s="47" t="s">
        <v>13</v>
      </c>
      <c r="D15" s="7">
        <v>0.2604166666666667</v>
      </c>
      <c r="G15" s="3">
        <v>49.0</v>
      </c>
      <c r="H15" s="3"/>
      <c r="I15" s="6" t="s">
        <v>15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6">
        <v>0.0</v>
      </c>
      <c r="U15" s="6">
        <v>0.0</v>
      </c>
    </row>
    <row r="16">
      <c r="A16" s="5">
        <v>42049.0</v>
      </c>
      <c r="C16" s="52"/>
      <c r="G16" s="3">
        <v>62.0</v>
      </c>
      <c r="H16" s="3">
        <v>42.0</v>
      </c>
      <c r="I16" s="6" t="s">
        <v>49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>
      <c r="A17" s="5">
        <v>42050.0</v>
      </c>
      <c r="B17" s="6" t="s">
        <v>20</v>
      </c>
      <c r="C17" s="47" t="s">
        <v>13</v>
      </c>
      <c r="G17" s="3">
        <v>65.0</v>
      </c>
      <c r="H17" s="3"/>
      <c r="I17" s="6" t="s">
        <v>49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>
      <c r="A18" s="5">
        <v>42051.0</v>
      </c>
      <c r="B18" s="6" t="s">
        <v>18</v>
      </c>
      <c r="C18" s="47" t="s">
        <v>13</v>
      </c>
      <c r="D18" s="6">
        <v>7.0</v>
      </c>
      <c r="E18" s="7">
        <v>0.3020833333333333</v>
      </c>
      <c r="F18" s="6" t="s">
        <v>116</v>
      </c>
      <c r="G18" s="3">
        <v>51.0</v>
      </c>
      <c r="H18" s="3"/>
      <c r="I18" s="6" t="s">
        <v>15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6">
        <v>0.0</v>
      </c>
      <c r="U18" s="6">
        <v>0.0</v>
      </c>
    </row>
    <row r="19">
      <c r="A19" s="5">
        <v>42052.0</v>
      </c>
      <c r="C19" s="52"/>
      <c r="G19" s="3">
        <v>63.0</v>
      </c>
      <c r="H19" s="3">
        <v>35.0</v>
      </c>
      <c r="I19" s="6" t="s">
        <v>49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V19" s="6" t="s">
        <v>23</v>
      </c>
    </row>
    <row r="20">
      <c r="A20" s="5">
        <v>42053.0</v>
      </c>
      <c r="C20" s="52"/>
      <c r="G20" s="3">
        <v>56.0</v>
      </c>
      <c r="H20" s="3">
        <v>34.0</v>
      </c>
      <c r="I20" s="6" t="s">
        <v>49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V20" s="6" t="s">
        <v>23</v>
      </c>
    </row>
    <row r="21">
      <c r="A21" s="16">
        <v>42054.0</v>
      </c>
      <c r="B21" s="17" t="s">
        <v>74</v>
      </c>
      <c r="C21" s="53" t="s">
        <v>13</v>
      </c>
      <c r="D21" s="18"/>
      <c r="E21" s="18"/>
      <c r="F21" s="18"/>
      <c r="G21" s="34">
        <v>40.0</v>
      </c>
      <c r="H21" s="34"/>
      <c r="I21" s="17" t="s">
        <v>117</v>
      </c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8"/>
      <c r="U21" s="18"/>
      <c r="V21" s="17" t="s">
        <v>118</v>
      </c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</row>
    <row r="22">
      <c r="A22" s="5">
        <v>42055.0</v>
      </c>
      <c r="B22" s="6" t="s">
        <v>31</v>
      </c>
      <c r="C22" s="47" t="s">
        <v>13</v>
      </c>
      <c r="G22" s="3">
        <v>48.0</v>
      </c>
      <c r="H22" s="3"/>
      <c r="I22" s="6" t="s">
        <v>15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6">
        <v>0.0</v>
      </c>
      <c r="U22" s="6">
        <v>0.0</v>
      </c>
    </row>
    <row r="23">
      <c r="A23" s="5">
        <v>42056.0</v>
      </c>
      <c r="B23" s="6" t="s">
        <v>31</v>
      </c>
      <c r="C23" s="47" t="s">
        <v>13</v>
      </c>
      <c r="G23" s="3">
        <v>54.0</v>
      </c>
      <c r="H23" s="3"/>
      <c r="I23" s="6" t="s">
        <v>15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6">
        <v>0.0</v>
      </c>
      <c r="U23" s="6">
        <v>0.0</v>
      </c>
    </row>
    <row r="24">
      <c r="A24" s="5">
        <v>42057.0</v>
      </c>
      <c r="B24" s="6" t="s">
        <v>20</v>
      </c>
      <c r="C24" s="47" t="s">
        <v>13</v>
      </c>
      <c r="G24" s="3">
        <v>46.0</v>
      </c>
      <c r="H24" s="3"/>
      <c r="I24" s="6" t="s">
        <v>15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6">
        <v>0.0</v>
      </c>
      <c r="U24" s="6">
        <v>0.0</v>
      </c>
    </row>
    <row r="25">
      <c r="A25" s="5">
        <v>42058.0</v>
      </c>
      <c r="B25" s="6" t="s">
        <v>18</v>
      </c>
      <c r="C25" s="47" t="s">
        <v>13</v>
      </c>
      <c r="G25" s="3">
        <v>42.0</v>
      </c>
      <c r="H25" s="3"/>
      <c r="I25" s="6" t="s">
        <v>15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6">
        <v>0.0</v>
      </c>
      <c r="U25" s="6">
        <v>0.0</v>
      </c>
    </row>
    <row r="26">
      <c r="A26" s="5">
        <v>42059.0</v>
      </c>
      <c r="B26" s="6" t="s">
        <v>31</v>
      </c>
      <c r="C26" s="47" t="s">
        <v>13</v>
      </c>
      <c r="G26" s="3">
        <v>42.0</v>
      </c>
      <c r="H26" s="3"/>
      <c r="I26" s="6" t="s">
        <v>15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6">
        <v>0.0</v>
      </c>
      <c r="U26" s="6">
        <v>0.0</v>
      </c>
    </row>
    <row r="27">
      <c r="A27" s="5">
        <v>42060.0</v>
      </c>
      <c r="B27" s="6" t="s">
        <v>18</v>
      </c>
      <c r="C27" s="47" t="s">
        <v>13</v>
      </c>
      <c r="G27" s="29"/>
      <c r="H27" s="29"/>
      <c r="I27" s="6" t="s">
        <v>99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V27" s="6" t="s">
        <v>119</v>
      </c>
    </row>
    <row r="28">
      <c r="A28" s="9">
        <v>42061.0</v>
      </c>
      <c r="B28" s="11"/>
      <c r="C28" s="48"/>
      <c r="D28" s="10"/>
      <c r="E28" s="10"/>
      <c r="F28" s="10"/>
      <c r="G28" s="39" t="s">
        <v>120</v>
      </c>
      <c r="H28" s="39"/>
      <c r="I28" s="11" t="s">
        <v>121</v>
      </c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11">
        <v>10.0</v>
      </c>
      <c r="U28" s="11">
        <v>58.0</v>
      </c>
      <c r="V28" s="11" t="s">
        <v>23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</row>
    <row r="29">
      <c r="A29" s="9">
        <v>42062.0</v>
      </c>
      <c r="B29" s="11" t="s">
        <v>45</v>
      </c>
      <c r="C29" s="48"/>
      <c r="D29" s="10"/>
      <c r="E29" s="10"/>
      <c r="F29" s="10"/>
      <c r="G29" s="39" t="s">
        <v>122</v>
      </c>
      <c r="H29" s="39"/>
      <c r="I29" s="11" t="s">
        <v>123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11">
        <v>0.0</v>
      </c>
      <c r="U29" s="11">
        <v>0.0</v>
      </c>
      <c r="V29" s="11" t="s">
        <v>23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</row>
    <row r="30">
      <c r="A30" s="5">
        <v>42063.0</v>
      </c>
      <c r="B30" s="6" t="s">
        <v>31</v>
      </c>
      <c r="C30" s="47" t="s">
        <v>13</v>
      </c>
      <c r="G30" s="3">
        <v>45.0</v>
      </c>
      <c r="H30" s="3"/>
      <c r="I30" s="6" t="s">
        <v>124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6">
        <v>0.0</v>
      </c>
      <c r="U30" s="6">
        <v>0.0</v>
      </c>
      <c r="V30" s="6"/>
    </row>
    <row r="31">
      <c r="A31" s="5"/>
      <c r="G31" s="29"/>
      <c r="H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>
      <c r="C32" s="54" t="s">
        <v>125</v>
      </c>
      <c r="D32" s="8"/>
      <c r="E32" s="8"/>
      <c r="F32" s="8">
        <f>sum(F2:F31)</f>
        <v>11.13194444</v>
      </c>
      <c r="G32" s="29"/>
      <c r="H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8">
        <f t="shared" ref="T32:U32" si="1">sum(T2:T31)</f>
        <v>120</v>
      </c>
      <c r="U32" s="8">
        <f t="shared" si="1"/>
        <v>339</v>
      </c>
    </row>
    <row r="33">
      <c r="C33" s="54" t="s">
        <v>126</v>
      </c>
      <c r="D33" s="8"/>
      <c r="E33" s="8"/>
      <c r="F33" s="24" t="str">
        <f>dec_tot_hrs+jan_tot_hrs+feb_tot_hrs</f>
        <v>#REF!</v>
      </c>
      <c r="G33" s="29"/>
      <c r="H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1">
        <f> dec_tot_down + jan_tot_down+feb_tot_down</f>
        <v>682</v>
      </c>
      <c r="U33" s="21">
        <f> dec_tot_up + jan_tot_up + feb_tot_up</f>
        <v>519</v>
      </c>
    </row>
    <row r="34">
      <c r="G34" s="29"/>
      <c r="H34" s="29"/>
      <c r="J34" s="29"/>
      <c r="K34" s="29"/>
      <c r="L34" s="29"/>
      <c r="M34" s="29"/>
      <c r="N34" s="29"/>
      <c r="O34" s="29"/>
      <c r="P34" s="29"/>
      <c r="Q34" s="29"/>
      <c r="R34" s="29"/>
      <c r="S34" s="29"/>
    </row>
    <row r="35">
      <c r="G35" s="29"/>
      <c r="H35" s="29"/>
      <c r="J35" s="29"/>
      <c r="K35" s="29"/>
      <c r="L35" s="29"/>
      <c r="M35" s="29"/>
      <c r="N35" s="29"/>
      <c r="O35" s="29"/>
      <c r="P35" s="29"/>
      <c r="Q35" s="29"/>
      <c r="R35" s="29"/>
      <c r="S35" s="29"/>
    </row>
    <row r="36">
      <c r="G36" s="29"/>
      <c r="H36" s="29"/>
      <c r="J36" s="29"/>
      <c r="K36" s="29"/>
      <c r="L36" s="29"/>
      <c r="M36" s="29"/>
      <c r="N36" s="29"/>
      <c r="O36" s="29"/>
      <c r="P36" s="29"/>
      <c r="Q36" s="29"/>
      <c r="R36" s="29"/>
      <c r="S36" s="29"/>
    </row>
    <row r="37">
      <c r="G37" s="29"/>
      <c r="H37" s="29"/>
      <c r="J37" s="29"/>
      <c r="K37" s="29"/>
      <c r="L37" s="29"/>
      <c r="M37" s="29"/>
      <c r="N37" s="29"/>
      <c r="O37" s="29"/>
      <c r="P37" s="29"/>
      <c r="Q37" s="29"/>
      <c r="R37" s="29"/>
      <c r="S37" s="29"/>
    </row>
    <row r="38">
      <c r="G38" s="29"/>
      <c r="H38" s="29"/>
      <c r="J38" s="29"/>
      <c r="K38" s="29"/>
      <c r="L38" s="29"/>
      <c r="M38" s="29"/>
      <c r="N38" s="29"/>
      <c r="O38" s="29"/>
      <c r="P38" s="29"/>
      <c r="Q38" s="29"/>
      <c r="R38" s="29"/>
      <c r="S38" s="29"/>
    </row>
    <row r="39">
      <c r="G39" s="29"/>
      <c r="H39" s="29"/>
      <c r="J39" s="29"/>
      <c r="K39" s="29"/>
      <c r="L39" s="29"/>
      <c r="M39" s="29"/>
      <c r="N39" s="29"/>
      <c r="O39" s="29"/>
      <c r="P39" s="29"/>
      <c r="Q39" s="29"/>
      <c r="R39" s="29"/>
      <c r="S39" s="29"/>
    </row>
    <row r="40">
      <c r="G40" s="29"/>
      <c r="H40" s="29"/>
      <c r="J40" s="29"/>
      <c r="K40" s="29"/>
      <c r="L40" s="29"/>
      <c r="M40" s="29"/>
      <c r="N40" s="29"/>
      <c r="O40" s="29"/>
      <c r="P40" s="29"/>
      <c r="Q40" s="29"/>
      <c r="R40" s="29"/>
      <c r="S40" s="29"/>
    </row>
    <row r="41">
      <c r="G41" s="29"/>
      <c r="H41" s="29"/>
      <c r="J41" s="29"/>
      <c r="K41" s="29"/>
      <c r="L41" s="29"/>
      <c r="M41" s="29"/>
      <c r="N41" s="29"/>
      <c r="O41" s="29"/>
      <c r="P41" s="29"/>
      <c r="Q41" s="29"/>
      <c r="R41" s="29"/>
      <c r="S41" s="29"/>
    </row>
    <row r="42">
      <c r="G42" s="29"/>
      <c r="H42" s="29"/>
      <c r="J42" s="29"/>
      <c r="K42" s="29"/>
      <c r="L42" s="29"/>
      <c r="M42" s="29"/>
      <c r="N42" s="29"/>
      <c r="O42" s="29"/>
      <c r="P42" s="29"/>
      <c r="Q42" s="29"/>
      <c r="R42" s="29"/>
      <c r="S42" s="29"/>
    </row>
    <row r="43">
      <c r="G43" s="29"/>
      <c r="H43" s="29"/>
      <c r="J43" s="29"/>
      <c r="K43" s="29"/>
      <c r="L43" s="29"/>
      <c r="M43" s="29"/>
      <c r="N43" s="29"/>
      <c r="O43" s="29"/>
      <c r="P43" s="29"/>
      <c r="Q43" s="29"/>
      <c r="R43" s="29"/>
      <c r="S43" s="29"/>
    </row>
    <row r="44">
      <c r="G44" s="29"/>
      <c r="H44" s="29"/>
      <c r="J44" s="29"/>
      <c r="K44" s="29"/>
      <c r="L44" s="29"/>
      <c r="M44" s="29"/>
      <c r="N44" s="29"/>
      <c r="O44" s="29"/>
      <c r="P44" s="29"/>
      <c r="Q44" s="29"/>
      <c r="R44" s="29"/>
      <c r="S44" s="29"/>
    </row>
    <row r="45">
      <c r="G45" s="29"/>
      <c r="H45" s="29"/>
      <c r="J45" s="29"/>
      <c r="K45" s="29"/>
      <c r="L45" s="29"/>
      <c r="M45" s="29"/>
      <c r="N45" s="29"/>
      <c r="O45" s="29"/>
      <c r="P45" s="29"/>
      <c r="Q45" s="29"/>
      <c r="R45" s="29"/>
      <c r="S45" s="29"/>
    </row>
    <row r="46">
      <c r="G46" s="29"/>
      <c r="H46" s="29"/>
      <c r="J46" s="29"/>
      <c r="K46" s="29"/>
      <c r="L46" s="29"/>
      <c r="M46" s="29"/>
      <c r="N46" s="29"/>
      <c r="O46" s="29"/>
      <c r="P46" s="29"/>
      <c r="Q46" s="29"/>
      <c r="R46" s="29"/>
      <c r="S46" s="29"/>
    </row>
    <row r="47">
      <c r="G47" s="29"/>
      <c r="H47" s="29"/>
      <c r="J47" s="29"/>
      <c r="K47" s="29"/>
      <c r="L47" s="29"/>
      <c r="M47" s="29"/>
      <c r="N47" s="29"/>
      <c r="O47" s="29"/>
      <c r="P47" s="29"/>
      <c r="Q47" s="29"/>
      <c r="R47" s="29"/>
      <c r="S47" s="29"/>
    </row>
    <row r="48">
      <c r="G48" s="29"/>
      <c r="H48" s="29"/>
      <c r="J48" s="29"/>
      <c r="K48" s="29"/>
      <c r="L48" s="29"/>
      <c r="M48" s="29"/>
      <c r="N48" s="29"/>
      <c r="O48" s="29"/>
      <c r="P48" s="29"/>
      <c r="Q48" s="29"/>
      <c r="R48" s="29"/>
      <c r="S48" s="29"/>
    </row>
    <row r="49">
      <c r="G49" s="29"/>
      <c r="H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>
      <c r="G50" s="29"/>
      <c r="H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>
      <c r="G51" s="29"/>
      <c r="H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>
      <c r="G52" s="29"/>
      <c r="H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>
      <c r="G53" s="29"/>
      <c r="H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>
      <c r="G54" s="29"/>
      <c r="H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5">
      <c r="G55" s="29"/>
      <c r="H55" s="29"/>
      <c r="J55" s="29"/>
      <c r="K55" s="29"/>
      <c r="L55" s="29"/>
      <c r="M55" s="29"/>
      <c r="N55" s="29"/>
      <c r="O55" s="29"/>
      <c r="P55" s="29"/>
      <c r="Q55" s="29"/>
      <c r="R55" s="29"/>
      <c r="S55" s="29"/>
    </row>
    <row r="56">
      <c r="G56" s="29"/>
      <c r="H56" s="29"/>
      <c r="J56" s="29"/>
      <c r="K56" s="29"/>
      <c r="L56" s="29"/>
      <c r="M56" s="29"/>
      <c r="N56" s="29"/>
      <c r="O56" s="29"/>
      <c r="P56" s="29"/>
      <c r="Q56" s="29"/>
      <c r="R56" s="29"/>
      <c r="S56" s="29"/>
    </row>
    <row r="57">
      <c r="G57" s="29"/>
      <c r="H57" s="29"/>
      <c r="J57" s="29"/>
      <c r="K57" s="29"/>
      <c r="L57" s="29"/>
      <c r="M57" s="29"/>
      <c r="N57" s="29"/>
      <c r="O57" s="29"/>
      <c r="P57" s="29"/>
      <c r="Q57" s="29"/>
      <c r="R57" s="29"/>
      <c r="S57" s="29"/>
    </row>
    <row r="58">
      <c r="G58" s="29"/>
      <c r="H58" s="29"/>
      <c r="J58" s="29"/>
      <c r="K58" s="29"/>
      <c r="L58" s="29"/>
      <c r="M58" s="29"/>
      <c r="N58" s="29"/>
      <c r="O58" s="29"/>
      <c r="P58" s="29"/>
      <c r="Q58" s="29"/>
      <c r="R58" s="29"/>
      <c r="S58" s="29"/>
    </row>
    <row r="59">
      <c r="G59" s="29"/>
      <c r="H59" s="29"/>
      <c r="J59" s="29"/>
      <c r="K59" s="29"/>
      <c r="L59" s="29"/>
      <c r="M59" s="29"/>
      <c r="N59" s="29"/>
      <c r="O59" s="29"/>
      <c r="P59" s="29"/>
      <c r="Q59" s="29"/>
      <c r="R59" s="29"/>
      <c r="S59" s="29"/>
    </row>
    <row r="60">
      <c r="G60" s="29"/>
      <c r="H60" s="29"/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>
      <c r="G61" s="29"/>
      <c r="H61" s="29"/>
      <c r="J61" s="29"/>
      <c r="K61" s="29"/>
      <c r="L61" s="29"/>
      <c r="M61" s="29"/>
      <c r="N61" s="29"/>
      <c r="O61" s="29"/>
      <c r="P61" s="29"/>
      <c r="Q61" s="29"/>
      <c r="R61" s="29"/>
      <c r="S61" s="29"/>
    </row>
    <row r="62">
      <c r="G62" s="29"/>
      <c r="H62" s="29"/>
      <c r="J62" s="29"/>
      <c r="K62" s="29"/>
      <c r="L62" s="29"/>
      <c r="M62" s="29"/>
      <c r="N62" s="29"/>
      <c r="O62" s="29"/>
      <c r="P62" s="29"/>
      <c r="Q62" s="29"/>
      <c r="R62" s="29"/>
      <c r="S62" s="29"/>
    </row>
    <row r="63">
      <c r="G63" s="29"/>
      <c r="H63" s="29"/>
      <c r="J63" s="29"/>
      <c r="K63" s="29"/>
      <c r="L63" s="29"/>
      <c r="M63" s="29"/>
      <c r="N63" s="29"/>
      <c r="O63" s="29"/>
      <c r="P63" s="29"/>
      <c r="Q63" s="29"/>
      <c r="R63" s="29"/>
      <c r="S63" s="29"/>
    </row>
    <row r="64">
      <c r="G64" s="29"/>
      <c r="H64" s="29"/>
      <c r="J64" s="29"/>
      <c r="K64" s="29"/>
      <c r="L64" s="29"/>
      <c r="M64" s="29"/>
      <c r="N64" s="29"/>
      <c r="O64" s="29"/>
      <c r="P64" s="29"/>
      <c r="Q64" s="29"/>
      <c r="R64" s="29"/>
      <c r="S64" s="29"/>
    </row>
    <row r="65">
      <c r="G65" s="29"/>
      <c r="H65" s="29"/>
      <c r="J65" s="29"/>
      <c r="K65" s="29"/>
      <c r="L65" s="29"/>
      <c r="M65" s="29"/>
      <c r="N65" s="29"/>
      <c r="O65" s="29"/>
      <c r="P65" s="29"/>
      <c r="Q65" s="29"/>
      <c r="R65" s="29"/>
      <c r="S65" s="29"/>
    </row>
    <row r="66">
      <c r="G66" s="29"/>
      <c r="H66" s="29"/>
      <c r="J66" s="29"/>
      <c r="K66" s="29"/>
      <c r="L66" s="29"/>
      <c r="M66" s="29"/>
      <c r="N66" s="29"/>
      <c r="O66" s="29"/>
      <c r="P66" s="29"/>
      <c r="Q66" s="29"/>
      <c r="R66" s="29"/>
      <c r="S66" s="29"/>
    </row>
    <row r="67">
      <c r="G67" s="29"/>
      <c r="H67" s="29"/>
      <c r="J67" s="29"/>
      <c r="K67" s="29"/>
      <c r="L67" s="29"/>
      <c r="M67" s="29"/>
      <c r="N67" s="29"/>
      <c r="O67" s="29"/>
      <c r="P67" s="29"/>
      <c r="Q67" s="29"/>
      <c r="R67" s="29"/>
      <c r="S67" s="29"/>
    </row>
    <row r="68">
      <c r="G68" s="29"/>
      <c r="H68" s="29"/>
      <c r="J68" s="29"/>
      <c r="K68" s="29"/>
      <c r="L68" s="29"/>
      <c r="M68" s="29"/>
      <c r="N68" s="29"/>
      <c r="O68" s="29"/>
      <c r="P68" s="29"/>
      <c r="Q68" s="29"/>
      <c r="R68" s="29"/>
      <c r="S68" s="29"/>
    </row>
    <row r="69">
      <c r="G69" s="29"/>
      <c r="H69" s="29"/>
      <c r="J69" s="29"/>
      <c r="K69" s="29"/>
      <c r="L69" s="29"/>
      <c r="M69" s="29"/>
      <c r="N69" s="29"/>
      <c r="O69" s="29"/>
      <c r="P69" s="29"/>
      <c r="Q69" s="29"/>
      <c r="R69" s="29"/>
      <c r="S69" s="29"/>
    </row>
    <row r="70">
      <c r="G70" s="29"/>
      <c r="H70" s="29"/>
      <c r="J70" s="29"/>
      <c r="K70" s="29"/>
      <c r="L70" s="29"/>
      <c r="M70" s="29"/>
      <c r="N70" s="29"/>
      <c r="O70" s="29"/>
      <c r="P70" s="29"/>
      <c r="Q70" s="29"/>
      <c r="R70" s="29"/>
      <c r="S70" s="29"/>
    </row>
    <row r="71">
      <c r="G71" s="29"/>
      <c r="H71" s="29"/>
      <c r="J71" s="29"/>
      <c r="K71" s="29"/>
      <c r="L71" s="29"/>
      <c r="M71" s="29"/>
      <c r="N71" s="29"/>
      <c r="O71" s="29"/>
      <c r="P71" s="29"/>
      <c r="Q71" s="29"/>
      <c r="R71" s="29"/>
      <c r="S71" s="29"/>
    </row>
    <row r="72">
      <c r="G72" s="29"/>
      <c r="H72" s="29"/>
      <c r="J72" s="29"/>
      <c r="K72" s="29"/>
      <c r="L72" s="29"/>
      <c r="M72" s="29"/>
      <c r="N72" s="29"/>
      <c r="O72" s="29"/>
      <c r="P72" s="29"/>
      <c r="Q72" s="29"/>
      <c r="R72" s="29"/>
      <c r="S72" s="29"/>
    </row>
    <row r="73">
      <c r="G73" s="29"/>
      <c r="H73" s="29"/>
      <c r="J73" s="29"/>
      <c r="K73" s="29"/>
      <c r="L73" s="29"/>
      <c r="M73" s="29"/>
      <c r="N73" s="29"/>
      <c r="O73" s="29"/>
      <c r="P73" s="29"/>
      <c r="Q73" s="29"/>
      <c r="R73" s="29"/>
      <c r="S73" s="29"/>
    </row>
    <row r="74">
      <c r="G74" s="29"/>
      <c r="H74" s="29"/>
      <c r="J74" s="29"/>
      <c r="K74" s="29"/>
      <c r="L74" s="29"/>
      <c r="M74" s="29"/>
      <c r="N74" s="29"/>
      <c r="O74" s="29"/>
      <c r="P74" s="29"/>
      <c r="Q74" s="29"/>
      <c r="R74" s="29"/>
      <c r="S74" s="29"/>
    </row>
    <row r="75">
      <c r="G75" s="29"/>
      <c r="H75" s="29"/>
      <c r="J75" s="29"/>
      <c r="K75" s="29"/>
      <c r="L75" s="29"/>
      <c r="M75" s="29"/>
      <c r="N75" s="29"/>
      <c r="O75" s="29"/>
      <c r="P75" s="29"/>
      <c r="Q75" s="29"/>
      <c r="R75" s="29"/>
      <c r="S75" s="29"/>
    </row>
    <row r="76">
      <c r="G76" s="29"/>
      <c r="H76" s="29"/>
      <c r="J76" s="29"/>
      <c r="K76" s="29"/>
      <c r="L76" s="29"/>
      <c r="M76" s="29"/>
      <c r="N76" s="29"/>
      <c r="O76" s="29"/>
      <c r="P76" s="29"/>
      <c r="Q76" s="29"/>
      <c r="R76" s="29"/>
      <c r="S76" s="29"/>
    </row>
    <row r="77">
      <c r="G77" s="29"/>
      <c r="H77" s="29"/>
      <c r="J77" s="29"/>
      <c r="K77" s="29"/>
      <c r="L77" s="29"/>
      <c r="M77" s="29"/>
      <c r="N77" s="29"/>
      <c r="O77" s="29"/>
      <c r="P77" s="29"/>
      <c r="Q77" s="29"/>
      <c r="R77" s="29"/>
      <c r="S77" s="29"/>
    </row>
    <row r="78">
      <c r="G78" s="29"/>
      <c r="H78" s="29"/>
      <c r="J78" s="29"/>
      <c r="K78" s="29"/>
      <c r="L78" s="29"/>
      <c r="M78" s="29"/>
      <c r="N78" s="29"/>
      <c r="O78" s="29"/>
      <c r="P78" s="29"/>
      <c r="Q78" s="29"/>
      <c r="R78" s="29"/>
      <c r="S78" s="29"/>
    </row>
    <row r="79">
      <c r="G79" s="29"/>
      <c r="H79" s="29"/>
      <c r="J79" s="29"/>
      <c r="K79" s="29"/>
      <c r="L79" s="29"/>
      <c r="M79" s="29"/>
      <c r="N79" s="29"/>
      <c r="O79" s="29"/>
      <c r="P79" s="29"/>
      <c r="Q79" s="29"/>
      <c r="R79" s="29"/>
      <c r="S79" s="29"/>
    </row>
    <row r="80">
      <c r="G80" s="29"/>
      <c r="H80" s="29"/>
      <c r="J80" s="29"/>
      <c r="K80" s="29"/>
      <c r="L80" s="29"/>
      <c r="M80" s="29"/>
      <c r="N80" s="29"/>
      <c r="O80" s="29"/>
      <c r="P80" s="29"/>
      <c r="Q80" s="29"/>
      <c r="R80" s="29"/>
      <c r="S80" s="29"/>
    </row>
    <row r="81">
      <c r="G81" s="29"/>
      <c r="H81" s="29"/>
      <c r="J81" s="29"/>
      <c r="K81" s="29"/>
      <c r="L81" s="29"/>
      <c r="M81" s="29"/>
      <c r="N81" s="29"/>
      <c r="O81" s="29"/>
      <c r="P81" s="29"/>
      <c r="Q81" s="29"/>
      <c r="R81" s="29"/>
      <c r="S81" s="29"/>
    </row>
    <row r="82">
      <c r="G82" s="29"/>
      <c r="H82" s="29"/>
      <c r="J82" s="29"/>
      <c r="K82" s="29"/>
      <c r="L82" s="29"/>
      <c r="M82" s="29"/>
      <c r="N82" s="29"/>
      <c r="O82" s="29"/>
      <c r="P82" s="29"/>
      <c r="Q82" s="29"/>
      <c r="R82" s="29"/>
      <c r="S82" s="29"/>
    </row>
    <row r="83">
      <c r="G83" s="29"/>
      <c r="H83" s="29"/>
      <c r="J83" s="29"/>
      <c r="K83" s="29"/>
      <c r="L83" s="29"/>
      <c r="M83" s="29"/>
      <c r="N83" s="29"/>
      <c r="O83" s="29"/>
      <c r="P83" s="29"/>
      <c r="Q83" s="29"/>
      <c r="R83" s="29"/>
      <c r="S83" s="29"/>
    </row>
    <row r="84">
      <c r="G84" s="29"/>
      <c r="H84" s="29"/>
      <c r="J84" s="29"/>
      <c r="K84" s="29"/>
      <c r="L84" s="29"/>
      <c r="M84" s="29"/>
      <c r="N84" s="29"/>
      <c r="O84" s="29"/>
      <c r="P84" s="29"/>
      <c r="Q84" s="29"/>
      <c r="R84" s="29"/>
      <c r="S84" s="29"/>
    </row>
    <row r="85">
      <c r="G85" s="29"/>
      <c r="H85" s="29"/>
      <c r="J85" s="29"/>
      <c r="K85" s="29"/>
      <c r="L85" s="29"/>
      <c r="M85" s="29"/>
      <c r="N85" s="29"/>
      <c r="O85" s="29"/>
      <c r="P85" s="29"/>
      <c r="Q85" s="29"/>
      <c r="R85" s="29"/>
      <c r="S85" s="29"/>
    </row>
    <row r="86">
      <c r="G86" s="29"/>
      <c r="H86" s="2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>
      <c r="G87" s="29"/>
      <c r="H87" s="29"/>
      <c r="J87" s="29"/>
      <c r="K87" s="29"/>
      <c r="L87" s="29"/>
      <c r="M87" s="29"/>
      <c r="N87" s="29"/>
      <c r="O87" s="29"/>
      <c r="P87" s="29"/>
      <c r="Q87" s="29"/>
      <c r="R87" s="29"/>
      <c r="S87" s="29"/>
    </row>
    <row r="88">
      <c r="G88" s="29"/>
      <c r="H88" s="29"/>
      <c r="J88" s="29"/>
      <c r="K88" s="29"/>
      <c r="L88" s="29"/>
      <c r="M88" s="29"/>
      <c r="N88" s="29"/>
      <c r="O88" s="29"/>
      <c r="P88" s="29"/>
      <c r="Q88" s="29"/>
      <c r="R88" s="29"/>
      <c r="S88" s="29"/>
    </row>
    <row r="89">
      <c r="G89" s="29"/>
      <c r="H89" s="29"/>
      <c r="J89" s="29"/>
      <c r="K89" s="29"/>
      <c r="L89" s="29"/>
      <c r="M89" s="29"/>
      <c r="N89" s="29"/>
      <c r="O89" s="29"/>
      <c r="P89" s="29"/>
      <c r="Q89" s="29"/>
      <c r="R89" s="29"/>
      <c r="S89" s="29"/>
    </row>
    <row r="90">
      <c r="G90" s="29"/>
      <c r="H90" s="29"/>
      <c r="J90" s="29"/>
      <c r="K90" s="29"/>
      <c r="L90" s="29"/>
      <c r="M90" s="29"/>
      <c r="N90" s="29"/>
      <c r="O90" s="29"/>
      <c r="P90" s="29"/>
      <c r="Q90" s="29"/>
      <c r="R90" s="29"/>
      <c r="S90" s="29"/>
    </row>
    <row r="91">
      <c r="G91" s="29"/>
      <c r="H91" s="29"/>
      <c r="J91" s="29"/>
      <c r="K91" s="29"/>
      <c r="L91" s="29"/>
      <c r="M91" s="29"/>
      <c r="N91" s="29"/>
      <c r="O91" s="29"/>
      <c r="P91" s="29"/>
      <c r="Q91" s="29"/>
      <c r="R91" s="29"/>
      <c r="S91" s="29"/>
    </row>
    <row r="92">
      <c r="G92" s="29"/>
      <c r="H92" s="29"/>
      <c r="J92" s="29"/>
      <c r="K92" s="29"/>
      <c r="L92" s="29"/>
      <c r="M92" s="29"/>
      <c r="N92" s="29"/>
      <c r="O92" s="29"/>
      <c r="P92" s="29"/>
      <c r="Q92" s="29"/>
      <c r="R92" s="29"/>
      <c r="S92" s="29"/>
    </row>
    <row r="93">
      <c r="G93" s="29"/>
      <c r="H93" s="29"/>
      <c r="J93" s="29"/>
      <c r="K93" s="29"/>
      <c r="L93" s="29"/>
      <c r="M93" s="29"/>
      <c r="N93" s="29"/>
      <c r="O93" s="29"/>
      <c r="P93" s="29"/>
      <c r="Q93" s="29"/>
      <c r="R93" s="29"/>
      <c r="S93" s="29"/>
    </row>
    <row r="94">
      <c r="G94" s="29"/>
      <c r="H94" s="29"/>
      <c r="J94" s="29"/>
      <c r="K94" s="29"/>
      <c r="L94" s="29"/>
      <c r="M94" s="29"/>
      <c r="N94" s="29"/>
      <c r="O94" s="29"/>
      <c r="P94" s="29"/>
      <c r="Q94" s="29"/>
      <c r="R94" s="29"/>
      <c r="S94" s="29"/>
    </row>
    <row r="95">
      <c r="G95" s="29"/>
      <c r="H95" s="29"/>
      <c r="J95" s="29"/>
      <c r="K95" s="29"/>
      <c r="L95" s="29"/>
      <c r="M95" s="29"/>
      <c r="N95" s="29"/>
      <c r="O95" s="29"/>
      <c r="P95" s="29"/>
      <c r="Q95" s="29"/>
      <c r="R95" s="29"/>
      <c r="S95" s="29"/>
    </row>
    <row r="96">
      <c r="G96" s="29"/>
      <c r="H96" s="29"/>
      <c r="J96" s="29"/>
      <c r="K96" s="29"/>
      <c r="L96" s="29"/>
      <c r="M96" s="29"/>
      <c r="N96" s="29"/>
      <c r="O96" s="29"/>
      <c r="P96" s="29"/>
      <c r="Q96" s="29"/>
      <c r="R96" s="29"/>
      <c r="S96" s="29"/>
    </row>
    <row r="97">
      <c r="G97" s="29"/>
      <c r="H97" s="29"/>
      <c r="J97" s="29"/>
      <c r="K97" s="29"/>
      <c r="L97" s="29"/>
      <c r="M97" s="29"/>
      <c r="N97" s="29"/>
      <c r="O97" s="29"/>
      <c r="P97" s="29"/>
      <c r="Q97" s="29"/>
      <c r="R97" s="29"/>
      <c r="S97" s="29"/>
    </row>
    <row r="98">
      <c r="G98" s="29"/>
      <c r="H98" s="29"/>
      <c r="J98" s="29"/>
      <c r="K98" s="29"/>
      <c r="L98" s="29"/>
      <c r="M98" s="29"/>
      <c r="N98" s="29"/>
      <c r="O98" s="29"/>
      <c r="P98" s="29"/>
      <c r="Q98" s="29"/>
      <c r="R98" s="29"/>
      <c r="S98" s="29"/>
    </row>
    <row r="99">
      <c r="G99" s="29"/>
      <c r="H99" s="29"/>
      <c r="J99" s="29"/>
      <c r="K99" s="29"/>
      <c r="L99" s="29"/>
      <c r="M99" s="29"/>
      <c r="N99" s="29"/>
      <c r="O99" s="29"/>
      <c r="P99" s="29"/>
      <c r="Q99" s="29"/>
      <c r="R99" s="29"/>
      <c r="S99" s="29"/>
    </row>
    <row r="100">
      <c r="G100" s="29"/>
      <c r="H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>
      <c r="G101" s="29"/>
      <c r="H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</row>
    <row r="102">
      <c r="G102" s="29"/>
      <c r="H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>
      <c r="G103" s="29"/>
      <c r="H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</row>
    <row r="104">
      <c r="G104" s="29"/>
      <c r="H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</row>
    <row r="105">
      <c r="G105" s="29"/>
      <c r="H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</row>
    <row r="106">
      <c r="G106" s="29"/>
      <c r="H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</row>
    <row r="107">
      <c r="G107" s="29"/>
      <c r="H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</row>
    <row r="108">
      <c r="G108" s="29"/>
      <c r="H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</row>
    <row r="109">
      <c r="G109" s="29"/>
      <c r="H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</row>
    <row r="110">
      <c r="G110" s="29"/>
      <c r="H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</row>
    <row r="111">
      <c r="G111" s="29"/>
      <c r="H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</row>
    <row r="112">
      <c r="G112" s="29"/>
      <c r="H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</row>
    <row r="113">
      <c r="G113" s="29"/>
      <c r="H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</row>
    <row r="114">
      <c r="G114" s="29"/>
      <c r="H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</row>
    <row r="115">
      <c r="G115" s="29"/>
      <c r="H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</row>
    <row r="116">
      <c r="G116" s="29"/>
      <c r="H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</row>
    <row r="117">
      <c r="G117" s="29"/>
      <c r="H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</row>
    <row r="118">
      <c r="G118" s="29"/>
      <c r="H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</row>
    <row r="119">
      <c r="G119" s="29"/>
      <c r="H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</row>
    <row r="120">
      <c r="G120" s="29"/>
      <c r="H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</row>
    <row r="121">
      <c r="G121" s="29"/>
      <c r="H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</row>
    <row r="122">
      <c r="G122" s="29"/>
      <c r="H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</row>
    <row r="123">
      <c r="G123" s="29"/>
      <c r="H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</row>
    <row r="124">
      <c r="G124" s="29"/>
      <c r="H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</row>
    <row r="125">
      <c r="G125" s="29"/>
      <c r="H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</row>
    <row r="126">
      <c r="G126" s="29"/>
      <c r="H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</row>
    <row r="127">
      <c r="G127" s="29"/>
      <c r="H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</row>
    <row r="128">
      <c r="G128" s="29"/>
      <c r="H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</row>
    <row r="129">
      <c r="G129" s="29"/>
      <c r="H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</row>
    <row r="130">
      <c r="G130" s="29"/>
      <c r="H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</row>
    <row r="131">
      <c r="G131" s="29"/>
      <c r="H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</row>
    <row r="132">
      <c r="G132" s="29"/>
      <c r="H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</row>
    <row r="133">
      <c r="G133" s="29"/>
      <c r="H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</row>
    <row r="134">
      <c r="G134" s="29"/>
      <c r="H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</row>
    <row r="135">
      <c r="G135" s="29"/>
      <c r="H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</row>
    <row r="136">
      <c r="G136" s="29"/>
      <c r="H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</row>
    <row r="137">
      <c r="G137" s="29"/>
      <c r="H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</row>
    <row r="138">
      <c r="G138" s="29"/>
      <c r="H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</row>
    <row r="139">
      <c r="G139" s="29"/>
      <c r="H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</row>
    <row r="140">
      <c r="G140" s="29"/>
      <c r="H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</row>
    <row r="141">
      <c r="G141" s="29"/>
      <c r="H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</row>
    <row r="142">
      <c r="G142" s="29"/>
      <c r="H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</row>
    <row r="143">
      <c r="G143" s="29"/>
      <c r="H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</row>
    <row r="144">
      <c r="G144" s="29"/>
      <c r="H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</row>
    <row r="145">
      <c r="G145" s="29"/>
      <c r="H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</row>
    <row r="146">
      <c r="G146" s="29"/>
      <c r="H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</row>
    <row r="147">
      <c r="G147" s="29"/>
      <c r="H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</row>
    <row r="148">
      <c r="G148" s="29"/>
      <c r="H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</row>
    <row r="149">
      <c r="G149" s="29"/>
      <c r="H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</row>
    <row r="150">
      <c r="G150" s="29"/>
      <c r="H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</row>
    <row r="151">
      <c r="G151" s="29"/>
      <c r="H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</row>
    <row r="152">
      <c r="G152" s="29"/>
      <c r="H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</row>
    <row r="153">
      <c r="G153" s="29"/>
      <c r="H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</row>
    <row r="154">
      <c r="G154" s="29"/>
      <c r="H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</row>
    <row r="155">
      <c r="G155" s="29"/>
      <c r="H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</row>
    <row r="156">
      <c r="G156" s="29"/>
      <c r="H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</row>
    <row r="157">
      <c r="G157" s="29"/>
      <c r="H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</row>
    <row r="158">
      <c r="G158" s="29"/>
      <c r="H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</row>
    <row r="159">
      <c r="G159" s="29"/>
      <c r="H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</row>
    <row r="160">
      <c r="G160" s="29"/>
      <c r="H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</row>
    <row r="161">
      <c r="G161" s="29"/>
      <c r="H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</row>
    <row r="162">
      <c r="G162" s="29"/>
      <c r="H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</row>
    <row r="163">
      <c r="G163" s="29"/>
      <c r="H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</row>
    <row r="164">
      <c r="G164" s="29"/>
      <c r="H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</row>
    <row r="165">
      <c r="G165" s="29"/>
      <c r="H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</row>
    <row r="166">
      <c r="G166" s="29"/>
      <c r="H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</row>
    <row r="167">
      <c r="G167" s="29"/>
      <c r="H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</row>
    <row r="168">
      <c r="G168" s="29"/>
      <c r="H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</row>
    <row r="169">
      <c r="G169" s="29"/>
      <c r="H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</row>
    <row r="170">
      <c r="G170" s="29"/>
      <c r="H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</row>
    <row r="171">
      <c r="G171" s="29"/>
      <c r="H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</row>
    <row r="172">
      <c r="G172" s="29"/>
      <c r="H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</row>
    <row r="173">
      <c r="G173" s="29"/>
      <c r="H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</row>
    <row r="174">
      <c r="G174" s="29"/>
      <c r="H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</row>
    <row r="175">
      <c r="G175" s="29"/>
      <c r="H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</row>
    <row r="176">
      <c r="G176" s="29"/>
      <c r="H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</row>
    <row r="177">
      <c r="G177" s="29"/>
      <c r="H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</row>
    <row r="178">
      <c r="G178" s="29"/>
      <c r="H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</row>
    <row r="179">
      <c r="G179" s="29"/>
      <c r="H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</row>
    <row r="180">
      <c r="G180" s="29"/>
      <c r="H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</row>
    <row r="181">
      <c r="G181" s="29"/>
      <c r="H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</row>
    <row r="182">
      <c r="G182" s="29"/>
      <c r="H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</row>
    <row r="183">
      <c r="G183" s="29"/>
      <c r="H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</row>
    <row r="184">
      <c r="G184" s="29"/>
      <c r="H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</row>
    <row r="185">
      <c r="G185" s="29"/>
      <c r="H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</row>
    <row r="186">
      <c r="G186" s="29"/>
      <c r="H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</row>
    <row r="187">
      <c r="G187" s="29"/>
      <c r="H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</row>
    <row r="188">
      <c r="G188" s="29"/>
      <c r="H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</row>
    <row r="189">
      <c r="G189" s="29"/>
      <c r="H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</row>
    <row r="190">
      <c r="G190" s="29"/>
      <c r="H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</row>
    <row r="191">
      <c r="G191" s="29"/>
      <c r="H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</row>
    <row r="192">
      <c r="G192" s="29"/>
      <c r="H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</row>
    <row r="193">
      <c r="G193" s="29"/>
      <c r="H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</row>
    <row r="194">
      <c r="G194" s="29"/>
      <c r="H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</row>
    <row r="195">
      <c r="G195" s="29"/>
      <c r="H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</row>
    <row r="196">
      <c r="G196" s="29"/>
      <c r="H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</row>
    <row r="197">
      <c r="G197" s="29"/>
      <c r="H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</row>
    <row r="198">
      <c r="G198" s="29"/>
      <c r="H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</row>
    <row r="199">
      <c r="G199" s="29"/>
      <c r="H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</row>
    <row r="200">
      <c r="G200" s="29"/>
      <c r="H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</row>
    <row r="201">
      <c r="G201" s="29"/>
      <c r="H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</row>
    <row r="202">
      <c r="G202" s="29"/>
      <c r="H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</row>
    <row r="203">
      <c r="G203" s="29"/>
      <c r="H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</row>
    <row r="204">
      <c r="G204" s="29"/>
      <c r="H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</row>
    <row r="205">
      <c r="G205" s="29"/>
      <c r="H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</row>
    <row r="206">
      <c r="G206" s="29"/>
      <c r="H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</row>
    <row r="207">
      <c r="G207" s="29"/>
      <c r="H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</row>
    <row r="208">
      <c r="G208" s="29"/>
      <c r="H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</row>
    <row r="209">
      <c r="G209" s="29"/>
      <c r="H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</row>
    <row r="210">
      <c r="G210" s="29"/>
      <c r="H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</row>
    <row r="211">
      <c r="G211" s="29"/>
      <c r="H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</row>
    <row r="212">
      <c r="G212" s="29"/>
      <c r="H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</row>
    <row r="213">
      <c r="G213" s="29"/>
      <c r="H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</row>
    <row r="214">
      <c r="G214" s="29"/>
      <c r="H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</row>
    <row r="215">
      <c r="G215" s="29"/>
      <c r="H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</row>
    <row r="216">
      <c r="G216" s="29"/>
      <c r="H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</row>
    <row r="217">
      <c r="G217" s="29"/>
      <c r="H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</row>
    <row r="218">
      <c r="G218" s="29"/>
      <c r="H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</row>
    <row r="219">
      <c r="G219" s="29"/>
      <c r="H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</row>
    <row r="220">
      <c r="G220" s="29"/>
      <c r="H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</row>
    <row r="221">
      <c r="G221" s="29"/>
      <c r="H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</row>
    <row r="222">
      <c r="G222" s="29"/>
      <c r="H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</row>
    <row r="223">
      <c r="G223" s="29"/>
      <c r="H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</row>
    <row r="224">
      <c r="G224" s="29"/>
      <c r="H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</row>
    <row r="225">
      <c r="G225" s="29"/>
      <c r="H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</row>
    <row r="226">
      <c r="G226" s="29"/>
      <c r="H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</row>
    <row r="227">
      <c r="G227" s="29"/>
      <c r="H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</row>
    <row r="228">
      <c r="G228" s="29"/>
      <c r="H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</row>
    <row r="229">
      <c r="G229" s="29"/>
      <c r="H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</row>
    <row r="230">
      <c r="G230" s="29"/>
      <c r="H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</row>
    <row r="231">
      <c r="G231" s="29"/>
      <c r="H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</row>
    <row r="232">
      <c r="G232" s="29"/>
      <c r="H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</row>
    <row r="233">
      <c r="G233" s="29"/>
      <c r="H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</row>
    <row r="234">
      <c r="G234" s="29"/>
      <c r="H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</row>
    <row r="235">
      <c r="G235" s="29"/>
      <c r="H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</row>
    <row r="236">
      <c r="G236" s="29"/>
      <c r="H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</row>
    <row r="237">
      <c r="G237" s="29"/>
      <c r="H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</row>
    <row r="238">
      <c r="G238" s="29"/>
      <c r="H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</row>
    <row r="239">
      <c r="G239" s="29"/>
      <c r="H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</row>
    <row r="240">
      <c r="G240" s="29"/>
      <c r="H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</row>
    <row r="241">
      <c r="G241" s="29"/>
      <c r="H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</row>
    <row r="242">
      <c r="G242" s="29"/>
      <c r="H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</row>
    <row r="243">
      <c r="G243" s="29"/>
      <c r="H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</row>
    <row r="244">
      <c r="G244" s="29"/>
      <c r="H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</row>
    <row r="245">
      <c r="G245" s="29"/>
      <c r="H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</row>
    <row r="246">
      <c r="G246" s="29"/>
      <c r="H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</row>
    <row r="247">
      <c r="G247" s="29"/>
      <c r="H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</row>
    <row r="248">
      <c r="G248" s="29"/>
      <c r="H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</row>
    <row r="249">
      <c r="G249" s="29"/>
      <c r="H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</row>
    <row r="250">
      <c r="G250" s="29"/>
      <c r="H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</row>
    <row r="251">
      <c r="G251" s="29"/>
      <c r="H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</row>
    <row r="252">
      <c r="G252" s="29"/>
      <c r="H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</row>
    <row r="253">
      <c r="G253" s="29"/>
      <c r="H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</row>
    <row r="254">
      <c r="G254" s="29"/>
      <c r="H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</row>
    <row r="255">
      <c r="G255" s="29"/>
      <c r="H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</row>
    <row r="256">
      <c r="G256" s="29"/>
      <c r="H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</row>
    <row r="257">
      <c r="G257" s="29"/>
      <c r="H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</row>
    <row r="258">
      <c r="G258" s="29"/>
      <c r="H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</row>
    <row r="259">
      <c r="G259" s="29"/>
      <c r="H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</row>
    <row r="260">
      <c r="G260" s="29"/>
      <c r="H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</row>
    <row r="261">
      <c r="G261" s="29"/>
      <c r="H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</row>
    <row r="262">
      <c r="G262" s="29"/>
      <c r="H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</row>
    <row r="263">
      <c r="G263" s="29"/>
      <c r="H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</row>
    <row r="264">
      <c r="G264" s="29"/>
      <c r="H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</row>
    <row r="265">
      <c r="G265" s="29"/>
      <c r="H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</row>
    <row r="266">
      <c r="G266" s="29"/>
      <c r="H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</row>
    <row r="267">
      <c r="G267" s="29"/>
      <c r="H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</row>
    <row r="268">
      <c r="G268" s="29"/>
      <c r="H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</row>
    <row r="269">
      <c r="G269" s="29"/>
      <c r="H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</row>
    <row r="270">
      <c r="G270" s="29"/>
      <c r="H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</row>
    <row r="271">
      <c r="G271" s="29"/>
      <c r="H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</row>
    <row r="272">
      <c r="G272" s="29"/>
      <c r="H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</row>
    <row r="273">
      <c r="G273" s="29"/>
      <c r="H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</row>
    <row r="274">
      <c r="G274" s="29"/>
      <c r="H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</row>
    <row r="275">
      <c r="G275" s="29"/>
      <c r="H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</row>
    <row r="276">
      <c r="G276" s="29"/>
      <c r="H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</row>
    <row r="277">
      <c r="G277" s="29"/>
      <c r="H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</row>
    <row r="278">
      <c r="G278" s="29"/>
      <c r="H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</row>
    <row r="279">
      <c r="G279" s="29"/>
      <c r="H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</row>
    <row r="280">
      <c r="G280" s="29"/>
      <c r="H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</row>
    <row r="281">
      <c r="G281" s="29"/>
      <c r="H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</row>
    <row r="282">
      <c r="G282" s="29"/>
      <c r="H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</row>
    <row r="283">
      <c r="G283" s="29"/>
      <c r="H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</row>
    <row r="284">
      <c r="G284" s="29"/>
      <c r="H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</row>
    <row r="285">
      <c r="G285" s="29"/>
      <c r="H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</row>
    <row r="286">
      <c r="G286" s="29"/>
      <c r="H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</row>
    <row r="287">
      <c r="G287" s="29"/>
      <c r="H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</row>
    <row r="288">
      <c r="G288" s="29"/>
      <c r="H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</row>
    <row r="289">
      <c r="G289" s="29"/>
      <c r="H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</row>
    <row r="290">
      <c r="G290" s="29"/>
      <c r="H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</row>
    <row r="291">
      <c r="G291" s="29"/>
      <c r="H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</row>
    <row r="292">
      <c r="G292" s="29"/>
      <c r="H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</row>
    <row r="293">
      <c r="G293" s="29"/>
      <c r="H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</row>
    <row r="294">
      <c r="G294" s="29"/>
      <c r="H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</row>
    <row r="295">
      <c r="G295" s="29"/>
      <c r="H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</row>
    <row r="296">
      <c r="G296" s="29"/>
      <c r="H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</row>
    <row r="297">
      <c r="G297" s="29"/>
      <c r="H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</row>
    <row r="298">
      <c r="G298" s="29"/>
      <c r="H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</row>
    <row r="299">
      <c r="G299" s="29"/>
      <c r="H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</row>
    <row r="300">
      <c r="G300" s="29"/>
      <c r="H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</row>
    <row r="301">
      <c r="G301" s="29"/>
      <c r="H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</row>
    <row r="302">
      <c r="G302" s="29"/>
      <c r="H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</row>
    <row r="303">
      <c r="G303" s="29"/>
      <c r="H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</row>
    <row r="304">
      <c r="G304" s="29"/>
      <c r="H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</row>
    <row r="305">
      <c r="G305" s="29"/>
      <c r="H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</row>
    <row r="306">
      <c r="G306" s="29"/>
      <c r="H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</row>
    <row r="307">
      <c r="G307" s="29"/>
      <c r="H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</row>
    <row r="308">
      <c r="G308" s="29"/>
      <c r="H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</row>
    <row r="309">
      <c r="G309" s="29"/>
      <c r="H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</row>
    <row r="310">
      <c r="G310" s="29"/>
      <c r="H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</row>
    <row r="311">
      <c r="G311" s="29"/>
      <c r="H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</row>
    <row r="312">
      <c r="G312" s="29"/>
      <c r="H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</row>
    <row r="313">
      <c r="G313" s="29"/>
      <c r="H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</row>
    <row r="314">
      <c r="G314" s="29"/>
      <c r="H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</row>
    <row r="315">
      <c r="G315" s="29"/>
      <c r="H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</row>
    <row r="316">
      <c r="G316" s="29"/>
      <c r="H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</row>
    <row r="317">
      <c r="G317" s="29"/>
      <c r="H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</row>
    <row r="318">
      <c r="G318" s="29"/>
      <c r="H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</row>
    <row r="319">
      <c r="G319" s="29"/>
      <c r="H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</row>
    <row r="320">
      <c r="G320" s="29"/>
      <c r="H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</row>
    <row r="321">
      <c r="G321" s="29"/>
      <c r="H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</row>
    <row r="322">
      <c r="G322" s="29"/>
      <c r="H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</row>
    <row r="323">
      <c r="G323" s="29"/>
      <c r="H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</row>
    <row r="324">
      <c r="G324" s="29"/>
      <c r="H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</row>
    <row r="325">
      <c r="G325" s="29"/>
      <c r="H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</row>
    <row r="326">
      <c r="G326" s="29"/>
      <c r="H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</row>
    <row r="327">
      <c r="G327" s="29"/>
      <c r="H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</row>
    <row r="328">
      <c r="G328" s="29"/>
      <c r="H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</row>
    <row r="329">
      <c r="G329" s="29"/>
      <c r="H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</row>
    <row r="330">
      <c r="G330" s="29"/>
      <c r="H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</row>
    <row r="331">
      <c r="G331" s="29"/>
      <c r="H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</row>
    <row r="332">
      <c r="G332" s="29"/>
      <c r="H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</row>
    <row r="333">
      <c r="G333" s="29"/>
      <c r="H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</row>
    <row r="334">
      <c r="G334" s="29"/>
      <c r="H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</row>
    <row r="335">
      <c r="G335" s="29"/>
      <c r="H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</row>
    <row r="336">
      <c r="G336" s="29"/>
      <c r="H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</row>
    <row r="337">
      <c r="G337" s="29"/>
      <c r="H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</row>
    <row r="338">
      <c r="G338" s="29"/>
      <c r="H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</row>
    <row r="339">
      <c r="G339" s="29"/>
      <c r="H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</row>
    <row r="340">
      <c r="G340" s="29"/>
      <c r="H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</row>
    <row r="341">
      <c r="G341" s="29"/>
      <c r="H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</row>
    <row r="342">
      <c r="G342" s="29"/>
      <c r="H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</row>
    <row r="343">
      <c r="G343" s="29"/>
      <c r="H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</row>
    <row r="344">
      <c r="G344" s="29"/>
      <c r="H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</row>
    <row r="345">
      <c r="G345" s="29"/>
      <c r="H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</row>
    <row r="346">
      <c r="G346" s="29"/>
      <c r="H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</row>
    <row r="347">
      <c r="G347" s="29"/>
      <c r="H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</row>
    <row r="348">
      <c r="G348" s="29"/>
      <c r="H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</row>
    <row r="349">
      <c r="G349" s="29"/>
      <c r="H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</row>
    <row r="350">
      <c r="G350" s="29"/>
      <c r="H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</row>
    <row r="351">
      <c r="G351" s="29"/>
      <c r="H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</row>
    <row r="352">
      <c r="G352" s="29"/>
      <c r="H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</row>
    <row r="353">
      <c r="G353" s="29"/>
      <c r="H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</row>
    <row r="354">
      <c r="G354" s="29"/>
      <c r="H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</row>
    <row r="355">
      <c r="G355" s="29"/>
      <c r="H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</row>
    <row r="356">
      <c r="G356" s="29"/>
      <c r="H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</row>
    <row r="357">
      <c r="G357" s="29"/>
      <c r="H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</row>
    <row r="358">
      <c r="G358" s="29"/>
      <c r="H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</row>
    <row r="359">
      <c r="G359" s="29"/>
      <c r="H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</row>
    <row r="360">
      <c r="G360" s="29"/>
      <c r="H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</row>
    <row r="361">
      <c r="G361" s="29"/>
      <c r="H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</row>
    <row r="362">
      <c r="G362" s="29"/>
      <c r="H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</row>
    <row r="363">
      <c r="G363" s="29"/>
      <c r="H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</row>
    <row r="364">
      <c r="G364" s="29"/>
      <c r="H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</row>
    <row r="365">
      <c r="G365" s="29"/>
      <c r="H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</row>
    <row r="366">
      <c r="G366" s="29"/>
      <c r="H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</row>
    <row r="367">
      <c r="G367" s="29"/>
      <c r="H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</row>
    <row r="368">
      <c r="G368" s="29"/>
      <c r="H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</row>
    <row r="369">
      <c r="G369" s="29"/>
      <c r="H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</row>
    <row r="370">
      <c r="G370" s="29"/>
      <c r="H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</row>
    <row r="371">
      <c r="G371" s="29"/>
      <c r="H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</row>
    <row r="372">
      <c r="G372" s="29"/>
      <c r="H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</row>
    <row r="373">
      <c r="G373" s="29"/>
      <c r="H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</row>
    <row r="374">
      <c r="G374" s="29"/>
      <c r="H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</row>
    <row r="375">
      <c r="G375" s="29"/>
      <c r="H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</row>
    <row r="376">
      <c r="G376" s="29"/>
      <c r="H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</row>
    <row r="377">
      <c r="G377" s="29"/>
      <c r="H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</row>
    <row r="378">
      <c r="G378" s="29"/>
      <c r="H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</row>
    <row r="379">
      <c r="G379" s="29"/>
      <c r="H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</row>
    <row r="380">
      <c r="G380" s="29"/>
      <c r="H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</row>
    <row r="381">
      <c r="G381" s="29"/>
      <c r="H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</row>
    <row r="382">
      <c r="G382" s="29"/>
      <c r="H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</row>
    <row r="383">
      <c r="G383" s="29"/>
      <c r="H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</row>
    <row r="384">
      <c r="G384" s="29"/>
      <c r="H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</row>
    <row r="385">
      <c r="G385" s="29"/>
      <c r="H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</row>
    <row r="386">
      <c r="G386" s="29"/>
      <c r="H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</row>
    <row r="387">
      <c r="G387" s="29"/>
      <c r="H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</row>
    <row r="388">
      <c r="G388" s="29"/>
      <c r="H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</row>
    <row r="389">
      <c r="G389" s="29"/>
      <c r="H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</row>
    <row r="390">
      <c r="G390" s="29"/>
      <c r="H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</row>
    <row r="391">
      <c r="G391" s="29"/>
      <c r="H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</row>
    <row r="392">
      <c r="G392" s="29"/>
      <c r="H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</row>
    <row r="393">
      <c r="G393" s="29"/>
      <c r="H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</row>
    <row r="394">
      <c r="G394" s="29"/>
      <c r="H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</row>
    <row r="395">
      <c r="G395" s="29"/>
      <c r="H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</row>
    <row r="396">
      <c r="G396" s="29"/>
      <c r="H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</row>
    <row r="397">
      <c r="G397" s="29"/>
      <c r="H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</row>
    <row r="398">
      <c r="G398" s="29"/>
      <c r="H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</row>
    <row r="399">
      <c r="G399" s="29"/>
      <c r="H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</row>
    <row r="400">
      <c r="G400" s="29"/>
      <c r="H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</row>
    <row r="401">
      <c r="G401" s="29"/>
      <c r="H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</row>
    <row r="402">
      <c r="G402" s="29"/>
      <c r="H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</row>
    <row r="403">
      <c r="G403" s="29"/>
      <c r="H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</row>
    <row r="404">
      <c r="G404" s="29"/>
      <c r="H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</row>
    <row r="405">
      <c r="G405" s="29"/>
      <c r="H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</row>
    <row r="406">
      <c r="G406" s="29"/>
      <c r="H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</row>
    <row r="407">
      <c r="G407" s="29"/>
      <c r="H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</row>
    <row r="408">
      <c r="G408" s="29"/>
      <c r="H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</row>
    <row r="409">
      <c r="G409" s="29"/>
      <c r="H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</row>
    <row r="410">
      <c r="G410" s="29"/>
      <c r="H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</row>
    <row r="411">
      <c r="G411" s="29"/>
      <c r="H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</row>
    <row r="412">
      <c r="G412" s="29"/>
      <c r="H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</row>
    <row r="413">
      <c r="G413" s="29"/>
      <c r="H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</row>
    <row r="414">
      <c r="G414" s="29"/>
      <c r="H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</row>
    <row r="415">
      <c r="G415" s="29"/>
      <c r="H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</row>
    <row r="416">
      <c r="G416" s="29"/>
      <c r="H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</row>
    <row r="417">
      <c r="G417" s="29"/>
      <c r="H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</row>
    <row r="418">
      <c r="G418" s="29"/>
      <c r="H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</row>
    <row r="419">
      <c r="G419" s="29"/>
      <c r="H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</row>
    <row r="420">
      <c r="G420" s="29"/>
      <c r="H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</row>
    <row r="421">
      <c r="G421" s="29"/>
      <c r="H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</row>
    <row r="422">
      <c r="G422" s="29"/>
      <c r="H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</row>
    <row r="423">
      <c r="G423" s="29"/>
      <c r="H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</row>
    <row r="424">
      <c r="G424" s="29"/>
      <c r="H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</row>
    <row r="425">
      <c r="G425" s="29"/>
      <c r="H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</row>
    <row r="426">
      <c r="G426" s="29"/>
      <c r="H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</row>
    <row r="427">
      <c r="G427" s="29"/>
      <c r="H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</row>
    <row r="428">
      <c r="G428" s="29"/>
      <c r="H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</row>
    <row r="429">
      <c r="G429" s="29"/>
      <c r="H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</row>
    <row r="430">
      <c r="G430" s="29"/>
      <c r="H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</row>
    <row r="431">
      <c r="G431" s="29"/>
      <c r="H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</row>
    <row r="432">
      <c r="G432" s="29"/>
      <c r="H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</row>
    <row r="433">
      <c r="G433" s="29"/>
      <c r="H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</row>
    <row r="434">
      <c r="G434" s="29"/>
      <c r="H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</row>
    <row r="435">
      <c r="G435" s="29"/>
      <c r="H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</row>
    <row r="436">
      <c r="G436" s="29"/>
      <c r="H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</row>
    <row r="437">
      <c r="G437" s="29"/>
      <c r="H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</row>
    <row r="438">
      <c r="G438" s="29"/>
      <c r="H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</row>
    <row r="439">
      <c r="G439" s="29"/>
      <c r="H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</row>
    <row r="440">
      <c r="G440" s="29"/>
      <c r="H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</row>
    <row r="441">
      <c r="G441" s="29"/>
      <c r="H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</row>
    <row r="442">
      <c r="G442" s="29"/>
      <c r="H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</row>
    <row r="443">
      <c r="G443" s="29"/>
      <c r="H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</row>
    <row r="444">
      <c r="G444" s="29"/>
      <c r="H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</row>
    <row r="445">
      <c r="G445" s="29"/>
      <c r="H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</row>
    <row r="446">
      <c r="G446" s="29"/>
      <c r="H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</row>
    <row r="447">
      <c r="G447" s="29"/>
      <c r="H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</row>
    <row r="448">
      <c r="G448" s="29"/>
      <c r="H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</row>
    <row r="449">
      <c r="G449" s="29"/>
      <c r="H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</row>
    <row r="450">
      <c r="G450" s="29"/>
      <c r="H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</row>
    <row r="451">
      <c r="G451" s="29"/>
      <c r="H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</row>
    <row r="452">
      <c r="G452" s="29"/>
      <c r="H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</row>
    <row r="453">
      <c r="G453" s="29"/>
      <c r="H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</row>
    <row r="454">
      <c r="G454" s="29"/>
      <c r="H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</row>
    <row r="455">
      <c r="G455" s="29"/>
      <c r="H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</row>
    <row r="456">
      <c r="G456" s="29"/>
      <c r="H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</row>
    <row r="457">
      <c r="G457" s="29"/>
      <c r="H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</row>
    <row r="458">
      <c r="G458" s="29"/>
      <c r="H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</row>
    <row r="459">
      <c r="G459" s="29"/>
      <c r="H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</row>
    <row r="460">
      <c r="G460" s="29"/>
      <c r="H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</row>
    <row r="461">
      <c r="G461" s="29"/>
      <c r="H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</row>
    <row r="462">
      <c r="G462" s="29"/>
      <c r="H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</row>
    <row r="463">
      <c r="G463" s="29"/>
      <c r="H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</row>
    <row r="464">
      <c r="G464" s="29"/>
      <c r="H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</row>
    <row r="465">
      <c r="G465" s="29"/>
      <c r="H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</row>
    <row r="466">
      <c r="G466" s="29"/>
      <c r="H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</row>
    <row r="467">
      <c r="G467" s="29"/>
      <c r="H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</row>
    <row r="468">
      <c r="G468" s="29"/>
      <c r="H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</row>
    <row r="469">
      <c r="G469" s="29"/>
      <c r="H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</row>
    <row r="470">
      <c r="G470" s="29"/>
      <c r="H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</row>
    <row r="471">
      <c r="G471" s="29"/>
      <c r="H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</row>
    <row r="472">
      <c r="G472" s="29"/>
      <c r="H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</row>
    <row r="473">
      <c r="G473" s="29"/>
      <c r="H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</row>
    <row r="474">
      <c r="G474" s="29"/>
      <c r="H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</row>
    <row r="475">
      <c r="G475" s="29"/>
      <c r="H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</row>
    <row r="476">
      <c r="G476" s="29"/>
      <c r="H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</row>
    <row r="477">
      <c r="G477" s="29"/>
      <c r="H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</row>
    <row r="478">
      <c r="G478" s="29"/>
      <c r="H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</row>
    <row r="479">
      <c r="G479" s="29"/>
      <c r="H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</row>
    <row r="480">
      <c r="G480" s="29"/>
      <c r="H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</row>
    <row r="481">
      <c r="G481" s="29"/>
      <c r="H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</row>
    <row r="482">
      <c r="G482" s="29"/>
      <c r="H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</row>
    <row r="483">
      <c r="G483" s="29"/>
      <c r="H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</row>
    <row r="484">
      <c r="G484" s="29"/>
      <c r="H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</row>
    <row r="485">
      <c r="G485" s="29"/>
      <c r="H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</row>
    <row r="486">
      <c r="G486" s="29"/>
      <c r="H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</row>
    <row r="487">
      <c r="G487" s="29"/>
      <c r="H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</row>
    <row r="488">
      <c r="G488" s="29"/>
      <c r="H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</row>
    <row r="489">
      <c r="G489" s="29"/>
      <c r="H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</row>
    <row r="490">
      <c r="G490" s="29"/>
      <c r="H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</row>
    <row r="491">
      <c r="G491" s="29"/>
      <c r="H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</row>
    <row r="492">
      <c r="G492" s="29"/>
      <c r="H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</row>
    <row r="493">
      <c r="G493" s="29"/>
      <c r="H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</row>
    <row r="494">
      <c r="G494" s="29"/>
      <c r="H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</row>
    <row r="495">
      <c r="G495" s="29"/>
      <c r="H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</row>
    <row r="496">
      <c r="G496" s="29"/>
      <c r="H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</row>
    <row r="497">
      <c r="G497" s="29"/>
      <c r="H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</row>
    <row r="498">
      <c r="G498" s="29"/>
      <c r="H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</row>
    <row r="499">
      <c r="G499" s="29"/>
      <c r="H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</row>
    <row r="500">
      <c r="G500" s="29"/>
      <c r="H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</row>
    <row r="501">
      <c r="G501" s="29"/>
      <c r="H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</row>
    <row r="502">
      <c r="G502" s="29"/>
      <c r="H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</row>
    <row r="503">
      <c r="G503" s="29"/>
      <c r="H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</row>
    <row r="504">
      <c r="G504" s="29"/>
      <c r="H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</row>
    <row r="505">
      <c r="G505" s="29"/>
      <c r="H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</row>
    <row r="506">
      <c r="G506" s="29"/>
      <c r="H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</row>
    <row r="507">
      <c r="G507" s="29"/>
      <c r="H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</row>
    <row r="508">
      <c r="G508" s="29"/>
      <c r="H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</row>
    <row r="509">
      <c r="G509" s="29"/>
      <c r="H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</row>
    <row r="510">
      <c r="G510" s="29"/>
      <c r="H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</row>
    <row r="511">
      <c r="G511" s="29"/>
      <c r="H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</row>
    <row r="512">
      <c r="G512" s="29"/>
      <c r="H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</row>
    <row r="513">
      <c r="G513" s="29"/>
      <c r="H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</row>
    <row r="514">
      <c r="G514" s="29"/>
      <c r="H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</row>
    <row r="515">
      <c r="G515" s="29"/>
      <c r="H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</row>
    <row r="516">
      <c r="G516" s="29"/>
      <c r="H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</row>
    <row r="517">
      <c r="G517" s="29"/>
      <c r="H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</row>
    <row r="518">
      <c r="G518" s="29"/>
      <c r="H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</row>
    <row r="519">
      <c r="G519" s="29"/>
      <c r="H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</row>
    <row r="520">
      <c r="G520" s="29"/>
      <c r="H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</row>
    <row r="521">
      <c r="G521" s="29"/>
      <c r="H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</row>
    <row r="522">
      <c r="G522" s="29"/>
      <c r="H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</row>
    <row r="523">
      <c r="G523" s="29"/>
      <c r="H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</row>
    <row r="524">
      <c r="G524" s="29"/>
      <c r="H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</row>
    <row r="525">
      <c r="G525" s="29"/>
      <c r="H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</row>
    <row r="526">
      <c r="G526" s="29"/>
      <c r="H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</row>
    <row r="527">
      <c r="G527" s="29"/>
      <c r="H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</row>
    <row r="528">
      <c r="G528" s="29"/>
      <c r="H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</row>
    <row r="529">
      <c r="G529" s="29"/>
      <c r="H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</row>
    <row r="530">
      <c r="G530" s="29"/>
      <c r="H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</row>
    <row r="531">
      <c r="G531" s="29"/>
      <c r="H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</row>
    <row r="532">
      <c r="G532" s="29"/>
      <c r="H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</row>
    <row r="533">
      <c r="G533" s="29"/>
      <c r="H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</row>
    <row r="534">
      <c r="G534" s="29"/>
      <c r="H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</row>
    <row r="535">
      <c r="G535" s="29"/>
      <c r="H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</row>
    <row r="536">
      <c r="G536" s="29"/>
      <c r="H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</row>
    <row r="537">
      <c r="G537" s="29"/>
      <c r="H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</row>
    <row r="538">
      <c r="G538" s="29"/>
      <c r="H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</row>
    <row r="539">
      <c r="G539" s="29"/>
      <c r="H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</row>
    <row r="540">
      <c r="G540" s="29"/>
      <c r="H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</row>
    <row r="541">
      <c r="G541" s="29"/>
      <c r="H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</row>
    <row r="542">
      <c r="G542" s="29"/>
      <c r="H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</row>
    <row r="543">
      <c r="G543" s="29"/>
      <c r="H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</row>
    <row r="544">
      <c r="G544" s="29"/>
      <c r="H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</row>
    <row r="545">
      <c r="G545" s="29"/>
      <c r="H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</row>
    <row r="546">
      <c r="G546" s="29"/>
      <c r="H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</row>
    <row r="547">
      <c r="G547" s="29"/>
      <c r="H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</row>
    <row r="548">
      <c r="G548" s="29"/>
      <c r="H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</row>
    <row r="549">
      <c r="G549" s="29"/>
      <c r="H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</row>
    <row r="550">
      <c r="G550" s="29"/>
      <c r="H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</row>
    <row r="551">
      <c r="G551" s="29"/>
      <c r="H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</row>
    <row r="552">
      <c r="G552" s="29"/>
      <c r="H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</row>
    <row r="553">
      <c r="G553" s="29"/>
      <c r="H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</row>
    <row r="554">
      <c r="G554" s="29"/>
      <c r="H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</row>
    <row r="555">
      <c r="G555" s="29"/>
      <c r="H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</row>
    <row r="556">
      <c r="G556" s="29"/>
      <c r="H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</row>
    <row r="557">
      <c r="G557" s="29"/>
      <c r="H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</row>
    <row r="558">
      <c r="G558" s="29"/>
      <c r="H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</row>
    <row r="559">
      <c r="G559" s="29"/>
      <c r="H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</row>
    <row r="560">
      <c r="G560" s="29"/>
      <c r="H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</row>
    <row r="561">
      <c r="G561" s="29"/>
      <c r="H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</row>
    <row r="562">
      <c r="G562" s="29"/>
      <c r="H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</row>
    <row r="563">
      <c r="G563" s="29"/>
      <c r="H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</row>
    <row r="564">
      <c r="G564" s="29"/>
      <c r="H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</row>
    <row r="565">
      <c r="G565" s="29"/>
      <c r="H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</row>
    <row r="566">
      <c r="G566" s="29"/>
      <c r="H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</row>
    <row r="567">
      <c r="G567" s="29"/>
      <c r="H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</row>
    <row r="568">
      <c r="G568" s="29"/>
      <c r="H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</row>
    <row r="569">
      <c r="G569" s="29"/>
      <c r="H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</row>
    <row r="570">
      <c r="G570" s="29"/>
      <c r="H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</row>
    <row r="571">
      <c r="G571" s="29"/>
      <c r="H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</row>
    <row r="572">
      <c r="G572" s="29"/>
      <c r="H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</row>
    <row r="573">
      <c r="G573" s="29"/>
      <c r="H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</row>
    <row r="574">
      <c r="G574" s="29"/>
      <c r="H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</row>
    <row r="575">
      <c r="G575" s="29"/>
      <c r="H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</row>
    <row r="576">
      <c r="G576" s="29"/>
      <c r="H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</row>
    <row r="577">
      <c r="G577" s="29"/>
      <c r="H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</row>
    <row r="578">
      <c r="G578" s="29"/>
      <c r="H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</row>
    <row r="579">
      <c r="G579" s="29"/>
      <c r="H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</row>
    <row r="580">
      <c r="G580" s="29"/>
      <c r="H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</row>
    <row r="581">
      <c r="G581" s="29"/>
      <c r="H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</row>
    <row r="582">
      <c r="G582" s="29"/>
      <c r="H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</row>
    <row r="583">
      <c r="G583" s="29"/>
      <c r="H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</row>
    <row r="584">
      <c r="G584" s="29"/>
      <c r="H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</row>
    <row r="585">
      <c r="G585" s="29"/>
      <c r="H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</row>
    <row r="586">
      <c r="G586" s="29"/>
      <c r="H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</row>
    <row r="587">
      <c r="G587" s="29"/>
      <c r="H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</row>
    <row r="588">
      <c r="G588" s="29"/>
      <c r="H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</row>
    <row r="589">
      <c r="G589" s="29"/>
      <c r="H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</row>
    <row r="590">
      <c r="G590" s="29"/>
      <c r="H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</row>
    <row r="591">
      <c r="G591" s="29"/>
      <c r="H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</row>
    <row r="592">
      <c r="G592" s="29"/>
      <c r="H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</row>
    <row r="593">
      <c r="G593" s="29"/>
      <c r="H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</row>
    <row r="594">
      <c r="G594" s="29"/>
      <c r="H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</row>
    <row r="595">
      <c r="G595" s="29"/>
      <c r="H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</row>
    <row r="596">
      <c r="G596" s="29"/>
      <c r="H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</row>
    <row r="597">
      <c r="G597" s="29"/>
      <c r="H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</row>
    <row r="598">
      <c r="G598" s="29"/>
      <c r="H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</row>
    <row r="599">
      <c r="G599" s="29"/>
      <c r="H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</row>
    <row r="600">
      <c r="G600" s="29"/>
      <c r="H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</row>
    <row r="601">
      <c r="G601" s="29"/>
      <c r="H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</row>
    <row r="602">
      <c r="G602" s="29"/>
      <c r="H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</row>
    <row r="603">
      <c r="G603" s="29"/>
      <c r="H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</row>
    <row r="604">
      <c r="G604" s="29"/>
      <c r="H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</row>
    <row r="605">
      <c r="G605" s="29"/>
      <c r="H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</row>
    <row r="606">
      <c r="G606" s="29"/>
      <c r="H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</row>
    <row r="607">
      <c r="G607" s="29"/>
      <c r="H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</row>
    <row r="608">
      <c r="G608" s="29"/>
      <c r="H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</row>
    <row r="609">
      <c r="G609" s="29"/>
      <c r="H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</row>
    <row r="610">
      <c r="G610" s="29"/>
      <c r="H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</row>
    <row r="611">
      <c r="G611" s="29"/>
      <c r="H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</row>
    <row r="612">
      <c r="G612" s="29"/>
      <c r="H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</row>
    <row r="613">
      <c r="G613" s="29"/>
      <c r="H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</row>
    <row r="614">
      <c r="G614" s="29"/>
      <c r="H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</row>
    <row r="615">
      <c r="G615" s="29"/>
      <c r="H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</row>
    <row r="616">
      <c r="G616" s="29"/>
      <c r="H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</row>
    <row r="617">
      <c r="G617" s="29"/>
      <c r="H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</row>
    <row r="618">
      <c r="G618" s="29"/>
      <c r="H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</row>
    <row r="619">
      <c r="G619" s="29"/>
      <c r="H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</row>
    <row r="620">
      <c r="G620" s="29"/>
      <c r="H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</row>
    <row r="621">
      <c r="G621" s="29"/>
      <c r="H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</row>
    <row r="622">
      <c r="G622" s="29"/>
      <c r="H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</row>
    <row r="623">
      <c r="G623" s="29"/>
      <c r="H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</row>
    <row r="624">
      <c r="G624" s="29"/>
      <c r="H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</row>
    <row r="625">
      <c r="G625" s="29"/>
      <c r="H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</row>
    <row r="626">
      <c r="G626" s="29"/>
      <c r="H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</row>
    <row r="627">
      <c r="G627" s="29"/>
      <c r="H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</row>
    <row r="628">
      <c r="G628" s="29"/>
      <c r="H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</row>
    <row r="629">
      <c r="G629" s="29"/>
      <c r="H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</row>
    <row r="630">
      <c r="G630" s="29"/>
      <c r="H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</row>
    <row r="631">
      <c r="G631" s="29"/>
      <c r="H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</row>
    <row r="632">
      <c r="G632" s="29"/>
      <c r="H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</row>
    <row r="633">
      <c r="G633" s="29"/>
      <c r="H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</row>
    <row r="634">
      <c r="G634" s="29"/>
      <c r="H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</row>
    <row r="635">
      <c r="G635" s="29"/>
      <c r="H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</row>
    <row r="636">
      <c r="G636" s="29"/>
      <c r="H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</row>
    <row r="637">
      <c r="G637" s="29"/>
      <c r="H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</row>
    <row r="638">
      <c r="G638" s="29"/>
      <c r="H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</row>
    <row r="639">
      <c r="G639" s="29"/>
      <c r="H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</row>
    <row r="640">
      <c r="G640" s="29"/>
      <c r="H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</row>
    <row r="641">
      <c r="G641" s="29"/>
      <c r="H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</row>
    <row r="642">
      <c r="G642" s="29"/>
      <c r="H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</row>
    <row r="643">
      <c r="G643" s="29"/>
      <c r="H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</row>
    <row r="644">
      <c r="G644" s="29"/>
      <c r="H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</row>
    <row r="645">
      <c r="G645" s="29"/>
      <c r="H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</row>
    <row r="646">
      <c r="G646" s="29"/>
      <c r="H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</row>
    <row r="647">
      <c r="G647" s="29"/>
      <c r="H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</row>
    <row r="648">
      <c r="G648" s="29"/>
      <c r="H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</row>
    <row r="649">
      <c r="G649" s="29"/>
      <c r="H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</row>
    <row r="650">
      <c r="G650" s="29"/>
      <c r="H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</row>
    <row r="651">
      <c r="G651" s="29"/>
      <c r="H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</row>
    <row r="652">
      <c r="G652" s="29"/>
      <c r="H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</row>
    <row r="653">
      <c r="G653" s="29"/>
      <c r="H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</row>
    <row r="654">
      <c r="G654" s="29"/>
      <c r="H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</row>
    <row r="655">
      <c r="G655" s="29"/>
      <c r="H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</row>
    <row r="656">
      <c r="G656" s="29"/>
      <c r="H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</row>
    <row r="657">
      <c r="G657" s="29"/>
      <c r="H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</row>
    <row r="658">
      <c r="G658" s="29"/>
      <c r="H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</row>
    <row r="659">
      <c r="G659" s="29"/>
      <c r="H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</row>
    <row r="660">
      <c r="G660" s="29"/>
      <c r="H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</row>
    <row r="661">
      <c r="G661" s="29"/>
      <c r="H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</row>
    <row r="662">
      <c r="G662" s="29"/>
      <c r="H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</row>
    <row r="663">
      <c r="G663" s="29"/>
      <c r="H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</row>
    <row r="664">
      <c r="G664" s="29"/>
      <c r="H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</row>
    <row r="665">
      <c r="G665" s="29"/>
      <c r="H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</row>
    <row r="666">
      <c r="G666" s="29"/>
      <c r="H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</row>
    <row r="667">
      <c r="G667" s="29"/>
      <c r="H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</row>
    <row r="668">
      <c r="G668" s="29"/>
      <c r="H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</row>
    <row r="669">
      <c r="G669" s="29"/>
      <c r="H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</row>
    <row r="670">
      <c r="G670" s="29"/>
      <c r="H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</row>
    <row r="671">
      <c r="G671" s="29"/>
      <c r="H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</row>
    <row r="672">
      <c r="G672" s="29"/>
      <c r="H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</row>
    <row r="673">
      <c r="G673" s="29"/>
      <c r="H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</row>
    <row r="674">
      <c r="G674" s="29"/>
      <c r="H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</row>
    <row r="675">
      <c r="G675" s="29"/>
      <c r="H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</row>
    <row r="676">
      <c r="G676" s="29"/>
      <c r="H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</row>
    <row r="677">
      <c r="G677" s="29"/>
      <c r="H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</row>
    <row r="678">
      <c r="G678" s="29"/>
      <c r="H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</row>
    <row r="679">
      <c r="G679" s="29"/>
      <c r="H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</row>
    <row r="680">
      <c r="G680" s="29"/>
      <c r="H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</row>
    <row r="681">
      <c r="G681" s="29"/>
      <c r="H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</row>
    <row r="682">
      <c r="G682" s="29"/>
      <c r="H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</row>
    <row r="683">
      <c r="G683" s="29"/>
      <c r="H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</row>
    <row r="684">
      <c r="G684" s="29"/>
      <c r="H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</row>
    <row r="685">
      <c r="G685" s="29"/>
      <c r="H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</row>
    <row r="686">
      <c r="G686" s="29"/>
      <c r="H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</row>
    <row r="687">
      <c r="G687" s="29"/>
      <c r="H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</row>
    <row r="688">
      <c r="G688" s="29"/>
      <c r="H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</row>
    <row r="689">
      <c r="G689" s="29"/>
      <c r="H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</row>
    <row r="690">
      <c r="G690" s="29"/>
      <c r="H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</row>
    <row r="691">
      <c r="G691" s="29"/>
      <c r="H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</row>
    <row r="692">
      <c r="G692" s="29"/>
      <c r="H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</row>
    <row r="693">
      <c r="G693" s="29"/>
      <c r="H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</row>
    <row r="694">
      <c r="G694" s="29"/>
      <c r="H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</row>
    <row r="695">
      <c r="G695" s="29"/>
      <c r="H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</row>
    <row r="696">
      <c r="G696" s="29"/>
      <c r="H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</row>
    <row r="697">
      <c r="G697" s="29"/>
      <c r="H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</row>
    <row r="698">
      <c r="G698" s="29"/>
      <c r="H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</row>
    <row r="699">
      <c r="G699" s="29"/>
      <c r="H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</row>
    <row r="700">
      <c r="G700" s="29"/>
      <c r="H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</row>
    <row r="701">
      <c r="G701" s="29"/>
      <c r="H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</row>
    <row r="702">
      <c r="G702" s="29"/>
      <c r="H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</row>
    <row r="703">
      <c r="G703" s="29"/>
      <c r="H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</row>
    <row r="704">
      <c r="G704" s="29"/>
      <c r="H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</row>
    <row r="705">
      <c r="G705" s="29"/>
      <c r="H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</row>
    <row r="706">
      <c r="G706" s="29"/>
      <c r="H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</row>
    <row r="707">
      <c r="G707" s="29"/>
      <c r="H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</row>
    <row r="708">
      <c r="G708" s="29"/>
      <c r="H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</row>
    <row r="709">
      <c r="G709" s="29"/>
      <c r="H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</row>
    <row r="710">
      <c r="G710" s="29"/>
      <c r="H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</row>
    <row r="711">
      <c r="G711" s="29"/>
      <c r="H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</row>
    <row r="712">
      <c r="G712" s="29"/>
      <c r="H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</row>
    <row r="713">
      <c r="G713" s="29"/>
      <c r="H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</row>
    <row r="714">
      <c r="G714" s="29"/>
      <c r="H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</row>
    <row r="715">
      <c r="G715" s="29"/>
      <c r="H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</row>
    <row r="716">
      <c r="G716" s="29"/>
      <c r="H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</row>
    <row r="717">
      <c r="G717" s="29"/>
      <c r="H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</row>
    <row r="718">
      <c r="G718" s="29"/>
      <c r="H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</row>
    <row r="719">
      <c r="G719" s="29"/>
      <c r="H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</row>
    <row r="720">
      <c r="G720" s="29"/>
      <c r="H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</row>
    <row r="721">
      <c r="G721" s="29"/>
      <c r="H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</row>
    <row r="722">
      <c r="G722" s="29"/>
      <c r="H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</row>
    <row r="723">
      <c r="G723" s="29"/>
      <c r="H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</row>
    <row r="724">
      <c r="G724" s="29"/>
      <c r="H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</row>
    <row r="725">
      <c r="G725" s="29"/>
      <c r="H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</row>
    <row r="726">
      <c r="G726" s="29"/>
      <c r="H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</row>
    <row r="727">
      <c r="G727" s="29"/>
      <c r="H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</row>
    <row r="728">
      <c r="G728" s="29"/>
      <c r="H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</row>
    <row r="729">
      <c r="G729" s="29"/>
      <c r="H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</row>
    <row r="730">
      <c r="G730" s="29"/>
      <c r="H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</row>
    <row r="731">
      <c r="G731" s="29"/>
      <c r="H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</row>
    <row r="732">
      <c r="G732" s="29"/>
      <c r="H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</row>
    <row r="733">
      <c r="G733" s="29"/>
      <c r="H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</row>
    <row r="734">
      <c r="G734" s="29"/>
      <c r="H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</row>
    <row r="735">
      <c r="G735" s="29"/>
      <c r="H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</row>
    <row r="736">
      <c r="G736" s="29"/>
      <c r="H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</row>
    <row r="737">
      <c r="G737" s="29"/>
      <c r="H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</row>
    <row r="738">
      <c r="G738" s="29"/>
      <c r="H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</row>
    <row r="739">
      <c r="G739" s="29"/>
      <c r="H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</row>
    <row r="740">
      <c r="G740" s="29"/>
      <c r="H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</row>
    <row r="741">
      <c r="G741" s="29"/>
      <c r="H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</row>
    <row r="742">
      <c r="G742" s="29"/>
      <c r="H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</row>
    <row r="743">
      <c r="G743" s="29"/>
      <c r="H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</row>
    <row r="744">
      <c r="G744" s="29"/>
      <c r="H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</row>
    <row r="745">
      <c r="G745" s="29"/>
      <c r="H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</row>
    <row r="746">
      <c r="G746" s="29"/>
      <c r="H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</row>
    <row r="747">
      <c r="G747" s="29"/>
      <c r="H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</row>
    <row r="748">
      <c r="G748" s="29"/>
      <c r="H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</row>
    <row r="749">
      <c r="G749" s="29"/>
      <c r="H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</row>
    <row r="750">
      <c r="G750" s="29"/>
      <c r="H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</row>
    <row r="751">
      <c r="G751" s="29"/>
      <c r="H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</row>
    <row r="752">
      <c r="G752" s="29"/>
      <c r="H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</row>
    <row r="753">
      <c r="G753" s="29"/>
      <c r="H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</row>
    <row r="754">
      <c r="G754" s="29"/>
      <c r="H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</row>
    <row r="755">
      <c r="G755" s="29"/>
      <c r="H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</row>
    <row r="756">
      <c r="G756" s="29"/>
      <c r="H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</row>
    <row r="757">
      <c r="G757" s="29"/>
      <c r="H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</row>
    <row r="758">
      <c r="G758" s="29"/>
      <c r="H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</row>
    <row r="759">
      <c r="G759" s="29"/>
      <c r="H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</row>
    <row r="760">
      <c r="G760" s="29"/>
      <c r="H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</row>
    <row r="761">
      <c r="G761" s="29"/>
      <c r="H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</row>
    <row r="762">
      <c r="G762" s="29"/>
      <c r="H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</row>
    <row r="763">
      <c r="G763" s="29"/>
      <c r="H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</row>
    <row r="764">
      <c r="G764" s="29"/>
      <c r="H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</row>
    <row r="765">
      <c r="G765" s="29"/>
      <c r="H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</row>
    <row r="766">
      <c r="G766" s="29"/>
      <c r="H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</row>
    <row r="767">
      <c r="G767" s="29"/>
      <c r="H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</row>
    <row r="768">
      <c r="G768" s="29"/>
      <c r="H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</row>
    <row r="769">
      <c r="G769" s="29"/>
      <c r="H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</row>
    <row r="770">
      <c r="G770" s="29"/>
      <c r="H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</row>
    <row r="771">
      <c r="G771" s="29"/>
      <c r="H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</row>
    <row r="772">
      <c r="G772" s="29"/>
      <c r="H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</row>
    <row r="773">
      <c r="G773" s="29"/>
      <c r="H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</row>
    <row r="774">
      <c r="G774" s="29"/>
      <c r="H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</row>
    <row r="775">
      <c r="G775" s="29"/>
      <c r="H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</row>
    <row r="776">
      <c r="G776" s="29"/>
      <c r="H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</row>
    <row r="777">
      <c r="G777" s="29"/>
      <c r="H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</row>
    <row r="778">
      <c r="G778" s="29"/>
      <c r="H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</row>
    <row r="779">
      <c r="G779" s="29"/>
      <c r="H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</row>
    <row r="780">
      <c r="G780" s="29"/>
      <c r="H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</row>
    <row r="781">
      <c r="G781" s="29"/>
      <c r="H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</row>
    <row r="782">
      <c r="G782" s="29"/>
      <c r="H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</row>
    <row r="783">
      <c r="G783" s="29"/>
      <c r="H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</row>
    <row r="784">
      <c r="G784" s="29"/>
      <c r="H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</row>
    <row r="785">
      <c r="G785" s="29"/>
      <c r="H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</row>
    <row r="786">
      <c r="G786" s="29"/>
      <c r="H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</row>
    <row r="787">
      <c r="G787" s="29"/>
      <c r="H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</row>
    <row r="788">
      <c r="G788" s="29"/>
      <c r="H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</row>
    <row r="789">
      <c r="G789" s="29"/>
      <c r="H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</row>
    <row r="790">
      <c r="G790" s="29"/>
      <c r="H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</row>
    <row r="791">
      <c r="G791" s="29"/>
      <c r="H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</row>
    <row r="792">
      <c r="G792" s="29"/>
      <c r="H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</row>
    <row r="793">
      <c r="G793" s="29"/>
      <c r="H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</row>
    <row r="794">
      <c r="G794" s="29"/>
      <c r="H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</row>
    <row r="795">
      <c r="G795" s="29"/>
      <c r="H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</row>
    <row r="796">
      <c r="G796" s="29"/>
      <c r="H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</row>
    <row r="797">
      <c r="G797" s="29"/>
      <c r="H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</row>
    <row r="798">
      <c r="G798" s="29"/>
      <c r="H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</row>
    <row r="799">
      <c r="G799" s="29"/>
      <c r="H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</row>
    <row r="800">
      <c r="G800" s="29"/>
      <c r="H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</row>
    <row r="801">
      <c r="G801" s="29"/>
      <c r="H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</row>
    <row r="802">
      <c r="G802" s="29"/>
      <c r="H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</row>
    <row r="803">
      <c r="G803" s="29"/>
      <c r="H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</row>
    <row r="804">
      <c r="G804" s="29"/>
      <c r="H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</row>
    <row r="805">
      <c r="G805" s="29"/>
      <c r="H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</row>
    <row r="806">
      <c r="G806" s="29"/>
      <c r="H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</row>
    <row r="807">
      <c r="G807" s="29"/>
      <c r="H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</row>
    <row r="808">
      <c r="G808" s="29"/>
      <c r="H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</row>
    <row r="809">
      <c r="G809" s="29"/>
      <c r="H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</row>
    <row r="810">
      <c r="G810" s="29"/>
      <c r="H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</row>
    <row r="811">
      <c r="G811" s="29"/>
      <c r="H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</row>
    <row r="812">
      <c r="G812" s="29"/>
      <c r="H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</row>
    <row r="813">
      <c r="G813" s="29"/>
      <c r="H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</row>
    <row r="814">
      <c r="G814" s="29"/>
      <c r="H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</row>
    <row r="815">
      <c r="G815" s="29"/>
      <c r="H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</row>
    <row r="816">
      <c r="G816" s="29"/>
      <c r="H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</row>
    <row r="817">
      <c r="G817" s="29"/>
      <c r="H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</row>
    <row r="818">
      <c r="G818" s="29"/>
      <c r="H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</row>
    <row r="819">
      <c r="G819" s="29"/>
      <c r="H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</row>
    <row r="820">
      <c r="G820" s="29"/>
      <c r="H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</row>
    <row r="821">
      <c r="G821" s="29"/>
      <c r="H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</row>
    <row r="822">
      <c r="G822" s="29"/>
      <c r="H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</row>
    <row r="823">
      <c r="G823" s="29"/>
      <c r="H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</row>
    <row r="824">
      <c r="G824" s="29"/>
      <c r="H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</row>
    <row r="825">
      <c r="G825" s="29"/>
      <c r="H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</row>
    <row r="826">
      <c r="G826" s="29"/>
      <c r="H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</row>
    <row r="827">
      <c r="G827" s="29"/>
      <c r="H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</row>
    <row r="828">
      <c r="G828" s="29"/>
      <c r="H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</row>
    <row r="829">
      <c r="G829" s="29"/>
      <c r="H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</row>
    <row r="830">
      <c r="G830" s="29"/>
      <c r="H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</row>
    <row r="831">
      <c r="G831" s="29"/>
      <c r="H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</row>
    <row r="832">
      <c r="G832" s="29"/>
      <c r="H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</row>
    <row r="833">
      <c r="G833" s="29"/>
      <c r="H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</row>
    <row r="834">
      <c r="G834" s="29"/>
      <c r="H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</row>
    <row r="835">
      <c r="G835" s="29"/>
      <c r="H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</row>
    <row r="836">
      <c r="G836" s="29"/>
      <c r="H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</row>
    <row r="837">
      <c r="G837" s="29"/>
      <c r="H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</row>
    <row r="838">
      <c r="G838" s="29"/>
      <c r="H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</row>
    <row r="839">
      <c r="G839" s="29"/>
      <c r="H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</row>
    <row r="840">
      <c r="G840" s="29"/>
      <c r="H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</row>
    <row r="841">
      <c r="G841" s="29"/>
      <c r="H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</row>
    <row r="842">
      <c r="G842" s="29"/>
      <c r="H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</row>
    <row r="843">
      <c r="G843" s="29"/>
      <c r="H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</row>
    <row r="844">
      <c r="G844" s="29"/>
      <c r="H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</row>
    <row r="845">
      <c r="G845" s="29"/>
      <c r="H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</row>
    <row r="846">
      <c r="G846" s="29"/>
      <c r="H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</row>
    <row r="847">
      <c r="G847" s="29"/>
      <c r="H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</row>
    <row r="848">
      <c r="G848" s="29"/>
      <c r="H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</row>
    <row r="849">
      <c r="G849" s="29"/>
      <c r="H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</row>
    <row r="850">
      <c r="G850" s="29"/>
      <c r="H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</row>
    <row r="851">
      <c r="G851" s="29"/>
      <c r="H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</row>
    <row r="852">
      <c r="G852" s="29"/>
      <c r="H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</row>
    <row r="853">
      <c r="G853" s="29"/>
      <c r="H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</row>
    <row r="854">
      <c r="G854" s="29"/>
      <c r="H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</row>
    <row r="855">
      <c r="G855" s="29"/>
      <c r="H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</row>
    <row r="856">
      <c r="G856" s="29"/>
      <c r="H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</row>
    <row r="857">
      <c r="G857" s="29"/>
      <c r="H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</row>
    <row r="858">
      <c r="G858" s="29"/>
      <c r="H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</row>
    <row r="859">
      <c r="G859" s="29"/>
      <c r="H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</row>
    <row r="860">
      <c r="G860" s="29"/>
      <c r="H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</row>
    <row r="861">
      <c r="G861" s="29"/>
      <c r="H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</row>
    <row r="862">
      <c r="G862" s="29"/>
      <c r="H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</row>
    <row r="863">
      <c r="G863" s="29"/>
      <c r="H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</row>
    <row r="864">
      <c r="G864" s="29"/>
      <c r="H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</row>
    <row r="865">
      <c r="G865" s="29"/>
      <c r="H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</row>
    <row r="866">
      <c r="G866" s="29"/>
      <c r="H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</row>
    <row r="867">
      <c r="G867" s="29"/>
      <c r="H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</row>
    <row r="868">
      <c r="G868" s="29"/>
      <c r="H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</row>
    <row r="869">
      <c r="G869" s="29"/>
      <c r="H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</row>
    <row r="870">
      <c r="G870" s="29"/>
      <c r="H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</row>
    <row r="871">
      <c r="G871" s="29"/>
      <c r="H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</row>
    <row r="872">
      <c r="G872" s="29"/>
      <c r="H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</row>
    <row r="873">
      <c r="G873" s="29"/>
      <c r="H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</row>
    <row r="874">
      <c r="G874" s="29"/>
      <c r="H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</row>
    <row r="875">
      <c r="G875" s="29"/>
      <c r="H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</row>
    <row r="876">
      <c r="G876" s="29"/>
      <c r="H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</row>
    <row r="877">
      <c r="G877" s="29"/>
      <c r="H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</row>
    <row r="878">
      <c r="G878" s="29"/>
      <c r="H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</row>
    <row r="879">
      <c r="G879" s="29"/>
      <c r="H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</row>
    <row r="880">
      <c r="G880" s="29"/>
      <c r="H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</row>
    <row r="881">
      <c r="G881" s="29"/>
      <c r="H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</row>
    <row r="882">
      <c r="G882" s="29"/>
      <c r="H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</row>
    <row r="883">
      <c r="G883" s="29"/>
      <c r="H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</row>
    <row r="884">
      <c r="G884" s="29"/>
      <c r="H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</row>
    <row r="885">
      <c r="G885" s="29"/>
      <c r="H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</row>
    <row r="886">
      <c r="G886" s="29"/>
      <c r="H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</row>
    <row r="887">
      <c r="G887" s="29"/>
      <c r="H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</row>
    <row r="888">
      <c r="G888" s="29"/>
      <c r="H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</row>
    <row r="889">
      <c r="G889" s="29"/>
      <c r="H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</row>
    <row r="890">
      <c r="G890" s="29"/>
      <c r="H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</row>
    <row r="891">
      <c r="G891" s="29"/>
      <c r="H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</row>
    <row r="892">
      <c r="G892" s="29"/>
      <c r="H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</row>
    <row r="893">
      <c r="G893" s="29"/>
      <c r="H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</row>
    <row r="894">
      <c r="G894" s="29"/>
      <c r="H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</row>
    <row r="895">
      <c r="G895" s="29"/>
      <c r="H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</row>
    <row r="896">
      <c r="G896" s="29"/>
      <c r="H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</row>
    <row r="897">
      <c r="G897" s="29"/>
      <c r="H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</row>
    <row r="898">
      <c r="G898" s="29"/>
      <c r="H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</row>
    <row r="899">
      <c r="G899" s="29"/>
      <c r="H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</row>
    <row r="900">
      <c r="G900" s="29"/>
      <c r="H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</row>
    <row r="901">
      <c r="G901" s="29"/>
      <c r="H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</row>
    <row r="902">
      <c r="G902" s="29"/>
      <c r="H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</row>
    <row r="903">
      <c r="G903" s="29"/>
      <c r="H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</row>
    <row r="904">
      <c r="G904" s="29"/>
      <c r="H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</row>
    <row r="905">
      <c r="G905" s="29"/>
      <c r="H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</row>
    <row r="906">
      <c r="G906" s="29"/>
      <c r="H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</row>
    <row r="907">
      <c r="G907" s="29"/>
      <c r="H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</row>
    <row r="908">
      <c r="G908" s="29"/>
      <c r="H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</row>
    <row r="909">
      <c r="G909" s="29"/>
      <c r="H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</row>
    <row r="910">
      <c r="G910" s="29"/>
      <c r="H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</row>
    <row r="911">
      <c r="G911" s="29"/>
      <c r="H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</row>
    <row r="912">
      <c r="G912" s="29"/>
      <c r="H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</row>
    <row r="913">
      <c r="G913" s="29"/>
      <c r="H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</row>
    <row r="914">
      <c r="G914" s="29"/>
      <c r="H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</row>
    <row r="915">
      <c r="G915" s="29"/>
      <c r="H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</row>
    <row r="916">
      <c r="G916" s="29"/>
      <c r="H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</row>
    <row r="917">
      <c r="G917" s="29"/>
      <c r="H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</row>
    <row r="918">
      <c r="G918" s="29"/>
      <c r="H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</row>
    <row r="919">
      <c r="G919" s="29"/>
      <c r="H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</row>
    <row r="920">
      <c r="G920" s="29"/>
      <c r="H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</row>
    <row r="921">
      <c r="G921" s="29"/>
      <c r="H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</row>
    <row r="922">
      <c r="G922" s="29"/>
      <c r="H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</row>
    <row r="923">
      <c r="G923" s="29"/>
      <c r="H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</row>
    <row r="924">
      <c r="G924" s="29"/>
      <c r="H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</row>
    <row r="925">
      <c r="G925" s="29"/>
      <c r="H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</row>
    <row r="926">
      <c r="G926" s="29"/>
      <c r="H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</row>
    <row r="927">
      <c r="G927" s="29"/>
      <c r="H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</row>
    <row r="928">
      <c r="G928" s="29"/>
      <c r="H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</row>
    <row r="929">
      <c r="G929" s="29"/>
      <c r="H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</row>
    <row r="930">
      <c r="G930" s="29"/>
      <c r="H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</row>
    <row r="931">
      <c r="G931" s="29"/>
      <c r="H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</row>
    <row r="932">
      <c r="G932" s="29"/>
      <c r="H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</row>
    <row r="933">
      <c r="G933" s="29"/>
      <c r="H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</row>
    <row r="934">
      <c r="G934" s="29"/>
      <c r="H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</row>
    <row r="935">
      <c r="G935" s="29"/>
      <c r="H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</row>
    <row r="936">
      <c r="G936" s="29"/>
      <c r="H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</row>
    <row r="937">
      <c r="G937" s="29"/>
      <c r="H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</row>
    <row r="938">
      <c r="G938" s="29"/>
      <c r="H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</row>
    <row r="939">
      <c r="G939" s="29"/>
      <c r="H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</row>
    <row r="940">
      <c r="G940" s="29"/>
      <c r="H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</row>
    <row r="941">
      <c r="G941" s="29"/>
      <c r="H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</row>
    <row r="942">
      <c r="G942" s="29"/>
      <c r="H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</row>
    <row r="943">
      <c r="G943" s="29"/>
      <c r="H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</row>
    <row r="944">
      <c r="G944" s="29"/>
      <c r="H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</row>
    <row r="945">
      <c r="G945" s="29"/>
      <c r="H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</row>
    <row r="946">
      <c r="G946" s="29"/>
      <c r="H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</row>
    <row r="947">
      <c r="G947" s="29"/>
      <c r="H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</row>
    <row r="948">
      <c r="G948" s="29"/>
      <c r="H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</row>
    <row r="949">
      <c r="G949" s="29"/>
      <c r="H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</row>
    <row r="950">
      <c r="G950" s="29"/>
      <c r="H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</row>
    <row r="951">
      <c r="G951" s="29"/>
      <c r="H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</row>
    <row r="952">
      <c r="G952" s="29"/>
      <c r="H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</row>
    <row r="953">
      <c r="G953" s="29"/>
      <c r="H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</row>
    <row r="954">
      <c r="G954" s="29"/>
      <c r="H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</row>
    <row r="955">
      <c r="G955" s="29"/>
      <c r="H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</row>
    <row r="956">
      <c r="G956" s="29"/>
      <c r="H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</row>
    <row r="957">
      <c r="G957" s="29"/>
      <c r="H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</row>
    <row r="958">
      <c r="G958" s="29"/>
      <c r="H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</row>
    <row r="959">
      <c r="G959" s="29"/>
      <c r="H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</row>
    <row r="960">
      <c r="G960" s="29"/>
      <c r="H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</row>
    <row r="961">
      <c r="G961" s="29"/>
      <c r="H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</row>
    <row r="962">
      <c r="G962" s="29"/>
      <c r="H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</row>
    <row r="963">
      <c r="G963" s="29"/>
      <c r="H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</row>
    <row r="964">
      <c r="G964" s="29"/>
      <c r="H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</row>
    <row r="965">
      <c r="G965" s="29"/>
      <c r="H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</row>
    <row r="966">
      <c r="G966" s="29"/>
      <c r="H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</row>
    <row r="967">
      <c r="G967" s="29"/>
      <c r="H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</row>
    <row r="968">
      <c r="G968" s="29"/>
      <c r="H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</row>
    <row r="969">
      <c r="G969" s="29"/>
      <c r="H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</row>
    <row r="970">
      <c r="G970" s="29"/>
      <c r="H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</row>
    <row r="971">
      <c r="G971" s="29"/>
      <c r="H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</row>
    <row r="972">
      <c r="G972" s="29"/>
      <c r="H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</row>
    <row r="973">
      <c r="G973" s="29"/>
      <c r="H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</row>
    <row r="974">
      <c r="G974" s="29"/>
      <c r="H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</row>
    <row r="975">
      <c r="G975" s="29"/>
      <c r="H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</row>
    <row r="976">
      <c r="G976" s="29"/>
      <c r="H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</row>
    <row r="977">
      <c r="G977" s="29"/>
      <c r="H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</row>
    <row r="978">
      <c r="G978" s="29"/>
      <c r="H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</row>
    <row r="979">
      <c r="G979" s="29"/>
      <c r="H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</row>
    <row r="980">
      <c r="G980" s="29"/>
      <c r="H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</row>
    <row r="981">
      <c r="G981" s="29"/>
      <c r="H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</row>
    <row r="982">
      <c r="G982" s="29"/>
      <c r="H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</row>
    <row r="983">
      <c r="G983" s="29"/>
      <c r="H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</row>
    <row r="984">
      <c r="G984" s="29"/>
      <c r="H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</row>
    <row r="985">
      <c r="G985" s="29"/>
      <c r="H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</row>
    <row r="986">
      <c r="G986" s="29"/>
      <c r="H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</row>
    <row r="987">
      <c r="G987" s="29"/>
      <c r="H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</row>
    <row r="988">
      <c r="G988" s="29"/>
      <c r="H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</row>
    <row r="989">
      <c r="G989" s="29"/>
      <c r="H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</row>
    <row r="990">
      <c r="G990" s="29"/>
      <c r="H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</row>
    <row r="991">
      <c r="G991" s="29"/>
      <c r="H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</row>
    <row r="992">
      <c r="G992" s="29"/>
      <c r="H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</row>
    <row r="993">
      <c r="G993" s="29"/>
      <c r="H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</row>
    <row r="994">
      <c r="G994" s="29"/>
      <c r="H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</row>
    <row r="995">
      <c r="G995" s="29"/>
      <c r="H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</row>
    <row r="996">
      <c r="G996" s="29"/>
      <c r="H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</row>
    <row r="997">
      <c r="G997" s="29"/>
      <c r="H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</row>
    <row r="998">
      <c r="G998" s="29"/>
      <c r="H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</row>
    <row r="999">
      <c r="G999" s="29"/>
      <c r="H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</row>
    <row r="1000">
      <c r="G1000" s="29"/>
      <c r="H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</row>
    <row r="1001">
      <c r="G1001" s="29"/>
      <c r="H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9.63"/>
    <col customWidth="1" min="2" max="3" width="9.0"/>
    <col customWidth="1" min="4" max="4" width="18.13"/>
    <col customWidth="1" min="5" max="5" width="8.5"/>
    <col customWidth="1" min="6" max="6" width="7.5"/>
    <col customWidth="1" min="7" max="7" width="6.5"/>
    <col customWidth="1" min="8" max="8" width="8.5"/>
    <col customWidth="1" min="9" max="9" width="6.88"/>
    <col customWidth="1" min="10" max="10" width="7.25"/>
    <col customWidth="1" min="11" max="11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5">
        <v>42064.0</v>
      </c>
      <c r="B2" s="6" t="s">
        <v>20</v>
      </c>
      <c r="C2" s="26">
        <v>46.0</v>
      </c>
      <c r="D2" s="6" t="s">
        <v>15</v>
      </c>
      <c r="E2" s="6" t="s">
        <v>13</v>
      </c>
      <c r="F2" s="7">
        <v>0.2604166666666667</v>
      </c>
      <c r="G2" s="6">
        <v>8.0</v>
      </c>
      <c r="I2" s="6">
        <v>0.0</v>
      </c>
      <c r="J2" s="6">
        <v>0.0</v>
      </c>
    </row>
    <row r="3">
      <c r="A3" s="5">
        <v>42065.0</v>
      </c>
      <c r="B3" s="6" t="s">
        <v>18</v>
      </c>
      <c r="C3" s="26">
        <v>47.0</v>
      </c>
      <c r="D3" s="6" t="s">
        <v>15</v>
      </c>
      <c r="E3" s="6" t="s">
        <v>13</v>
      </c>
      <c r="F3" s="7">
        <v>0.28125</v>
      </c>
      <c r="G3" s="7">
        <v>0.2916666666666667</v>
      </c>
      <c r="H3" s="6" t="s">
        <v>116</v>
      </c>
      <c r="I3" s="6">
        <v>0.0</v>
      </c>
      <c r="J3" s="6">
        <v>0.0</v>
      </c>
    </row>
    <row r="4">
      <c r="A4" s="5">
        <v>42066.0</v>
      </c>
      <c r="B4" s="6" t="s">
        <v>31</v>
      </c>
      <c r="C4" s="26">
        <v>43.0</v>
      </c>
      <c r="D4" s="6" t="s">
        <v>15</v>
      </c>
      <c r="E4" s="6" t="s">
        <v>13</v>
      </c>
      <c r="F4" s="7">
        <v>0.2916666666666667</v>
      </c>
      <c r="I4" s="6">
        <v>0.0</v>
      </c>
      <c r="J4" s="6">
        <v>0.0</v>
      </c>
    </row>
    <row r="5">
      <c r="A5" s="5">
        <v>42067.0</v>
      </c>
      <c r="C5" s="26" t="s">
        <v>127</v>
      </c>
      <c r="D5" s="6" t="s">
        <v>49</v>
      </c>
      <c r="I5" s="6">
        <v>0.0</v>
      </c>
      <c r="J5" s="6">
        <v>0.0</v>
      </c>
      <c r="K5" s="6" t="s">
        <v>23</v>
      </c>
    </row>
    <row r="6">
      <c r="A6" s="5">
        <v>42068.0</v>
      </c>
      <c r="C6" s="26" t="s">
        <v>128</v>
      </c>
      <c r="D6" s="6" t="s">
        <v>49</v>
      </c>
      <c r="I6" s="6">
        <v>0.0</v>
      </c>
      <c r="J6" s="6">
        <v>0.0</v>
      </c>
      <c r="K6" s="6" t="s">
        <v>23</v>
      </c>
    </row>
    <row r="7">
      <c r="A7" s="5">
        <v>42069.0</v>
      </c>
      <c r="B7" s="6" t="s">
        <v>45</v>
      </c>
      <c r="C7" s="26">
        <v>54.0</v>
      </c>
      <c r="E7" s="6" t="s">
        <v>13</v>
      </c>
      <c r="F7" s="7">
        <v>0.2777777777777778</v>
      </c>
      <c r="I7" s="6">
        <v>0.0</v>
      </c>
      <c r="J7" s="6">
        <v>0.0</v>
      </c>
    </row>
    <row r="8">
      <c r="A8" s="5">
        <v>42070.0</v>
      </c>
      <c r="B8" s="6" t="s">
        <v>31</v>
      </c>
      <c r="C8" s="26">
        <v>50.0</v>
      </c>
      <c r="D8" s="6" t="s">
        <v>15</v>
      </c>
      <c r="E8" s="6" t="s">
        <v>13</v>
      </c>
      <c r="F8" s="7">
        <v>0.2916666666666667</v>
      </c>
      <c r="I8" s="6">
        <v>0.0</v>
      </c>
      <c r="J8" s="6">
        <v>0.0</v>
      </c>
    </row>
    <row r="9">
      <c r="A9" s="5">
        <v>42071.0</v>
      </c>
      <c r="B9" s="6" t="s">
        <v>20</v>
      </c>
      <c r="C9" s="26">
        <v>50.0</v>
      </c>
      <c r="D9" s="6" t="s">
        <v>15</v>
      </c>
      <c r="E9" s="6" t="s">
        <v>13</v>
      </c>
      <c r="F9" s="7">
        <v>0.3333333333333333</v>
      </c>
      <c r="I9" s="6">
        <v>0.0</v>
      </c>
      <c r="J9" s="6">
        <v>0.0</v>
      </c>
    </row>
    <row r="10">
      <c r="A10" s="5">
        <v>42072.0</v>
      </c>
      <c r="B10" s="6" t="s">
        <v>18</v>
      </c>
      <c r="C10" s="26">
        <v>50.0</v>
      </c>
      <c r="D10" s="6" t="s">
        <v>15</v>
      </c>
      <c r="E10" s="6" t="s">
        <v>13</v>
      </c>
      <c r="F10" s="7">
        <v>0.34375</v>
      </c>
      <c r="I10" s="6">
        <v>0.0</v>
      </c>
      <c r="J10" s="6">
        <v>0.0</v>
      </c>
    </row>
    <row r="11">
      <c r="A11" s="5">
        <v>42073.0</v>
      </c>
      <c r="B11" s="6" t="s">
        <v>31</v>
      </c>
      <c r="C11" s="26">
        <v>55.0</v>
      </c>
      <c r="D11" s="6" t="s">
        <v>15</v>
      </c>
      <c r="E11" s="6" t="s">
        <v>13</v>
      </c>
      <c r="F11" s="6" t="s">
        <v>129</v>
      </c>
      <c r="I11" s="6">
        <v>0.0</v>
      </c>
      <c r="J11" s="6">
        <v>0.0</v>
      </c>
    </row>
    <row r="12">
      <c r="A12" s="9">
        <v>42074.0</v>
      </c>
      <c r="B12" s="11" t="s">
        <v>94</v>
      </c>
      <c r="C12" s="55" t="s">
        <v>130</v>
      </c>
      <c r="D12" s="11" t="s">
        <v>131</v>
      </c>
      <c r="E12" s="11" t="s">
        <v>13</v>
      </c>
      <c r="F12" s="15">
        <v>0.8215277777777777</v>
      </c>
      <c r="G12" s="15">
        <v>0.041666666666666664</v>
      </c>
      <c r="H12" s="10"/>
      <c r="I12" s="11">
        <v>2.0</v>
      </c>
      <c r="J12" s="11">
        <v>206.0</v>
      </c>
      <c r="K12" s="11" t="s">
        <v>132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>
      <c r="A13" s="5">
        <v>42075.0</v>
      </c>
      <c r="B13" s="6" t="s">
        <v>74</v>
      </c>
      <c r="C13" s="26">
        <v>55.0</v>
      </c>
      <c r="D13" s="6" t="s">
        <v>15</v>
      </c>
      <c r="E13" s="6" t="s">
        <v>13</v>
      </c>
      <c r="I13" s="6">
        <v>0.0</v>
      </c>
      <c r="J13" s="6">
        <v>0.0</v>
      </c>
    </row>
    <row r="14">
      <c r="A14" s="5">
        <v>42076.0</v>
      </c>
      <c r="B14" s="6" t="s">
        <v>45</v>
      </c>
      <c r="C14" s="26">
        <v>55.0</v>
      </c>
      <c r="D14" s="6" t="s">
        <v>15</v>
      </c>
      <c r="E14" s="6" t="s">
        <v>13</v>
      </c>
      <c r="I14" s="6">
        <v>0.0</v>
      </c>
      <c r="J14" s="6">
        <v>0.0</v>
      </c>
    </row>
    <row r="15">
      <c r="A15" s="5">
        <v>42077.0</v>
      </c>
      <c r="B15" s="6" t="s">
        <v>94</v>
      </c>
      <c r="C15" s="56"/>
      <c r="D15" s="18"/>
      <c r="E15" s="6" t="s">
        <v>13</v>
      </c>
      <c r="I15" s="18"/>
      <c r="J15" s="17">
        <v>18.0</v>
      </c>
    </row>
    <row r="16">
      <c r="A16" s="5">
        <v>42078.0</v>
      </c>
      <c r="B16" s="6" t="s">
        <v>133</v>
      </c>
      <c r="C16" s="26">
        <v>46.0</v>
      </c>
      <c r="D16" s="6" t="s">
        <v>134</v>
      </c>
      <c r="E16" s="6" t="s">
        <v>13</v>
      </c>
      <c r="F16" s="7">
        <v>0.3611111111111111</v>
      </c>
      <c r="G16" s="7">
        <v>0.4166666666666667</v>
      </c>
      <c r="I16" s="6">
        <v>0.0</v>
      </c>
      <c r="J16" s="6">
        <v>1.0</v>
      </c>
    </row>
    <row r="17">
      <c r="A17" s="5">
        <v>42079.0</v>
      </c>
      <c r="C17" s="26" t="s">
        <v>135</v>
      </c>
      <c r="D17" s="6" t="s">
        <v>49</v>
      </c>
      <c r="K17" s="6" t="s">
        <v>23</v>
      </c>
    </row>
    <row r="18">
      <c r="A18" s="5">
        <v>42080.0</v>
      </c>
      <c r="B18" s="6" t="s">
        <v>31</v>
      </c>
      <c r="C18" s="26">
        <v>53.0</v>
      </c>
      <c r="D18" s="6" t="s">
        <v>30</v>
      </c>
      <c r="E18" s="6" t="s">
        <v>13</v>
      </c>
      <c r="F18" s="7">
        <v>0.3125</v>
      </c>
      <c r="G18" s="7">
        <v>0.3333333333333333</v>
      </c>
      <c r="H18" s="7">
        <v>0.40625</v>
      </c>
      <c r="I18" s="6">
        <v>0.0</v>
      </c>
      <c r="J18" s="6">
        <v>2.0</v>
      </c>
      <c r="K18" s="6" t="s">
        <v>136</v>
      </c>
    </row>
    <row r="19">
      <c r="A19" s="5">
        <v>42081.0</v>
      </c>
      <c r="C19" s="26" t="s">
        <v>137</v>
      </c>
      <c r="D19" s="6" t="s">
        <v>49</v>
      </c>
      <c r="K19" s="6" t="s">
        <v>23</v>
      </c>
    </row>
    <row r="20">
      <c r="A20" s="5">
        <v>42082.0</v>
      </c>
      <c r="C20" s="26" t="s">
        <v>138</v>
      </c>
      <c r="D20" s="6" t="s">
        <v>49</v>
      </c>
      <c r="K20" s="6" t="s">
        <v>23</v>
      </c>
    </row>
    <row r="21">
      <c r="A21" s="5">
        <v>42083.0</v>
      </c>
      <c r="B21" s="6" t="s">
        <v>45</v>
      </c>
      <c r="C21" s="26" t="s">
        <v>139</v>
      </c>
      <c r="D21" s="6" t="s">
        <v>140</v>
      </c>
      <c r="E21" s="6" t="s">
        <v>13</v>
      </c>
      <c r="I21" s="6">
        <v>0.0</v>
      </c>
      <c r="J21" s="6">
        <v>0.0</v>
      </c>
      <c r="K21" s="6" t="s">
        <v>141</v>
      </c>
    </row>
    <row r="22">
      <c r="A22" s="5">
        <v>42084.0</v>
      </c>
      <c r="B22" s="6" t="s">
        <v>31</v>
      </c>
      <c r="C22" s="26">
        <v>52.0</v>
      </c>
      <c r="D22" s="6" t="s">
        <v>15</v>
      </c>
      <c r="E22" s="6" t="s">
        <v>13</v>
      </c>
      <c r="I22" s="6">
        <v>0.0</v>
      </c>
      <c r="J22" s="6">
        <v>0.0</v>
      </c>
    </row>
    <row r="23">
      <c r="A23" s="9">
        <v>42085.0</v>
      </c>
      <c r="B23" s="11" t="s">
        <v>20</v>
      </c>
      <c r="C23" s="55" t="s">
        <v>46</v>
      </c>
      <c r="D23" s="11" t="s">
        <v>49</v>
      </c>
      <c r="E23" s="11" t="s">
        <v>13</v>
      </c>
      <c r="F23" s="10"/>
      <c r="G23" s="10"/>
      <c r="H23" s="10"/>
      <c r="I23" s="11">
        <v>0.0</v>
      </c>
      <c r="J23" s="11">
        <v>0.0</v>
      </c>
      <c r="K23" s="11" t="s">
        <v>23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>
      <c r="A24" s="57">
        <v>42086.0</v>
      </c>
      <c r="B24" s="58" t="s">
        <v>18</v>
      </c>
      <c r="C24" s="59" t="s">
        <v>142</v>
      </c>
      <c r="D24" s="58" t="s">
        <v>143</v>
      </c>
      <c r="E24" s="60"/>
      <c r="F24" s="60"/>
      <c r="G24" s="60"/>
      <c r="H24" s="58"/>
      <c r="I24" s="58">
        <v>0.0</v>
      </c>
      <c r="J24" s="58">
        <v>0.0</v>
      </c>
      <c r="K24" s="58" t="s">
        <v>23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</row>
    <row r="25">
      <c r="A25" s="16">
        <v>42087.0</v>
      </c>
      <c r="B25" s="18"/>
      <c r="C25" s="61" t="s">
        <v>144</v>
      </c>
      <c r="D25" s="17" t="s">
        <v>145</v>
      </c>
      <c r="E25" s="18"/>
      <c r="F25" s="18"/>
      <c r="G25" s="18"/>
      <c r="H25" s="18"/>
      <c r="I25" s="18"/>
      <c r="J25" s="18"/>
      <c r="K25" s="17" t="s">
        <v>23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>
      <c r="A26" s="16">
        <v>42088.0</v>
      </c>
      <c r="B26" s="18"/>
      <c r="C26" s="61" t="s">
        <v>146</v>
      </c>
      <c r="D26" s="17" t="s">
        <v>147</v>
      </c>
      <c r="E26" s="18"/>
      <c r="F26" s="18"/>
      <c r="G26" s="18"/>
      <c r="H26" s="18"/>
      <c r="I26" s="18"/>
      <c r="J26" s="18"/>
      <c r="K26" s="17" t="s">
        <v>23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>
      <c r="A27" s="5">
        <v>42089.0</v>
      </c>
      <c r="C27" s="26" t="s">
        <v>148</v>
      </c>
      <c r="D27" s="6" t="s">
        <v>49</v>
      </c>
      <c r="K27" s="6" t="s">
        <v>23</v>
      </c>
    </row>
    <row r="28">
      <c r="A28" s="5">
        <v>42090.0</v>
      </c>
      <c r="B28" s="6" t="s">
        <v>31</v>
      </c>
      <c r="C28" s="26">
        <v>60.0</v>
      </c>
      <c r="D28" s="6" t="s">
        <v>15</v>
      </c>
      <c r="E28" s="6" t="s">
        <v>13</v>
      </c>
      <c r="F28" s="7">
        <v>0.3472222222222222</v>
      </c>
      <c r="I28" s="6">
        <v>0.0</v>
      </c>
      <c r="J28" s="6">
        <v>0.0</v>
      </c>
    </row>
    <row r="29">
      <c r="A29" s="5">
        <v>42091.0</v>
      </c>
      <c r="B29" s="6" t="s">
        <v>31</v>
      </c>
      <c r="C29" s="26">
        <v>53.0</v>
      </c>
      <c r="D29" s="6" t="s">
        <v>15</v>
      </c>
      <c r="E29" s="6" t="s">
        <v>13</v>
      </c>
      <c r="I29" s="6">
        <v>0.0</v>
      </c>
      <c r="J29" s="6">
        <v>0.0</v>
      </c>
    </row>
    <row r="30">
      <c r="A30" s="5">
        <v>42092.0</v>
      </c>
      <c r="B30" s="6" t="s">
        <v>20</v>
      </c>
      <c r="C30" s="26">
        <v>53.0</v>
      </c>
      <c r="D30" s="6" t="s">
        <v>15</v>
      </c>
      <c r="E30" s="6" t="s">
        <v>13</v>
      </c>
      <c r="F30" s="7">
        <v>0.3472222222222222</v>
      </c>
      <c r="I30" s="6">
        <v>0.0</v>
      </c>
      <c r="J30" s="6">
        <v>0.0</v>
      </c>
    </row>
    <row r="31">
      <c r="A31" s="9">
        <v>42093.0</v>
      </c>
      <c r="B31" s="11" t="s">
        <v>18</v>
      </c>
      <c r="C31" s="55" t="s">
        <v>149</v>
      </c>
      <c r="D31" s="11" t="s">
        <v>49</v>
      </c>
      <c r="E31" s="10"/>
      <c r="F31" s="10"/>
      <c r="G31" s="10"/>
      <c r="H31" s="10"/>
      <c r="I31" s="10"/>
      <c r="J31" s="10"/>
      <c r="K31" s="11" t="s">
        <v>23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>
      <c r="A32" s="5">
        <v>42094.0</v>
      </c>
      <c r="B32" s="6" t="s">
        <v>31</v>
      </c>
      <c r="C32" s="26">
        <v>46.0</v>
      </c>
      <c r="D32" s="6" t="s">
        <v>15</v>
      </c>
      <c r="E32" s="6" t="s">
        <v>13</v>
      </c>
      <c r="F32" s="7">
        <v>0.34375</v>
      </c>
      <c r="I32" s="6">
        <v>0.0</v>
      </c>
      <c r="J32" s="6">
        <v>0.0</v>
      </c>
    </row>
    <row r="33">
      <c r="A33" s="5"/>
    </row>
    <row r="34">
      <c r="E34" s="54" t="s">
        <v>150</v>
      </c>
      <c r="F34" s="8"/>
      <c r="G34" s="8"/>
      <c r="H34" s="8">
        <f t="shared" ref="H34:J34" si="1">sum(H2:H33)</f>
        <v>0.40625</v>
      </c>
      <c r="I34" s="8">
        <f t="shared" si="1"/>
        <v>2</v>
      </c>
      <c r="J34" s="8">
        <f t="shared" si="1"/>
        <v>227</v>
      </c>
    </row>
    <row r="35">
      <c r="D35" s="6"/>
      <c r="E35" s="54" t="s">
        <v>126</v>
      </c>
      <c r="F35" s="8"/>
      <c r="G35" s="8"/>
      <c r="H35" s="24"/>
      <c r="I35" s="21">
        <f> dec_tot_down + jan_tot_down+feb_tot_down+mar_tot_down</f>
        <v>684</v>
      </c>
      <c r="J35" s="21">
        <f> dec_tot_up + jan_tot_up + feb_tot_up + mar_tot_up</f>
        <v>746</v>
      </c>
    </row>
    <row r="36">
      <c r="D36" s="6"/>
    </row>
    <row r="37">
      <c r="C37" s="54" t="s">
        <v>151</v>
      </c>
    </row>
    <row r="38">
      <c r="C38" s="54" t="s">
        <v>152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